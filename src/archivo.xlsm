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6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8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9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0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11.xml" ContentType="application/vnd.openxmlformats-officedocument.drawing+xml"/>
  <Override PartName="/xl/ctrlProps/ctrlProp90.xml" ContentType="application/vnd.ms-excel.controlproperties+xml"/>
  <Override PartName="/xl/drawings/drawing12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drawings/drawing13.xml" ContentType="application/vnd.openxmlformats-officedocument.drawing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14.xml" ContentType="application/vnd.openxmlformats-officedocument.drawing+xml"/>
  <Override PartName="/xl/ctrlProps/ctrlProp111.xml" ContentType="application/vnd.ms-excel.controlproperties+xml"/>
  <Override PartName="/xl/drawings/drawing15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Usuario\Desktop\Nueva carpeta\web\webwork-api\src\"/>
    </mc:Choice>
  </mc:AlternateContent>
  <xr:revisionPtr revIDLastSave="0" documentId="13_ncr:1_{82AD6334-4C34-477E-A17B-FA61E1C5CD6A}" xr6:coauthVersionLast="47" xr6:coauthVersionMax="47" xr10:uidLastSave="{00000000-0000-0000-0000-000000000000}"/>
  <bookViews>
    <workbookView xWindow="-120" yWindow="-120" windowWidth="20730" windowHeight="11310" firstSheet="1" activeTab="1" xr2:uid="{00000000-000D-0000-FFFF-FFFF00000000}"/>
  </bookViews>
  <sheets>
    <sheet name="Lista de precios" sheetId="9" state="hidden" r:id="rId1"/>
    <sheet name="Quimicos" sheetId="14" r:id="rId2"/>
    <sheet name="presu" sheetId="1" state="hidden" r:id="rId3"/>
    <sheet name="Unidad de ordeñe" sheetId="3" state="hidden" r:id="rId4"/>
    <sheet name="bombas" sheetId="2" state="hidden" r:id="rId5"/>
    <sheet name="pulsado" sheetId="4" state="hidden" r:id="rId6"/>
    <sheet name="Placas, Filtros Lavadora,Recupe" sheetId="5" state="hidden" r:id="rId7"/>
    <sheet name="Unidad Final" sheetId="6" state="hidden" r:id="rId8"/>
    <sheet name="Extractores, indicadores" sheetId="7" state="hidden" r:id="rId9"/>
    <sheet name="ISO ID - SortGate" sheetId="13" state="hidden" r:id="rId10"/>
    <sheet name="Robot" sheetId="21" state="hidden" r:id="rId11"/>
    <sheet name="cañerias" sheetId="22" state="hidden" r:id="rId12"/>
    <sheet name="Formulario pedido" sheetId="10" state="hidden" r:id="rId13"/>
    <sheet name="Packing list" sheetId="11" state="hidden" r:id="rId14"/>
    <sheet name="Base" sheetId="8" r:id="rId15"/>
    <sheet name="presu cliente" sheetId="20" state="hidden" r:id="rId16"/>
  </sheets>
  <externalReferences>
    <externalReference r:id="rId17"/>
  </externalReferences>
  <definedNames>
    <definedName name="_xlnm._FilterDatabase" localSheetId="14" hidden="1">Base!$A$4:$D$1500</definedName>
    <definedName name="_xlnm._FilterDatabase" localSheetId="2" hidden="1">presu!$A$15:$F$517</definedName>
    <definedName name="_xlnm._FilterDatabase" localSheetId="15" hidden="1">'presu cliente'!$A$15:$F$364</definedName>
    <definedName name="_xlnm.Extract" localSheetId="12">'Formulario pedido'!$H$5:$K$60</definedName>
    <definedName name="Bombas_de_vacio.">presu!$B$45</definedName>
    <definedName name="Caneria">presu!$B$421</definedName>
    <definedName name="_xlnm.Criteria" localSheetId="12">'Formulario pedido'!$I$3:$I$4</definedName>
    <definedName name="Placa">presu!$B$152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13" i="8" l="1"/>
  <c r="D1313" i="8"/>
  <c r="E1311" i="8"/>
  <c r="D1311" i="8"/>
  <c r="E1310" i="8"/>
  <c r="D1310" i="8"/>
  <c r="E1309" i="8"/>
  <c r="D1309" i="8"/>
  <c r="E1308" i="8"/>
  <c r="D1308" i="8"/>
  <c r="E1307" i="8"/>
  <c r="D1307" i="8"/>
  <c r="E1306" i="8"/>
  <c r="D1306" i="8"/>
  <c r="E1305" i="8"/>
  <c r="D1305" i="8"/>
  <c r="E1304" i="8"/>
  <c r="D1304" i="8"/>
  <c r="E1303" i="8"/>
  <c r="D1303" i="8"/>
  <c r="E1302" i="8"/>
  <c r="D1302" i="8"/>
  <c r="E1301" i="8"/>
  <c r="D1301" i="8"/>
  <c r="E1300" i="8"/>
  <c r="D1300" i="8"/>
  <c r="E1299" i="8"/>
  <c r="D1299" i="8"/>
  <c r="E1298" i="8"/>
  <c r="D1298" i="8"/>
  <c r="E1297" i="8"/>
  <c r="D1297" i="8"/>
  <c r="E1296" i="8"/>
  <c r="D1296" i="8"/>
  <c r="E1295" i="8"/>
  <c r="D1295" i="8"/>
  <c r="E1294" i="8"/>
  <c r="D1294" i="8"/>
  <c r="F1293" i="8"/>
  <c r="E1293" i="8"/>
  <c r="D1293" i="8"/>
  <c r="F1292" i="8"/>
  <c r="E1292" i="8"/>
  <c r="D1292" i="8"/>
  <c r="F1291" i="8"/>
  <c r="E1291" i="8"/>
  <c r="D1291" i="8"/>
  <c r="F1290" i="8"/>
  <c r="E1290" i="8"/>
  <c r="D1290" i="8"/>
  <c r="F1289" i="8"/>
  <c r="E1289" i="8"/>
  <c r="D1289" i="8"/>
  <c r="F1288" i="8"/>
  <c r="E1288" i="8"/>
  <c r="D1288" i="8"/>
  <c r="F1287" i="8"/>
  <c r="E1287" i="8"/>
  <c r="D1287" i="8"/>
  <c r="F1286" i="8"/>
  <c r="E1286" i="8"/>
  <c r="D1286" i="8"/>
  <c r="F1285" i="8"/>
  <c r="E1285" i="8"/>
  <c r="D1285" i="8"/>
  <c r="F1284" i="8"/>
  <c r="E1284" i="8"/>
  <c r="D1284" i="8"/>
  <c r="F1283" i="8"/>
  <c r="E1283" i="8"/>
  <c r="D1283" i="8"/>
  <c r="F1282" i="8"/>
  <c r="E1282" i="8"/>
  <c r="D1282" i="8"/>
  <c r="F1281" i="8"/>
  <c r="E1281" i="8"/>
  <c r="D1281" i="8"/>
  <c r="F1280" i="8"/>
  <c r="E1280" i="8"/>
  <c r="D1280" i="8"/>
  <c r="F1279" i="8"/>
  <c r="E1279" i="8"/>
  <c r="D1279" i="8"/>
  <c r="F1278" i="8"/>
  <c r="E1278" i="8"/>
  <c r="D1278" i="8"/>
  <c r="F1277" i="8"/>
  <c r="E1277" i="8"/>
  <c r="D1277" i="8"/>
  <c r="F1276" i="8"/>
  <c r="E1276" i="8"/>
  <c r="D1276" i="8"/>
  <c r="F1275" i="8"/>
  <c r="E1275" i="8"/>
  <c r="D1275" i="8"/>
  <c r="F1274" i="8"/>
  <c r="E1274" i="8"/>
  <c r="D1274" i="8"/>
  <c r="F1273" i="8"/>
  <c r="E1273" i="8"/>
  <c r="D1273" i="8"/>
  <c r="F1272" i="8"/>
  <c r="E1272" i="8"/>
  <c r="D1272" i="8"/>
  <c r="F1271" i="8"/>
  <c r="E1271" i="8"/>
  <c r="D1271" i="8"/>
  <c r="F1270" i="8"/>
  <c r="E1270" i="8"/>
  <c r="D1270" i="8"/>
  <c r="F1269" i="8"/>
  <c r="E1269" i="8"/>
  <c r="D1269" i="8"/>
  <c r="F1268" i="8"/>
  <c r="E1268" i="8"/>
  <c r="D1268" i="8"/>
  <c r="F1267" i="8"/>
  <c r="E1267" i="8"/>
  <c r="D1267" i="8"/>
  <c r="F1266" i="8"/>
  <c r="E1266" i="8"/>
  <c r="D1266" i="8"/>
  <c r="F1265" i="8"/>
  <c r="E1265" i="8"/>
  <c r="D1265" i="8"/>
  <c r="F1264" i="8"/>
  <c r="E1264" i="8"/>
  <c r="D1264" i="8"/>
  <c r="F1263" i="8"/>
  <c r="E1263" i="8"/>
  <c r="D1263" i="8"/>
  <c r="F1262" i="8"/>
  <c r="E1262" i="8"/>
  <c r="D1262" i="8"/>
  <c r="F1261" i="8"/>
  <c r="E1261" i="8"/>
  <c r="D1261" i="8"/>
  <c r="F1260" i="8"/>
  <c r="E1260" i="8"/>
  <c r="D1260" i="8"/>
  <c r="F1259" i="8"/>
  <c r="E1259" i="8"/>
  <c r="D1259" i="8"/>
  <c r="F1258" i="8"/>
  <c r="E1258" i="8"/>
  <c r="D1258" i="8"/>
  <c r="F1257" i="8"/>
  <c r="E1257" i="8"/>
  <c r="D1257" i="8"/>
  <c r="F1256" i="8"/>
  <c r="E1256" i="8"/>
  <c r="D1256" i="8"/>
  <c r="F1255" i="8"/>
  <c r="E1255" i="8"/>
  <c r="D1255" i="8"/>
  <c r="F1254" i="8"/>
  <c r="E1254" i="8"/>
  <c r="D1254" i="8"/>
  <c r="F1253" i="8"/>
  <c r="E1253" i="8"/>
  <c r="D1253" i="8"/>
  <c r="F1252" i="8"/>
  <c r="E1252" i="8"/>
  <c r="D1252" i="8"/>
  <c r="F1251" i="8"/>
  <c r="E1251" i="8"/>
  <c r="D1251" i="8"/>
  <c r="F1250" i="8"/>
  <c r="E1250" i="8"/>
  <c r="D1250" i="8"/>
  <c r="F1249" i="8"/>
  <c r="E1249" i="8"/>
  <c r="D1249" i="8"/>
  <c r="F1248" i="8"/>
  <c r="E1248" i="8"/>
  <c r="D1248" i="8"/>
  <c r="F1247" i="8"/>
  <c r="E1247" i="8"/>
  <c r="D1247" i="8"/>
  <c r="F1246" i="8"/>
  <c r="E1246" i="8"/>
  <c r="D1246" i="8"/>
  <c r="F1245" i="8"/>
  <c r="E1245" i="8"/>
  <c r="D1245" i="8"/>
  <c r="F1244" i="8"/>
  <c r="E1244" i="8"/>
  <c r="D1244" i="8"/>
  <c r="F1243" i="8"/>
  <c r="E1243" i="8"/>
  <c r="D1243" i="8"/>
  <c r="F1242" i="8"/>
  <c r="E1242" i="8"/>
  <c r="D1242" i="8"/>
  <c r="F1241" i="8"/>
  <c r="E1241" i="8"/>
  <c r="D1241" i="8"/>
  <c r="F1240" i="8"/>
  <c r="E1240" i="8"/>
  <c r="D1240" i="8"/>
  <c r="F1239" i="8"/>
  <c r="E1239" i="8"/>
  <c r="D1239" i="8"/>
  <c r="F1238" i="8"/>
  <c r="E1238" i="8"/>
  <c r="D1238" i="8"/>
  <c r="F1237" i="8"/>
  <c r="E1237" i="8"/>
  <c r="D1237" i="8"/>
  <c r="F1236" i="8"/>
  <c r="E1236" i="8"/>
  <c r="D1236" i="8"/>
  <c r="F1235" i="8"/>
  <c r="E1235" i="8"/>
  <c r="D1235" i="8"/>
  <c r="F1234" i="8"/>
  <c r="E1234" i="8"/>
  <c r="D1234" i="8"/>
  <c r="F1233" i="8"/>
  <c r="E1233" i="8"/>
  <c r="D1233" i="8"/>
  <c r="F1232" i="8"/>
  <c r="E1232" i="8"/>
  <c r="D1232" i="8"/>
  <c r="F1231" i="8"/>
  <c r="E1231" i="8"/>
  <c r="D1231" i="8"/>
  <c r="F1230" i="8"/>
  <c r="E1230" i="8"/>
  <c r="D1230" i="8"/>
  <c r="F1229" i="8"/>
  <c r="E1229" i="8"/>
  <c r="D1229" i="8"/>
  <c r="F1228" i="8"/>
  <c r="E1228" i="8"/>
  <c r="D1228" i="8"/>
  <c r="F1227" i="8"/>
  <c r="E1227" i="8"/>
  <c r="D1227" i="8"/>
  <c r="F1226" i="8"/>
  <c r="E1226" i="8"/>
  <c r="D1226" i="8"/>
  <c r="F1225" i="8"/>
  <c r="E1225" i="8"/>
  <c r="D1225" i="8"/>
  <c r="F1224" i="8"/>
  <c r="E1224" i="8"/>
  <c r="D1224" i="8"/>
  <c r="F1223" i="8"/>
  <c r="E1223" i="8"/>
  <c r="D1223" i="8"/>
  <c r="F1222" i="8"/>
  <c r="E1222" i="8"/>
  <c r="D1222" i="8"/>
  <c r="F1221" i="8"/>
  <c r="E1221" i="8"/>
  <c r="D1221" i="8"/>
  <c r="F1220" i="8"/>
  <c r="E1220" i="8"/>
  <c r="D1220" i="8"/>
  <c r="F1219" i="8"/>
  <c r="E1219" i="8"/>
  <c r="D1219" i="8"/>
  <c r="F1218" i="8"/>
  <c r="E1218" i="8"/>
  <c r="D1218" i="8"/>
  <c r="F1217" i="8"/>
  <c r="E1217" i="8"/>
  <c r="D1217" i="8"/>
  <c r="F1216" i="8"/>
  <c r="E1216" i="8"/>
  <c r="D1216" i="8"/>
  <c r="F1215" i="8"/>
  <c r="E1215" i="8"/>
  <c r="D1215" i="8"/>
  <c r="F1214" i="8"/>
  <c r="E1214" i="8"/>
  <c r="D1214" i="8"/>
  <c r="F1213" i="8"/>
  <c r="E1213" i="8"/>
  <c r="D1213" i="8"/>
  <c r="F1212" i="8"/>
  <c r="E1212" i="8"/>
  <c r="D1212" i="8"/>
  <c r="F1211" i="8"/>
  <c r="E1211" i="8"/>
  <c r="D1211" i="8"/>
  <c r="F1210" i="8"/>
  <c r="E1210" i="8"/>
  <c r="D1210" i="8"/>
  <c r="F1209" i="8"/>
  <c r="E1209" i="8"/>
  <c r="D1209" i="8"/>
  <c r="F1208" i="8"/>
  <c r="E1208" i="8"/>
  <c r="D1208" i="8"/>
  <c r="F1207" i="8"/>
  <c r="E1207" i="8"/>
  <c r="D1207" i="8"/>
  <c r="F1206" i="8"/>
  <c r="E1206" i="8"/>
  <c r="D1206" i="8"/>
  <c r="F1205" i="8"/>
  <c r="E1205" i="8"/>
  <c r="D1205" i="8"/>
  <c r="F1204" i="8"/>
  <c r="E1204" i="8"/>
  <c r="D1204" i="8"/>
  <c r="F1203" i="8"/>
  <c r="E1203" i="8"/>
  <c r="D1203" i="8"/>
  <c r="F1202" i="8"/>
  <c r="E1202" i="8"/>
  <c r="D1202" i="8"/>
  <c r="F1201" i="8"/>
  <c r="E1201" i="8"/>
  <c r="D1201" i="8"/>
  <c r="F1200" i="8"/>
  <c r="E1200" i="8"/>
  <c r="D1200" i="8"/>
  <c r="F1199" i="8"/>
  <c r="E1199" i="8"/>
  <c r="D1199" i="8"/>
  <c r="F1198" i="8"/>
  <c r="E1198" i="8"/>
  <c r="D1198" i="8"/>
  <c r="F1197" i="8"/>
  <c r="E1197" i="8"/>
  <c r="D1197" i="8"/>
  <c r="F1196" i="8"/>
  <c r="E1196" i="8"/>
  <c r="D1196" i="8"/>
  <c r="F1195" i="8"/>
  <c r="E1195" i="8"/>
  <c r="D1195" i="8"/>
  <c r="F1194" i="8"/>
  <c r="E1194" i="8"/>
  <c r="D1194" i="8"/>
  <c r="F1193" i="8"/>
  <c r="E1193" i="8"/>
  <c r="D1193" i="8"/>
  <c r="F1192" i="8"/>
  <c r="E1192" i="8"/>
  <c r="D1192" i="8"/>
  <c r="F1191" i="8"/>
  <c r="E1191" i="8"/>
  <c r="D1191" i="8"/>
  <c r="F1190" i="8"/>
  <c r="E1190" i="8"/>
  <c r="D1190" i="8"/>
  <c r="F1189" i="8"/>
  <c r="E1189" i="8"/>
  <c r="D1189" i="8"/>
  <c r="F1188" i="8"/>
  <c r="E1188" i="8"/>
  <c r="D1188" i="8"/>
  <c r="F1187" i="8"/>
  <c r="E1187" i="8"/>
  <c r="D1187" i="8"/>
  <c r="F1186" i="8"/>
  <c r="E1186" i="8"/>
  <c r="D1186" i="8"/>
  <c r="F1185" i="8"/>
  <c r="E1185" i="8"/>
  <c r="D1185" i="8"/>
  <c r="F1184" i="8"/>
  <c r="E1184" i="8"/>
  <c r="D1184" i="8"/>
  <c r="F1183" i="8"/>
  <c r="E1183" i="8"/>
  <c r="D1183" i="8"/>
  <c r="F1182" i="8"/>
  <c r="E1182" i="8"/>
  <c r="D1182" i="8"/>
  <c r="F1181" i="8"/>
  <c r="E1181" i="8"/>
  <c r="D1181" i="8"/>
  <c r="F1180" i="8"/>
  <c r="E1180" i="8"/>
  <c r="D1180" i="8"/>
  <c r="F1179" i="8"/>
  <c r="E1179" i="8"/>
  <c r="D1179" i="8"/>
  <c r="F1178" i="8"/>
  <c r="E1178" i="8"/>
  <c r="D1178" i="8"/>
  <c r="F1177" i="8"/>
  <c r="E1177" i="8"/>
  <c r="D1177" i="8"/>
  <c r="F1176" i="8"/>
  <c r="E1176" i="8"/>
  <c r="D1176" i="8"/>
  <c r="F1175" i="8"/>
  <c r="E1175" i="8"/>
  <c r="D1175" i="8"/>
  <c r="F1174" i="8"/>
  <c r="E1174" i="8"/>
  <c r="D1174" i="8"/>
  <c r="F1173" i="8"/>
  <c r="E1173" i="8"/>
  <c r="D1173" i="8"/>
  <c r="F1172" i="8"/>
  <c r="E1172" i="8"/>
  <c r="D1172" i="8"/>
  <c r="F1171" i="8"/>
  <c r="E1171" i="8"/>
  <c r="D1171" i="8"/>
  <c r="F1170" i="8"/>
  <c r="E1170" i="8"/>
  <c r="D1170" i="8"/>
  <c r="F1169" i="8"/>
  <c r="E1169" i="8"/>
  <c r="D1169" i="8"/>
  <c r="F1168" i="8"/>
  <c r="E1168" i="8"/>
  <c r="D1168" i="8"/>
  <c r="F1167" i="8"/>
  <c r="E1167" i="8"/>
  <c r="D1167" i="8"/>
  <c r="F1166" i="8"/>
  <c r="E1166" i="8"/>
  <c r="D1166" i="8"/>
  <c r="F1165" i="8"/>
  <c r="E1165" i="8"/>
  <c r="D1165" i="8"/>
  <c r="F1164" i="8"/>
  <c r="E1164" i="8"/>
  <c r="D1164" i="8"/>
  <c r="F1163" i="8"/>
  <c r="E1163" i="8"/>
  <c r="D1163" i="8"/>
  <c r="F1162" i="8"/>
  <c r="E1162" i="8"/>
  <c r="D1162" i="8"/>
  <c r="F1161" i="8"/>
  <c r="E1161" i="8"/>
  <c r="D1161" i="8"/>
  <c r="F1160" i="8"/>
  <c r="E1160" i="8"/>
  <c r="D1160" i="8"/>
  <c r="F1159" i="8"/>
  <c r="E1159" i="8"/>
  <c r="D1159" i="8"/>
  <c r="F1158" i="8"/>
  <c r="E1158" i="8"/>
  <c r="D1158" i="8"/>
  <c r="F1157" i="8"/>
  <c r="E1157" i="8"/>
  <c r="D1157" i="8"/>
  <c r="F1156" i="8"/>
  <c r="E1156" i="8"/>
  <c r="D1156" i="8"/>
  <c r="F1155" i="8"/>
  <c r="E1155" i="8"/>
  <c r="D1155" i="8"/>
  <c r="F1154" i="8"/>
  <c r="E1154" i="8"/>
  <c r="D1154" i="8"/>
  <c r="F1153" i="8"/>
  <c r="E1153" i="8"/>
  <c r="D1153" i="8"/>
  <c r="F1152" i="8"/>
  <c r="E1152" i="8"/>
  <c r="D1152" i="8"/>
  <c r="F1151" i="8"/>
  <c r="E1151" i="8"/>
  <c r="D1151" i="8"/>
  <c r="F1150" i="8"/>
  <c r="E1150" i="8"/>
  <c r="D1150" i="8"/>
  <c r="F1149" i="8"/>
  <c r="E1149" i="8"/>
  <c r="D1149" i="8"/>
  <c r="F1148" i="8"/>
  <c r="E1148" i="8"/>
  <c r="D1148" i="8"/>
  <c r="F1147" i="8"/>
  <c r="E1147" i="8"/>
  <c r="D1147" i="8"/>
  <c r="F1146" i="8"/>
  <c r="E1146" i="8"/>
  <c r="D1146" i="8"/>
  <c r="F1145" i="8"/>
  <c r="E1145" i="8"/>
  <c r="D1145" i="8"/>
  <c r="F1144" i="8"/>
  <c r="E1144" i="8"/>
  <c r="D1144" i="8"/>
  <c r="F1143" i="8"/>
  <c r="E1143" i="8"/>
  <c r="D1143" i="8"/>
  <c r="F1142" i="8"/>
  <c r="E1142" i="8"/>
  <c r="D1142" i="8"/>
  <c r="F1141" i="8"/>
  <c r="E1141" i="8"/>
  <c r="D1141" i="8"/>
  <c r="F1140" i="8"/>
  <c r="E1140" i="8"/>
  <c r="D1140" i="8"/>
  <c r="F1139" i="8"/>
  <c r="E1139" i="8"/>
  <c r="D1139" i="8"/>
  <c r="F1138" i="8"/>
  <c r="E1138" i="8"/>
  <c r="D1138" i="8"/>
  <c r="F1137" i="8"/>
  <c r="E1137" i="8"/>
  <c r="D1137" i="8"/>
  <c r="F1136" i="8"/>
  <c r="E1136" i="8"/>
  <c r="D1136" i="8"/>
  <c r="F1135" i="8"/>
  <c r="E1135" i="8"/>
  <c r="D1135" i="8"/>
  <c r="F1134" i="8"/>
  <c r="E1134" i="8"/>
  <c r="D1134" i="8"/>
  <c r="F1133" i="8"/>
  <c r="E1133" i="8"/>
  <c r="D1133" i="8"/>
  <c r="F1132" i="8"/>
  <c r="E1132" i="8"/>
  <c r="D1132" i="8"/>
  <c r="F1131" i="8"/>
  <c r="E1131" i="8"/>
  <c r="D1131" i="8"/>
  <c r="F1130" i="8"/>
  <c r="E1130" i="8"/>
  <c r="D1130" i="8"/>
  <c r="F1129" i="8"/>
  <c r="E1129" i="8"/>
  <c r="D1129" i="8"/>
  <c r="F1128" i="8"/>
  <c r="E1128" i="8"/>
  <c r="D1128" i="8"/>
  <c r="F1127" i="8"/>
  <c r="E1127" i="8"/>
  <c r="D1127" i="8"/>
  <c r="F1126" i="8"/>
  <c r="E1126" i="8"/>
  <c r="D1126" i="8"/>
  <c r="F1125" i="8"/>
  <c r="E1125" i="8"/>
  <c r="D1125" i="8"/>
  <c r="F1124" i="8"/>
  <c r="E1124" i="8"/>
  <c r="D1124" i="8"/>
  <c r="F1123" i="8"/>
  <c r="E1123" i="8"/>
  <c r="D1123" i="8"/>
  <c r="F1122" i="8"/>
  <c r="E1122" i="8"/>
  <c r="D1122" i="8"/>
  <c r="F1121" i="8"/>
  <c r="E1121" i="8"/>
  <c r="D1121" i="8"/>
  <c r="F1120" i="8"/>
  <c r="E1120" i="8"/>
  <c r="D1120" i="8"/>
  <c r="F1119" i="8"/>
  <c r="E1119" i="8"/>
  <c r="D1119" i="8"/>
  <c r="F1118" i="8"/>
  <c r="E1118" i="8"/>
  <c r="D1118" i="8"/>
  <c r="F1117" i="8"/>
  <c r="E1117" i="8"/>
  <c r="D1117" i="8"/>
  <c r="F1116" i="8"/>
  <c r="E1116" i="8"/>
  <c r="D1116" i="8"/>
  <c r="F1115" i="8"/>
  <c r="E1115" i="8"/>
  <c r="D1115" i="8"/>
  <c r="F1114" i="8"/>
  <c r="E1114" i="8"/>
  <c r="D1114" i="8"/>
  <c r="F1113" i="8"/>
  <c r="E1113" i="8"/>
  <c r="D1113" i="8"/>
  <c r="F1112" i="8"/>
  <c r="E1112" i="8"/>
  <c r="D1112" i="8"/>
  <c r="F1111" i="8"/>
  <c r="E1111" i="8"/>
  <c r="D1111" i="8"/>
  <c r="F1110" i="8"/>
  <c r="E1110" i="8"/>
  <c r="D1110" i="8"/>
  <c r="F1109" i="8"/>
  <c r="E1109" i="8"/>
  <c r="D1109" i="8"/>
  <c r="F1108" i="8"/>
  <c r="E1108" i="8"/>
  <c r="D1108" i="8"/>
  <c r="F1107" i="8"/>
  <c r="E1107" i="8"/>
  <c r="D1107" i="8"/>
  <c r="F1106" i="8"/>
  <c r="E1106" i="8"/>
  <c r="D1106" i="8"/>
  <c r="F1105" i="8"/>
  <c r="E1105" i="8"/>
  <c r="D1105" i="8"/>
  <c r="F1104" i="8"/>
  <c r="E1104" i="8"/>
  <c r="D1104" i="8"/>
  <c r="F1103" i="8"/>
  <c r="E1103" i="8"/>
  <c r="D1103" i="8"/>
  <c r="F1102" i="8"/>
  <c r="E1102" i="8"/>
  <c r="D1102" i="8"/>
  <c r="F1101" i="8"/>
  <c r="E1101" i="8"/>
  <c r="D1101" i="8"/>
  <c r="F1100" i="8"/>
  <c r="E1100" i="8"/>
  <c r="D1100" i="8"/>
  <c r="F1099" i="8"/>
  <c r="E1099" i="8"/>
  <c r="D1099" i="8"/>
  <c r="F1098" i="8"/>
  <c r="E1098" i="8"/>
  <c r="D1098" i="8"/>
  <c r="F1097" i="8"/>
  <c r="E1097" i="8"/>
  <c r="D1097" i="8"/>
  <c r="F1096" i="8"/>
  <c r="E1096" i="8"/>
  <c r="D1096" i="8"/>
  <c r="F1095" i="8"/>
  <c r="E1095" i="8"/>
  <c r="D1095" i="8"/>
  <c r="F1094" i="8"/>
  <c r="E1094" i="8"/>
  <c r="D1094" i="8"/>
  <c r="F1093" i="8"/>
  <c r="E1093" i="8"/>
  <c r="D1093" i="8"/>
  <c r="F1092" i="8"/>
  <c r="E1092" i="8"/>
  <c r="D1092" i="8"/>
  <c r="F1091" i="8"/>
  <c r="E1091" i="8"/>
  <c r="D1091" i="8"/>
  <c r="F1090" i="8"/>
  <c r="E1090" i="8"/>
  <c r="D1090" i="8"/>
  <c r="F1089" i="8"/>
  <c r="E1089" i="8"/>
  <c r="D1089" i="8"/>
  <c r="F1088" i="8"/>
  <c r="E1088" i="8"/>
  <c r="D1088" i="8"/>
  <c r="F1087" i="8"/>
  <c r="E1087" i="8"/>
  <c r="D1087" i="8"/>
  <c r="F1086" i="8"/>
  <c r="E1086" i="8"/>
  <c r="D1086" i="8"/>
  <c r="F1085" i="8"/>
  <c r="E1085" i="8"/>
  <c r="D1085" i="8"/>
  <c r="F1084" i="8"/>
  <c r="E1084" i="8"/>
  <c r="D1084" i="8"/>
  <c r="F1083" i="8"/>
  <c r="E1083" i="8"/>
  <c r="D1083" i="8"/>
  <c r="F1082" i="8"/>
  <c r="E1082" i="8"/>
  <c r="D1082" i="8"/>
  <c r="F1081" i="8"/>
  <c r="E1081" i="8"/>
  <c r="D1081" i="8"/>
  <c r="F1080" i="8"/>
  <c r="E1080" i="8"/>
  <c r="D1080" i="8"/>
  <c r="F1079" i="8"/>
  <c r="E1079" i="8"/>
  <c r="D1079" i="8"/>
  <c r="F1078" i="8"/>
  <c r="E1078" i="8"/>
  <c r="D1078" i="8"/>
  <c r="F1077" i="8"/>
  <c r="E1077" i="8"/>
  <c r="D1077" i="8"/>
  <c r="F1076" i="8"/>
  <c r="E1076" i="8"/>
  <c r="D1076" i="8"/>
  <c r="F1075" i="8"/>
  <c r="E1075" i="8"/>
  <c r="D1075" i="8"/>
  <c r="F1074" i="8"/>
  <c r="E1074" i="8"/>
  <c r="D1074" i="8"/>
  <c r="F1073" i="8"/>
  <c r="E1073" i="8"/>
  <c r="D1073" i="8"/>
  <c r="F1072" i="8"/>
  <c r="E1072" i="8"/>
  <c r="D1072" i="8"/>
  <c r="F1071" i="8"/>
  <c r="E1071" i="8"/>
  <c r="D1071" i="8"/>
  <c r="F1070" i="8"/>
  <c r="E1070" i="8"/>
  <c r="D1070" i="8"/>
  <c r="F1069" i="8"/>
  <c r="E1069" i="8"/>
  <c r="D1069" i="8"/>
  <c r="F1068" i="8"/>
  <c r="E1068" i="8"/>
  <c r="D1068" i="8"/>
  <c r="F1067" i="8"/>
  <c r="E1067" i="8"/>
  <c r="D1067" i="8"/>
  <c r="F1066" i="8"/>
  <c r="E1066" i="8"/>
  <c r="D1066" i="8"/>
  <c r="F1065" i="8"/>
  <c r="E1065" i="8"/>
  <c r="D1065" i="8"/>
  <c r="F1064" i="8"/>
  <c r="E1064" i="8"/>
  <c r="D1064" i="8"/>
  <c r="F1063" i="8"/>
  <c r="E1063" i="8"/>
  <c r="D1063" i="8"/>
  <c r="F1062" i="8"/>
  <c r="E1062" i="8"/>
  <c r="D1062" i="8"/>
  <c r="F1061" i="8"/>
  <c r="E1061" i="8"/>
  <c r="D1061" i="8"/>
  <c r="F1060" i="8"/>
  <c r="E1060" i="8"/>
  <c r="D1060" i="8"/>
  <c r="F1059" i="8"/>
  <c r="E1059" i="8"/>
  <c r="D1059" i="8"/>
  <c r="F1058" i="8"/>
  <c r="E1058" i="8"/>
  <c r="D1058" i="8"/>
  <c r="F1057" i="8"/>
  <c r="E1057" i="8"/>
  <c r="D1057" i="8"/>
  <c r="F1056" i="8"/>
  <c r="E1056" i="8"/>
  <c r="D1056" i="8"/>
  <c r="F1055" i="8"/>
  <c r="E1055" i="8"/>
  <c r="D1055" i="8"/>
  <c r="F1054" i="8"/>
  <c r="E1054" i="8"/>
  <c r="D1054" i="8"/>
  <c r="F1053" i="8"/>
  <c r="E1053" i="8"/>
  <c r="D1053" i="8"/>
  <c r="F1052" i="8"/>
  <c r="E1052" i="8"/>
  <c r="D1052" i="8"/>
  <c r="F1051" i="8"/>
  <c r="E1051" i="8"/>
  <c r="D1051" i="8"/>
  <c r="F1050" i="8"/>
  <c r="E1050" i="8"/>
  <c r="D1050" i="8"/>
  <c r="F1049" i="8"/>
  <c r="E1049" i="8"/>
  <c r="D1049" i="8"/>
  <c r="F1048" i="8"/>
  <c r="E1048" i="8"/>
  <c r="D1048" i="8"/>
  <c r="F1047" i="8"/>
  <c r="E1047" i="8"/>
  <c r="D1047" i="8"/>
  <c r="F1046" i="8"/>
  <c r="E1046" i="8"/>
  <c r="D1046" i="8"/>
  <c r="F1045" i="8"/>
  <c r="E1045" i="8"/>
  <c r="D1045" i="8"/>
  <c r="F1044" i="8"/>
  <c r="E1044" i="8"/>
  <c r="D1044" i="8"/>
  <c r="F1043" i="8"/>
  <c r="E1043" i="8"/>
  <c r="D1043" i="8"/>
  <c r="F1042" i="8"/>
  <c r="E1042" i="8"/>
  <c r="D1042" i="8"/>
  <c r="F1041" i="8"/>
  <c r="E1041" i="8"/>
  <c r="D1041" i="8"/>
  <c r="F1040" i="8"/>
  <c r="E1040" i="8"/>
  <c r="D1040" i="8"/>
  <c r="F1039" i="8"/>
  <c r="E1039" i="8"/>
  <c r="D1039" i="8"/>
  <c r="F1038" i="8"/>
  <c r="E1038" i="8"/>
  <c r="D1038" i="8"/>
  <c r="F1037" i="8"/>
  <c r="E1037" i="8"/>
  <c r="D1037" i="8"/>
  <c r="F1036" i="8"/>
  <c r="E1036" i="8"/>
  <c r="D1036" i="8"/>
  <c r="F1035" i="8"/>
  <c r="E1035" i="8"/>
  <c r="D1035" i="8"/>
  <c r="F1034" i="8"/>
  <c r="E1034" i="8"/>
  <c r="D1034" i="8"/>
  <c r="F1033" i="8"/>
  <c r="E1033" i="8"/>
  <c r="D1033" i="8"/>
  <c r="F1032" i="8"/>
  <c r="E1032" i="8"/>
  <c r="D1032" i="8"/>
  <c r="F1031" i="8"/>
  <c r="E1031" i="8"/>
  <c r="D1031" i="8"/>
  <c r="F1030" i="8"/>
  <c r="E1030" i="8"/>
  <c r="D1030" i="8"/>
  <c r="F1029" i="8"/>
  <c r="E1029" i="8"/>
  <c r="D1029" i="8"/>
  <c r="F1028" i="8"/>
  <c r="E1028" i="8"/>
  <c r="D1028" i="8"/>
  <c r="F1027" i="8"/>
  <c r="E1027" i="8"/>
  <c r="D1027" i="8"/>
  <c r="F1026" i="8"/>
  <c r="E1026" i="8"/>
  <c r="D1026" i="8"/>
  <c r="F1025" i="8"/>
  <c r="E1025" i="8"/>
  <c r="D1025" i="8"/>
  <c r="F1024" i="8"/>
  <c r="E1024" i="8"/>
  <c r="D1024" i="8"/>
  <c r="F1023" i="8"/>
  <c r="E1023" i="8"/>
  <c r="D1023" i="8"/>
  <c r="F1022" i="8"/>
  <c r="E1022" i="8"/>
  <c r="D1022" i="8"/>
  <c r="F1021" i="8"/>
  <c r="E1021" i="8"/>
  <c r="D1021" i="8"/>
  <c r="F1020" i="8"/>
  <c r="E1020" i="8"/>
  <c r="D1020" i="8"/>
  <c r="F1019" i="8"/>
  <c r="E1019" i="8"/>
  <c r="D1019" i="8"/>
  <c r="F1018" i="8"/>
  <c r="E1018" i="8"/>
  <c r="D1018" i="8"/>
  <c r="F1017" i="8"/>
  <c r="E1017" i="8"/>
  <c r="D1017" i="8"/>
  <c r="F1016" i="8"/>
  <c r="E1016" i="8"/>
  <c r="D1016" i="8"/>
  <c r="F1015" i="8"/>
  <c r="E1015" i="8"/>
  <c r="D1015" i="8"/>
  <c r="F1014" i="8"/>
  <c r="E1014" i="8"/>
  <c r="D1014" i="8"/>
  <c r="F1013" i="8"/>
  <c r="E1013" i="8"/>
  <c r="D1013" i="8"/>
  <c r="F1012" i="8"/>
  <c r="E1012" i="8"/>
  <c r="D1012" i="8"/>
  <c r="F1011" i="8"/>
  <c r="E1011" i="8"/>
  <c r="D1011" i="8"/>
  <c r="F1010" i="8"/>
  <c r="E1010" i="8"/>
  <c r="D1010" i="8"/>
  <c r="F1009" i="8"/>
  <c r="E1009" i="8"/>
  <c r="D1009" i="8"/>
  <c r="F1008" i="8"/>
  <c r="E1008" i="8"/>
  <c r="D1008" i="8"/>
  <c r="F1007" i="8"/>
  <c r="E1007" i="8"/>
  <c r="D1007" i="8"/>
  <c r="F1006" i="8"/>
  <c r="E1006" i="8"/>
  <c r="D1006" i="8"/>
  <c r="F1005" i="8"/>
  <c r="E1005" i="8"/>
  <c r="D1005" i="8"/>
  <c r="F1004" i="8"/>
  <c r="E1004" i="8"/>
  <c r="D1004" i="8"/>
  <c r="F1003" i="8"/>
  <c r="E1003" i="8"/>
  <c r="D1003" i="8"/>
  <c r="F1002" i="8"/>
  <c r="E1002" i="8"/>
  <c r="D1002" i="8"/>
  <c r="F1001" i="8"/>
  <c r="E1001" i="8"/>
  <c r="D1001" i="8"/>
  <c r="F1000" i="8"/>
  <c r="E1000" i="8"/>
  <c r="D1000" i="8"/>
  <c r="F999" i="8"/>
  <c r="E999" i="8"/>
  <c r="D999" i="8"/>
  <c r="F998" i="8"/>
  <c r="E998" i="8"/>
  <c r="D998" i="8"/>
  <c r="F997" i="8"/>
  <c r="E997" i="8"/>
  <c r="D997" i="8"/>
  <c r="F996" i="8"/>
  <c r="E996" i="8"/>
  <c r="D996" i="8"/>
  <c r="F995" i="8"/>
  <c r="E995" i="8"/>
  <c r="D995" i="8"/>
  <c r="F994" i="8"/>
  <c r="E994" i="8"/>
  <c r="D994" i="8"/>
  <c r="F993" i="8"/>
  <c r="E993" i="8"/>
  <c r="D993" i="8"/>
  <c r="F992" i="8"/>
  <c r="E992" i="8"/>
  <c r="D992" i="8"/>
  <c r="F991" i="8"/>
  <c r="E991" i="8"/>
  <c r="D991" i="8"/>
  <c r="F990" i="8"/>
  <c r="E990" i="8"/>
  <c r="D990" i="8"/>
  <c r="F989" i="8"/>
  <c r="E989" i="8"/>
  <c r="D989" i="8"/>
  <c r="F988" i="8"/>
  <c r="E988" i="8"/>
  <c r="D988" i="8"/>
  <c r="F987" i="8"/>
  <c r="E987" i="8"/>
  <c r="D987" i="8"/>
  <c r="F986" i="8"/>
  <c r="E986" i="8"/>
  <c r="D986" i="8"/>
  <c r="F985" i="8"/>
  <c r="E985" i="8"/>
  <c r="D985" i="8"/>
  <c r="F984" i="8"/>
  <c r="E984" i="8"/>
  <c r="D984" i="8"/>
  <c r="F983" i="8"/>
  <c r="E983" i="8"/>
  <c r="D983" i="8"/>
  <c r="F982" i="8"/>
  <c r="E982" i="8"/>
  <c r="D982" i="8"/>
  <c r="F981" i="8"/>
  <c r="E981" i="8"/>
  <c r="D981" i="8"/>
  <c r="F980" i="8"/>
  <c r="E980" i="8"/>
  <c r="D980" i="8"/>
  <c r="F979" i="8"/>
  <c r="E979" i="8"/>
  <c r="D979" i="8"/>
  <c r="F978" i="8"/>
  <c r="E978" i="8"/>
  <c r="D978" i="8"/>
  <c r="F977" i="8"/>
  <c r="E977" i="8"/>
  <c r="D977" i="8"/>
  <c r="F976" i="8"/>
  <c r="E976" i="8"/>
  <c r="D976" i="8"/>
  <c r="F975" i="8"/>
  <c r="E975" i="8"/>
  <c r="D975" i="8"/>
  <c r="F974" i="8"/>
  <c r="E974" i="8"/>
  <c r="D974" i="8"/>
  <c r="F973" i="8"/>
  <c r="E973" i="8"/>
  <c r="D973" i="8"/>
  <c r="F972" i="8"/>
  <c r="E972" i="8"/>
  <c r="D972" i="8"/>
  <c r="F971" i="8"/>
  <c r="E971" i="8"/>
  <c r="D971" i="8"/>
  <c r="F970" i="8"/>
  <c r="E970" i="8"/>
  <c r="D970" i="8"/>
  <c r="F969" i="8"/>
  <c r="E969" i="8"/>
  <c r="D969" i="8"/>
  <c r="F968" i="8"/>
  <c r="E968" i="8"/>
  <c r="D968" i="8"/>
  <c r="F967" i="8"/>
  <c r="E967" i="8"/>
  <c r="D967" i="8"/>
  <c r="F966" i="8"/>
  <c r="E966" i="8"/>
  <c r="D966" i="8"/>
  <c r="F965" i="8"/>
  <c r="E965" i="8"/>
  <c r="D965" i="8"/>
  <c r="F964" i="8"/>
  <c r="E964" i="8"/>
  <c r="D964" i="8"/>
  <c r="F963" i="8"/>
  <c r="E963" i="8"/>
  <c r="D963" i="8"/>
  <c r="F962" i="8"/>
  <c r="E962" i="8"/>
  <c r="D962" i="8"/>
  <c r="F961" i="8"/>
  <c r="E961" i="8"/>
  <c r="D961" i="8"/>
  <c r="F960" i="8"/>
  <c r="E960" i="8"/>
  <c r="D960" i="8"/>
  <c r="F959" i="8"/>
  <c r="E959" i="8"/>
  <c r="D959" i="8"/>
  <c r="F958" i="8"/>
  <c r="E958" i="8"/>
  <c r="D958" i="8"/>
  <c r="F957" i="8"/>
  <c r="E957" i="8"/>
  <c r="D957" i="8"/>
  <c r="F956" i="8"/>
  <c r="E956" i="8"/>
  <c r="D956" i="8"/>
  <c r="F955" i="8"/>
  <c r="E955" i="8"/>
  <c r="D955" i="8"/>
  <c r="F954" i="8"/>
  <c r="E954" i="8"/>
  <c r="D954" i="8"/>
  <c r="F953" i="8"/>
  <c r="E953" i="8"/>
  <c r="D953" i="8"/>
  <c r="F952" i="8"/>
  <c r="E952" i="8"/>
  <c r="D952" i="8"/>
  <c r="F951" i="8"/>
  <c r="E951" i="8"/>
  <c r="D951" i="8"/>
  <c r="F950" i="8"/>
  <c r="E950" i="8"/>
  <c r="D950" i="8"/>
  <c r="F949" i="8"/>
  <c r="E949" i="8"/>
  <c r="D949" i="8"/>
  <c r="F948" i="8"/>
  <c r="E948" i="8"/>
  <c r="D948" i="8"/>
  <c r="F947" i="8"/>
  <c r="E947" i="8"/>
  <c r="D947" i="8"/>
  <c r="F946" i="8"/>
  <c r="E946" i="8"/>
  <c r="D946" i="8"/>
  <c r="F945" i="8"/>
  <c r="E945" i="8"/>
  <c r="D945" i="8"/>
  <c r="F944" i="8"/>
  <c r="E944" i="8"/>
  <c r="D944" i="8"/>
  <c r="F943" i="8"/>
  <c r="E943" i="8"/>
  <c r="D943" i="8"/>
  <c r="F942" i="8"/>
  <c r="E942" i="8"/>
  <c r="D942" i="8"/>
  <c r="F941" i="8"/>
  <c r="E941" i="8"/>
  <c r="D941" i="8"/>
  <c r="F940" i="8"/>
  <c r="E940" i="8"/>
  <c r="D940" i="8"/>
  <c r="F939" i="8"/>
  <c r="E939" i="8"/>
  <c r="D939" i="8"/>
  <c r="F938" i="8"/>
  <c r="E938" i="8"/>
  <c r="D938" i="8"/>
  <c r="F937" i="8"/>
  <c r="E937" i="8"/>
  <c r="D937" i="8"/>
  <c r="F936" i="8"/>
  <c r="E936" i="8"/>
  <c r="D936" i="8"/>
  <c r="F935" i="8"/>
  <c r="E935" i="8"/>
  <c r="D935" i="8"/>
  <c r="F934" i="8"/>
  <c r="E934" i="8"/>
  <c r="D934" i="8"/>
  <c r="F933" i="8"/>
  <c r="E933" i="8"/>
  <c r="D933" i="8"/>
  <c r="F932" i="8"/>
  <c r="E932" i="8"/>
  <c r="D932" i="8"/>
  <c r="F931" i="8"/>
  <c r="E931" i="8"/>
  <c r="D931" i="8"/>
  <c r="F930" i="8"/>
  <c r="E930" i="8"/>
  <c r="D930" i="8"/>
  <c r="F929" i="8"/>
  <c r="E929" i="8"/>
  <c r="D929" i="8"/>
  <c r="F928" i="8"/>
  <c r="E928" i="8"/>
  <c r="D928" i="8"/>
  <c r="F927" i="8"/>
  <c r="E927" i="8"/>
  <c r="D927" i="8"/>
  <c r="F926" i="8"/>
  <c r="E926" i="8"/>
  <c r="D926" i="8"/>
  <c r="F925" i="8"/>
  <c r="E925" i="8"/>
  <c r="D925" i="8"/>
  <c r="F924" i="8"/>
  <c r="E924" i="8"/>
  <c r="D924" i="8"/>
  <c r="F923" i="8"/>
  <c r="E923" i="8"/>
  <c r="D923" i="8"/>
  <c r="F922" i="8"/>
  <c r="E922" i="8"/>
  <c r="D922" i="8"/>
  <c r="F921" i="8"/>
  <c r="E921" i="8"/>
  <c r="D921" i="8"/>
  <c r="F920" i="8"/>
  <c r="E920" i="8"/>
  <c r="D920" i="8"/>
  <c r="F919" i="8"/>
  <c r="E919" i="8"/>
  <c r="D919" i="8"/>
  <c r="F918" i="8"/>
  <c r="E918" i="8"/>
  <c r="D918" i="8"/>
  <c r="F917" i="8"/>
  <c r="E917" i="8"/>
  <c r="D917" i="8"/>
  <c r="F916" i="8"/>
  <c r="E916" i="8"/>
  <c r="D916" i="8"/>
  <c r="F915" i="8"/>
  <c r="E915" i="8"/>
  <c r="D915" i="8"/>
  <c r="F914" i="8"/>
  <c r="E914" i="8"/>
  <c r="D914" i="8"/>
  <c r="F913" i="8"/>
  <c r="E913" i="8"/>
  <c r="D913" i="8"/>
  <c r="F912" i="8"/>
  <c r="E912" i="8"/>
  <c r="D912" i="8"/>
  <c r="F911" i="8"/>
  <c r="E911" i="8"/>
  <c r="D911" i="8"/>
  <c r="F910" i="8"/>
  <c r="E910" i="8"/>
  <c r="D910" i="8"/>
  <c r="F909" i="8"/>
  <c r="E909" i="8"/>
  <c r="D909" i="8"/>
  <c r="F908" i="8"/>
  <c r="E908" i="8"/>
  <c r="D908" i="8"/>
  <c r="F907" i="8"/>
  <c r="E907" i="8"/>
  <c r="D907" i="8"/>
  <c r="F906" i="8"/>
  <c r="E906" i="8"/>
  <c r="D906" i="8"/>
  <c r="F905" i="8"/>
  <c r="E905" i="8"/>
  <c r="D905" i="8"/>
  <c r="F904" i="8"/>
  <c r="E904" i="8"/>
  <c r="D904" i="8"/>
  <c r="F903" i="8"/>
  <c r="E903" i="8"/>
  <c r="D903" i="8"/>
  <c r="F902" i="8"/>
  <c r="E902" i="8"/>
  <c r="D902" i="8"/>
  <c r="F901" i="8"/>
  <c r="E901" i="8"/>
  <c r="D901" i="8"/>
  <c r="F900" i="8"/>
  <c r="E900" i="8"/>
  <c r="D900" i="8"/>
  <c r="F899" i="8"/>
  <c r="E899" i="8"/>
  <c r="D899" i="8"/>
  <c r="F898" i="8"/>
  <c r="E898" i="8"/>
  <c r="D898" i="8"/>
  <c r="F897" i="8"/>
  <c r="E897" i="8"/>
  <c r="D897" i="8"/>
  <c r="F896" i="8"/>
  <c r="E896" i="8"/>
  <c r="D896" i="8"/>
  <c r="F895" i="8"/>
  <c r="E895" i="8"/>
  <c r="D895" i="8"/>
  <c r="F894" i="8"/>
  <c r="E894" i="8"/>
  <c r="D894" i="8"/>
  <c r="F893" i="8"/>
  <c r="E893" i="8"/>
  <c r="D893" i="8"/>
  <c r="F892" i="8"/>
  <c r="E892" i="8"/>
  <c r="D892" i="8"/>
  <c r="F891" i="8"/>
  <c r="E891" i="8"/>
  <c r="D891" i="8"/>
  <c r="F890" i="8"/>
  <c r="E890" i="8"/>
  <c r="D890" i="8"/>
  <c r="F889" i="8"/>
  <c r="E889" i="8"/>
  <c r="D889" i="8"/>
  <c r="F888" i="8"/>
  <c r="E888" i="8"/>
  <c r="D888" i="8"/>
  <c r="F887" i="8"/>
  <c r="E887" i="8"/>
  <c r="D887" i="8"/>
  <c r="F886" i="8"/>
  <c r="E886" i="8"/>
  <c r="D886" i="8"/>
  <c r="F885" i="8"/>
  <c r="E885" i="8"/>
  <c r="D885" i="8"/>
  <c r="F884" i="8"/>
  <c r="E884" i="8"/>
  <c r="D884" i="8"/>
  <c r="F883" i="8"/>
  <c r="E883" i="8"/>
  <c r="D883" i="8"/>
  <c r="F882" i="8"/>
  <c r="E882" i="8"/>
  <c r="D882" i="8"/>
  <c r="F881" i="8"/>
  <c r="E881" i="8"/>
  <c r="D881" i="8"/>
  <c r="F880" i="8"/>
  <c r="E880" i="8"/>
  <c r="D880" i="8"/>
  <c r="F879" i="8"/>
  <c r="E879" i="8"/>
  <c r="D879" i="8"/>
  <c r="F878" i="8"/>
  <c r="E878" i="8"/>
  <c r="D878" i="8"/>
  <c r="F877" i="8"/>
  <c r="E877" i="8"/>
  <c r="D877" i="8"/>
  <c r="F876" i="8"/>
  <c r="E876" i="8"/>
  <c r="D876" i="8"/>
  <c r="F875" i="8"/>
  <c r="E875" i="8"/>
  <c r="D875" i="8"/>
  <c r="F874" i="8"/>
  <c r="E874" i="8"/>
  <c r="D874" i="8"/>
  <c r="F873" i="8"/>
  <c r="E873" i="8"/>
  <c r="D873" i="8"/>
  <c r="F872" i="8"/>
  <c r="E872" i="8"/>
  <c r="D872" i="8"/>
  <c r="F871" i="8"/>
  <c r="E871" i="8"/>
  <c r="D871" i="8"/>
  <c r="F870" i="8"/>
  <c r="E870" i="8"/>
  <c r="D870" i="8"/>
  <c r="F869" i="8"/>
  <c r="E869" i="8"/>
  <c r="D869" i="8"/>
  <c r="F868" i="8"/>
  <c r="E868" i="8"/>
  <c r="D868" i="8"/>
  <c r="F867" i="8"/>
  <c r="E867" i="8"/>
  <c r="D867" i="8"/>
  <c r="F866" i="8"/>
  <c r="E866" i="8"/>
  <c r="D866" i="8"/>
  <c r="F865" i="8"/>
  <c r="E865" i="8"/>
  <c r="D865" i="8"/>
  <c r="F864" i="8"/>
  <c r="E864" i="8"/>
  <c r="D864" i="8"/>
  <c r="F863" i="8"/>
  <c r="E863" i="8"/>
  <c r="D863" i="8"/>
  <c r="F862" i="8"/>
  <c r="E862" i="8"/>
  <c r="D862" i="8"/>
  <c r="F861" i="8"/>
  <c r="E861" i="8"/>
  <c r="D861" i="8"/>
  <c r="F860" i="8"/>
  <c r="E860" i="8"/>
  <c r="D860" i="8"/>
  <c r="F859" i="8"/>
  <c r="E859" i="8"/>
  <c r="D859" i="8"/>
  <c r="F858" i="8"/>
  <c r="E858" i="8"/>
  <c r="D858" i="8"/>
  <c r="F857" i="8"/>
  <c r="E857" i="8"/>
  <c r="D857" i="8"/>
  <c r="F856" i="8"/>
  <c r="E856" i="8"/>
  <c r="D856" i="8"/>
  <c r="F855" i="8"/>
  <c r="E855" i="8"/>
  <c r="D855" i="8"/>
  <c r="F854" i="8"/>
  <c r="E854" i="8"/>
  <c r="D854" i="8"/>
  <c r="F853" i="8"/>
  <c r="E853" i="8"/>
  <c r="D853" i="8"/>
  <c r="F852" i="8"/>
  <c r="E852" i="8"/>
  <c r="D852" i="8"/>
  <c r="F851" i="8"/>
  <c r="E851" i="8"/>
  <c r="D851" i="8"/>
  <c r="F850" i="8"/>
  <c r="E850" i="8"/>
  <c r="D850" i="8"/>
  <c r="F849" i="8"/>
  <c r="E849" i="8"/>
  <c r="D849" i="8"/>
  <c r="F848" i="8"/>
  <c r="E848" i="8"/>
  <c r="D848" i="8"/>
  <c r="F847" i="8"/>
  <c r="E847" i="8"/>
  <c r="D847" i="8"/>
  <c r="F846" i="8"/>
  <c r="E846" i="8"/>
  <c r="D846" i="8"/>
  <c r="F845" i="8"/>
  <c r="E845" i="8"/>
  <c r="D845" i="8"/>
  <c r="F844" i="8"/>
  <c r="E844" i="8"/>
  <c r="D844" i="8"/>
  <c r="F843" i="8"/>
  <c r="E843" i="8"/>
  <c r="D843" i="8"/>
  <c r="F842" i="8"/>
  <c r="E842" i="8"/>
  <c r="D842" i="8"/>
  <c r="F841" i="8"/>
  <c r="E841" i="8"/>
  <c r="D841" i="8"/>
  <c r="F840" i="8"/>
  <c r="E840" i="8"/>
  <c r="D840" i="8"/>
  <c r="F839" i="8"/>
  <c r="E839" i="8"/>
  <c r="D839" i="8"/>
  <c r="F838" i="8"/>
  <c r="E838" i="8"/>
  <c r="D838" i="8"/>
  <c r="F837" i="8"/>
  <c r="E837" i="8"/>
  <c r="D837" i="8"/>
  <c r="F836" i="8"/>
  <c r="E836" i="8"/>
  <c r="D836" i="8"/>
  <c r="F835" i="8"/>
  <c r="E835" i="8"/>
  <c r="D835" i="8"/>
  <c r="F834" i="8"/>
  <c r="E834" i="8"/>
  <c r="D834" i="8"/>
  <c r="F833" i="8"/>
  <c r="E833" i="8"/>
  <c r="D833" i="8"/>
  <c r="F832" i="8"/>
  <c r="E832" i="8"/>
  <c r="D832" i="8"/>
  <c r="F831" i="8"/>
  <c r="E831" i="8"/>
  <c r="D831" i="8"/>
  <c r="F830" i="8"/>
  <c r="E830" i="8"/>
  <c r="D830" i="8"/>
  <c r="F829" i="8"/>
  <c r="E829" i="8"/>
  <c r="D829" i="8"/>
  <c r="F828" i="8"/>
  <c r="E828" i="8"/>
  <c r="D828" i="8"/>
  <c r="F827" i="8"/>
  <c r="E827" i="8"/>
  <c r="D827" i="8"/>
  <c r="F826" i="8"/>
  <c r="E826" i="8"/>
  <c r="D826" i="8"/>
  <c r="F825" i="8"/>
  <c r="E825" i="8"/>
  <c r="D825" i="8"/>
  <c r="F824" i="8"/>
  <c r="E824" i="8"/>
  <c r="D824" i="8"/>
  <c r="F823" i="8"/>
  <c r="E823" i="8"/>
  <c r="D823" i="8"/>
  <c r="F822" i="8"/>
  <c r="E822" i="8"/>
  <c r="D822" i="8"/>
  <c r="F821" i="8"/>
  <c r="E821" i="8"/>
  <c r="D821" i="8"/>
  <c r="F820" i="8"/>
  <c r="E820" i="8"/>
  <c r="D820" i="8"/>
  <c r="F819" i="8"/>
  <c r="E819" i="8"/>
  <c r="D819" i="8"/>
  <c r="F818" i="8"/>
  <c r="E818" i="8"/>
  <c r="D818" i="8"/>
  <c r="F817" i="8"/>
  <c r="E817" i="8"/>
  <c r="D817" i="8"/>
  <c r="F816" i="8"/>
  <c r="E816" i="8"/>
  <c r="D816" i="8"/>
  <c r="F815" i="8"/>
  <c r="E815" i="8"/>
  <c r="D815" i="8"/>
  <c r="F814" i="8"/>
  <c r="E814" i="8"/>
  <c r="D814" i="8"/>
  <c r="F813" i="8"/>
  <c r="E813" i="8"/>
  <c r="D813" i="8"/>
  <c r="F812" i="8"/>
  <c r="E812" i="8"/>
  <c r="D812" i="8"/>
  <c r="F811" i="8"/>
  <c r="E811" i="8"/>
  <c r="D811" i="8"/>
  <c r="F810" i="8"/>
  <c r="E810" i="8"/>
  <c r="D810" i="8"/>
  <c r="F809" i="8"/>
  <c r="E809" i="8"/>
  <c r="D809" i="8"/>
  <c r="F808" i="8"/>
  <c r="E808" i="8"/>
  <c r="D808" i="8"/>
  <c r="F807" i="8"/>
  <c r="E807" i="8"/>
  <c r="D807" i="8"/>
  <c r="F806" i="8"/>
  <c r="E806" i="8"/>
  <c r="D806" i="8"/>
  <c r="F805" i="8"/>
  <c r="E805" i="8"/>
  <c r="D805" i="8"/>
  <c r="F804" i="8"/>
  <c r="E804" i="8"/>
  <c r="D804" i="8"/>
  <c r="F803" i="8"/>
  <c r="E803" i="8"/>
  <c r="D803" i="8"/>
  <c r="F802" i="8"/>
  <c r="E802" i="8"/>
  <c r="D802" i="8"/>
  <c r="F801" i="8"/>
  <c r="E801" i="8"/>
  <c r="D801" i="8"/>
  <c r="F800" i="8"/>
  <c r="E800" i="8"/>
  <c r="D800" i="8"/>
  <c r="F799" i="8"/>
  <c r="E799" i="8"/>
  <c r="D799" i="8"/>
  <c r="F798" i="8"/>
  <c r="E798" i="8"/>
  <c r="D798" i="8"/>
  <c r="F797" i="8"/>
  <c r="E797" i="8"/>
  <c r="D797" i="8"/>
  <c r="F796" i="8"/>
  <c r="E796" i="8"/>
  <c r="D796" i="8"/>
  <c r="F795" i="8"/>
  <c r="E795" i="8"/>
  <c r="D795" i="8"/>
  <c r="F794" i="8"/>
  <c r="E794" i="8"/>
  <c r="D794" i="8"/>
  <c r="F793" i="8"/>
  <c r="E793" i="8"/>
  <c r="D793" i="8"/>
  <c r="F792" i="8"/>
  <c r="E792" i="8"/>
  <c r="D792" i="8"/>
  <c r="F791" i="8"/>
  <c r="E791" i="8"/>
  <c r="D791" i="8"/>
  <c r="F790" i="8"/>
  <c r="E790" i="8"/>
  <c r="D790" i="8"/>
  <c r="F789" i="8"/>
  <c r="E789" i="8"/>
  <c r="D789" i="8"/>
  <c r="F788" i="8"/>
  <c r="E788" i="8"/>
  <c r="D788" i="8"/>
  <c r="F787" i="8"/>
  <c r="E787" i="8"/>
  <c r="D787" i="8"/>
  <c r="F786" i="8"/>
  <c r="E786" i="8"/>
  <c r="D786" i="8"/>
  <c r="F785" i="8"/>
  <c r="E785" i="8"/>
  <c r="D785" i="8"/>
  <c r="F784" i="8"/>
  <c r="E784" i="8"/>
  <c r="D784" i="8"/>
  <c r="F783" i="8"/>
  <c r="E783" i="8"/>
  <c r="D783" i="8"/>
  <c r="F782" i="8"/>
  <c r="E782" i="8"/>
  <c r="D782" i="8"/>
  <c r="F781" i="8"/>
  <c r="E781" i="8"/>
  <c r="D781" i="8"/>
  <c r="F780" i="8"/>
  <c r="E780" i="8"/>
  <c r="D780" i="8"/>
  <c r="F779" i="8"/>
  <c r="E779" i="8"/>
  <c r="D779" i="8"/>
  <c r="F778" i="8"/>
  <c r="E778" i="8"/>
  <c r="D778" i="8"/>
  <c r="F777" i="8"/>
  <c r="E777" i="8"/>
  <c r="D777" i="8"/>
  <c r="F776" i="8"/>
  <c r="E776" i="8"/>
  <c r="D776" i="8"/>
  <c r="F775" i="8"/>
  <c r="E775" i="8"/>
  <c r="D775" i="8"/>
  <c r="F774" i="8"/>
  <c r="E774" i="8"/>
  <c r="D774" i="8"/>
  <c r="F773" i="8"/>
  <c r="E773" i="8"/>
  <c r="D773" i="8"/>
  <c r="F772" i="8"/>
  <c r="E772" i="8"/>
  <c r="D772" i="8"/>
  <c r="F771" i="8"/>
  <c r="E771" i="8"/>
  <c r="D771" i="8"/>
  <c r="F770" i="8"/>
  <c r="E770" i="8"/>
  <c r="D770" i="8"/>
  <c r="F769" i="8"/>
  <c r="E769" i="8"/>
  <c r="D769" i="8"/>
  <c r="F768" i="8"/>
  <c r="E768" i="8"/>
  <c r="D768" i="8"/>
  <c r="F767" i="8"/>
  <c r="E767" i="8"/>
  <c r="D767" i="8"/>
  <c r="F766" i="8"/>
  <c r="E766" i="8"/>
  <c r="D766" i="8"/>
  <c r="F765" i="8"/>
  <c r="E765" i="8"/>
  <c r="D765" i="8"/>
  <c r="F764" i="8"/>
  <c r="E764" i="8"/>
  <c r="D764" i="8"/>
  <c r="F763" i="8"/>
  <c r="E763" i="8"/>
  <c r="D763" i="8"/>
  <c r="F762" i="8"/>
  <c r="E762" i="8"/>
  <c r="D762" i="8"/>
  <c r="F761" i="8"/>
  <c r="E761" i="8"/>
  <c r="D761" i="8"/>
  <c r="F760" i="8"/>
  <c r="E760" i="8"/>
  <c r="D760" i="8"/>
  <c r="F759" i="8"/>
  <c r="E759" i="8"/>
  <c r="D759" i="8"/>
  <c r="F758" i="8"/>
  <c r="E758" i="8"/>
  <c r="D758" i="8"/>
  <c r="F757" i="8"/>
  <c r="E757" i="8"/>
  <c r="D757" i="8"/>
  <c r="F756" i="8"/>
  <c r="E756" i="8"/>
  <c r="D756" i="8"/>
  <c r="F755" i="8"/>
  <c r="E755" i="8"/>
  <c r="D755" i="8"/>
  <c r="F754" i="8"/>
  <c r="E754" i="8"/>
  <c r="D754" i="8"/>
  <c r="F753" i="8"/>
  <c r="E753" i="8"/>
  <c r="D753" i="8"/>
  <c r="F752" i="8"/>
  <c r="E752" i="8"/>
  <c r="D752" i="8"/>
  <c r="F751" i="8"/>
  <c r="E751" i="8"/>
  <c r="D751" i="8"/>
  <c r="F750" i="8"/>
  <c r="E750" i="8"/>
  <c r="D750" i="8"/>
  <c r="F749" i="8"/>
  <c r="E749" i="8"/>
  <c r="D749" i="8"/>
  <c r="F748" i="8"/>
  <c r="E748" i="8"/>
  <c r="D748" i="8"/>
  <c r="F747" i="8"/>
  <c r="E747" i="8"/>
  <c r="D747" i="8"/>
  <c r="F746" i="8"/>
  <c r="E746" i="8"/>
  <c r="D746" i="8"/>
  <c r="F745" i="8"/>
  <c r="E745" i="8"/>
  <c r="D745" i="8"/>
  <c r="F744" i="8"/>
  <c r="E744" i="8"/>
  <c r="N50" i="6" s="1"/>
  <c r="D744" i="8"/>
  <c r="F743" i="8"/>
  <c r="E743" i="8"/>
  <c r="D743" i="8"/>
  <c r="F742" i="8"/>
  <c r="E742" i="8"/>
  <c r="D742" i="8"/>
  <c r="F741" i="8"/>
  <c r="E741" i="8"/>
  <c r="D741" i="8"/>
  <c r="F740" i="8"/>
  <c r="E740" i="8"/>
  <c r="D740" i="8"/>
  <c r="F739" i="8"/>
  <c r="E739" i="8"/>
  <c r="D739" i="8"/>
  <c r="F738" i="8"/>
  <c r="E738" i="8"/>
  <c r="D738" i="8"/>
  <c r="F737" i="8"/>
  <c r="E737" i="8"/>
  <c r="D737" i="8"/>
  <c r="F736" i="8"/>
  <c r="E736" i="8"/>
  <c r="D736" i="8"/>
  <c r="F735" i="8"/>
  <c r="E735" i="8"/>
  <c r="D735" i="8"/>
  <c r="F734" i="8"/>
  <c r="E734" i="8"/>
  <c r="D734" i="8"/>
  <c r="F733" i="8"/>
  <c r="E733" i="8"/>
  <c r="D733" i="8"/>
  <c r="F732" i="8"/>
  <c r="E732" i="8"/>
  <c r="D732" i="8"/>
  <c r="F731" i="8"/>
  <c r="E731" i="8"/>
  <c r="D731" i="8"/>
  <c r="F730" i="8"/>
  <c r="E730" i="8"/>
  <c r="D730" i="8"/>
  <c r="F729" i="8"/>
  <c r="E729" i="8"/>
  <c r="D729" i="8"/>
  <c r="F728" i="8"/>
  <c r="E728" i="8"/>
  <c r="D728" i="8"/>
  <c r="F727" i="8"/>
  <c r="E727" i="8"/>
  <c r="D727" i="8"/>
  <c r="F726" i="8"/>
  <c r="E726" i="8"/>
  <c r="D726" i="8"/>
  <c r="F725" i="8"/>
  <c r="E725" i="8"/>
  <c r="D725" i="8"/>
  <c r="F724" i="8"/>
  <c r="E724" i="8"/>
  <c r="D724" i="8"/>
  <c r="F723" i="8"/>
  <c r="E723" i="8"/>
  <c r="D723" i="8"/>
  <c r="F722" i="8"/>
  <c r="E722" i="8"/>
  <c r="D722" i="8"/>
  <c r="F721" i="8"/>
  <c r="E721" i="8"/>
  <c r="D721" i="8"/>
  <c r="F720" i="8"/>
  <c r="E720" i="8"/>
  <c r="D720" i="8"/>
  <c r="F719" i="8"/>
  <c r="E719" i="8"/>
  <c r="D719" i="8"/>
  <c r="F718" i="8"/>
  <c r="E718" i="8"/>
  <c r="D718" i="8"/>
  <c r="F717" i="8"/>
  <c r="E717" i="8"/>
  <c r="D717" i="8"/>
  <c r="F716" i="8"/>
  <c r="E716" i="8"/>
  <c r="D716" i="8"/>
  <c r="F715" i="8"/>
  <c r="E715" i="8"/>
  <c r="D715" i="8"/>
  <c r="F714" i="8"/>
  <c r="E714" i="8"/>
  <c r="D714" i="8"/>
  <c r="F713" i="8"/>
  <c r="E713" i="8"/>
  <c r="D713" i="8"/>
  <c r="F712" i="8"/>
  <c r="E712" i="8"/>
  <c r="D712" i="8"/>
  <c r="F711" i="8"/>
  <c r="E711" i="8"/>
  <c r="D711" i="8"/>
  <c r="F710" i="8"/>
  <c r="E710" i="8"/>
  <c r="D710" i="8"/>
  <c r="F709" i="8"/>
  <c r="E709" i="8"/>
  <c r="D709" i="8"/>
  <c r="F708" i="8"/>
  <c r="E708" i="8"/>
  <c r="D708" i="8"/>
  <c r="F707" i="8"/>
  <c r="E707" i="8"/>
  <c r="D707" i="8"/>
  <c r="F706" i="8"/>
  <c r="E706" i="8"/>
  <c r="D706" i="8"/>
  <c r="F705" i="8"/>
  <c r="E705" i="8"/>
  <c r="D705" i="8"/>
  <c r="F704" i="8"/>
  <c r="E704" i="8"/>
  <c r="D704" i="8"/>
  <c r="F703" i="8"/>
  <c r="E703" i="8"/>
  <c r="D703" i="8"/>
  <c r="F702" i="8"/>
  <c r="E702" i="8"/>
  <c r="D702" i="8"/>
  <c r="F701" i="8"/>
  <c r="E701" i="8"/>
  <c r="D701" i="8"/>
  <c r="F700" i="8"/>
  <c r="E700" i="8"/>
  <c r="D700" i="8"/>
  <c r="F699" i="8"/>
  <c r="E699" i="8"/>
  <c r="D699" i="8"/>
  <c r="F698" i="8"/>
  <c r="E698" i="8"/>
  <c r="D698" i="8"/>
  <c r="F697" i="8"/>
  <c r="E697" i="8"/>
  <c r="D697" i="8"/>
  <c r="F696" i="8"/>
  <c r="E696" i="8"/>
  <c r="D696" i="8"/>
  <c r="F695" i="8"/>
  <c r="E695" i="8"/>
  <c r="D695" i="8"/>
  <c r="F694" i="8"/>
  <c r="E694" i="8"/>
  <c r="D694" i="8"/>
  <c r="F693" i="8"/>
  <c r="E693" i="8"/>
  <c r="D693" i="8"/>
  <c r="F692" i="8"/>
  <c r="E692" i="8"/>
  <c r="D692" i="8"/>
  <c r="F691" i="8"/>
  <c r="E691" i="8"/>
  <c r="D691" i="8"/>
  <c r="F690" i="8"/>
  <c r="E690" i="8"/>
  <c r="D690" i="8"/>
  <c r="F689" i="8"/>
  <c r="E689" i="8"/>
  <c r="D689" i="8"/>
  <c r="F688" i="8"/>
  <c r="E688" i="8"/>
  <c r="D688" i="8"/>
  <c r="F687" i="8"/>
  <c r="E687" i="8"/>
  <c r="D687" i="8"/>
  <c r="F686" i="8"/>
  <c r="E686" i="8"/>
  <c r="D686" i="8"/>
  <c r="F685" i="8"/>
  <c r="E685" i="8"/>
  <c r="D685" i="8"/>
  <c r="F684" i="8"/>
  <c r="E684" i="8"/>
  <c r="D684" i="8"/>
  <c r="F683" i="8"/>
  <c r="E683" i="8"/>
  <c r="D683" i="8"/>
  <c r="F682" i="8"/>
  <c r="E682" i="8"/>
  <c r="D682" i="8"/>
  <c r="F681" i="8"/>
  <c r="E681" i="8"/>
  <c r="D681" i="8"/>
  <c r="F680" i="8"/>
  <c r="E680" i="8"/>
  <c r="D680" i="8"/>
  <c r="F679" i="8"/>
  <c r="E679" i="8"/>
  <c r="D679" i="8"/>
  <c r="F678" i="8"/>
  <c r="E678" i="8"/>
  <c r="D678" i="8"/>
  <c r="F677" i="8"/>
  <c r="E677" i="8"/>
  <c r="D677" i="8"/>
  <c r="F676" i="8"/>
  <c r="E676" i="8"/>
  <c r="D676" i="8"/>
  <c r="F675" i="8"/>
  <c r="E675" i="8"/>
  <c r="D675" i="8"/>
  <c r="F674" i="8"/>
  <c r="E674" i="8"/>
  <c r="D674" i="8"/>
  <c r="F673" i="8"/>
  <c r="E673" i="8"/>
  <c r="D673" i="8"/>
  <c r="F672" i="8"/>
  <c r="E672" i="8"/>
  <c r="D672" i="8"/>
  <c r="F671" i="8"/>
  <c r="E671" i="8"/>
  <c r="D671" i="8"/>
  <c r="F670" i="8"/>
  <c r="E670" i="8"/>
  <c r="D670" i="8"/>
  <c r="F669" i="8"/>
  <c r="E669" i="8"/>
  <c r="D669" i="8"/>
  <c r="F668" i="8"/>
  <c r="E668" i="8"/>
  <c r="D668" i="8"/>
  <c r="F667" i="8"/>
  <c r="E667" i="8"/>
  <c r="D667" i="8"/>
  <c r="F666" i="8"/>
  <c r="E666" i="8"/>
  <c r="D666" i="8"/>
  <c r="F665" i="8"/>
  <c r="E665" i="8"/>
  <c r="D665" i="8"/>
  <c r="F664" i="8"/>
  <c r="E664" i="8"/>
  <c r="D664" i="8"/>
  <c r="F663" i="8"/>
  <c r="E663" i="8"/>
  <c r="D663" i="8"/>
  <c r="F662" i="8"/>
  <c r="E662" i="8"/>
  <c r="D662" i="8"/>
  <c r="F661" i="8"/>
  <c r="E661" i="8"/>
  <c r="D661" i="8"/>
  <c r="F660" i="8"/>
  <c r="E660" i="8"/>
  <c r="D660" i="8"/>
  <c r="F659" i="8"/>
  <c r="E659" i="8"/>
  <c r="D659" i="8"/>
  <c r="F658" i="8"/>
  <c r="E658" i="8"/>
  <c r="D658" i="8"/>
  <c r="F657" i="8"/>
  <c r="E657" i="8"/>
  <c r="D657" i="8"/>
  <c r="F656" i="8"/>
  <c r="E656" i="8"/>
  <c r="D656" i="8"/>
  <c r="F655" i="8"/>
  <c r="E655" i="8"/>
  <c r="D655" i="8"/>
  <c r="F654" i="8"/>
  <c r="E654" i="8"/>
  <c r="D654" i="8"/>
  <c r="F653" i="8"/>
  <c r="E653" i="8"/>
  <c r="D653" i="8"/>
  <c r="F652" i="8"/>
  <c r="E652" i="8"/>
  <c r="D652" i="8"/>
  <c r="F651" i="8"/>
  <c r="E651" i="8"/>
  <c r="D651" i="8"/>
  <c r="F650" i="8"/>
  <c r="E650" i="8"/>
  <c r="D650" i="8"/>
  <c r="F649" i="8"/>
  <c r="E649" i="8"/>
  <c r="D649" i="8"/>
  <c r="F648" i="8"/>
  <c r="E648" i="8"/>
  <c r="D648" i="8"/>
  <c r="F647" i="8"/>
  <c r="E647" i="8"/>
  <c r="D647" i="8"/>
  <c r="F646" i="8"/>
  <c r="E646" i="8"/>
  <c r="D646" i="8"/>
  <c r="F645" i="8"/>
  <c r="E645" i="8"/>
  <c r="D645" i="8"/>
  <c r="F644" i="8"/>
  <c r="E644" i="8"/>
  <c r="D644" i="8"/>
  <c r="F643" i="8"/>
  <c r="E643" i="8"/>
  <c r="D643" i="8"/>
  <c r="F642" i="8"/>
  <c r="E642" i="8"/>
  <c r="D642" i="8"/>
  <c r="F641" i="8"/>
  <c r="E641" i="8"/>
  <c r="D641" i="8"/>
  <c r="F640" i="8"/>
  <c r="E640" i="8"/>
  <c r="D640" i="8"/>
  <c r="F639" i="8"/>
  <c r="E639" i="8"/>
  <c r="D639" i="8"/>
  <c r="F638" i="8"/>
  <c r="E638" i="8"/>
  <c r="D638" i="8"/>
  <c r="F637" i="8"/>
  <c r="E637" i="8"/>
  <c r="D637" i="8"/>
  <c r="F636" i="8"/>
  <c r="E636" i="8"/>
  <c r="D636" i="8"/>
  <c r="F635" i="8"/>
  <c r="E635" i="8"/>
  <c r="D635" i="8"/>
  <c r="F634" i="8"/>
  <c r="E634" i="8"/>
  <c r="D634" i="8"/>
  <c r="F633" i="8"/>
  <c r="E633" i="8"/>
  <c r="D633" i="8"/>
  <c r="F632" i="8"/>
  <c r="E632" i="8"/>
  <c r="D632" i="8"/>
  <c r="F631" i="8"/>
  <c r="E631" i="8"/>
  <c r="D631" i="8"/>
  <c r="F630" i="8"/>
  <c r="E630" i="8"/>
  <c r="D630" i="8"/>
  <c r="F629" i="8"/>
  <c r="E629" i="8"/>
  <c r="D629" i="8"/>
  <c r="F628" i="8"/>
  <c r="E628" i="8"/>
  <c r="D628" i="8"/>
  <c r="F627" i="8"/>
  <c r="E627" i="8"/>
  <c r="D627" i="8"/>
  <c r="F626" i="8"/>
  <c r="E626" i="8"/>
  <c r="D626" i="8"/>
  <c r="F625" i="8"/>
  <c r="E625" i="8"/>
  <c r="D625" i="8"/>
  <c r="F624" i="8"/>
  <c r="E624" i="8"/>
  <c r="D624" i="8"/>
  <c r="F623" i="8"/>
  <c r="E623" i="8"/>
  <c r="D623" i="8"/>
  <c r="F622" i="8"/>
  <c r="E622" i="8"/>
  <c r="D622" i="8"/>
  <c r="F621" i="8"/>
  <c r="E621" i="8"/>
  <c r="D621" i="8"/>
  <c r="F620" i="8"/>
  <c r="E620" i="8"/>
  <c r="D620" i="8"/>
  <c r="F619" i="8"/>
  <c r="E619" i="8"/>
  <c r="D619" i="8"/>
  <c r="F618" i="8"/>
  <c r="E618" i="8"/>
  <c r="D618" i="8"/>
  <c r="F617" i="8"/>
  <c r="E617" i="8"/>
  <c r="D617" i="8"/>
  <c r="F616" i="8"/>
  <c r="E616" i="8"/>
  <c r="D616" i="8"/>
  <c r="F615" i="8"/>
  <c r="E615" i="8"/>
  <c r="D615" i="8"/>
  <c r="F614" i="8"/>
  <c r="E614" i="8"/>
  <c r="D614" i="8"/>
  <c r="F613" i="8"/>
  <c r="E613" i="8"/>
  <c r="D613" i="8"/>
  <c r="F612" i="8"/>
  <c r="E612" i="8"/>
  <c r="D612" i="8"/>
  <c r="F611" i="8"/>
  <c r="E611" i="8"/>
  <c r="D611" i="8"/>
  <c r="F610" i="8"/>
  <c r="E610" i="8"/>
  <c r="D610" i="8"/>
  <c r="F609" i="8"/>
  <c r="E609" i="8"/>
  <c r="D609" i="8"/>
  <c r="F608" i="8"/>
  <c r="E608" i="8"/>
  <c r="D608" i="8"/>
  <c r="F607" i="8"/>
  <c r="E607" i="8"/>
  <c r="D607" i="8"/>
  <c r="F606" i="8"/>
  <c r="E606" i="8"/>
  <c r="D606" i="8"/>
  <c r="F605" i="8"/>
  <c r="E605" i="8"/>
  <c r="D605" i="8"/>
  <c r="F604" i="8"/>
  <c r="E604" i="8"/>
  <c r="D604" i="8"/>
  <c r="F603" i="8"/>
  <c r="E603" i="8"/>
  <c r="D603" i="8"/>
  <c r="F602" i="8"/>
  <c r="E602" i="8"/>
  <c r="D602" i="8"/>
  <c r="F601" i="8"/>
  <c r="E601" i="8"/>
  <c r="D601" i="8"/>
  <c r="F600" i="8"/>
  <c r="E600" i="8"/>
  <c r="D600" i="8"/>
  <c r="F599" i="8"/>
  <c r="E599" i="8"/>
  <c r="D599" i="8"/>
  <c r="F598" i="8"/>
  <c r="E598" i="8"/>
  <c r="D598" i="8"/>
  <c r="F597" i="8"/>
  <c r="E597" i="8"/>
  <c r="D597" i="8"/>
  <c r="F596" i="8"/>
  <c r="E596" i="8"/>
  <c r="D596" i="8"/>
  <c r="F595" i="8"/>
  <c r="E595" i="8"/>
  <c r="D595" i="8"/>
  <c r="F594" i="8"/>
  <c r="E594" i="8"/>
  <c r="D594" i="8"/>
  <c r="F593" i="8"/>
  <c r="E593" i="8"/>
  <c r="D593" i="8"/>
  <c r="F592" i="8"/>
  <c r="E592" i="8"/>
  <c r="D592" i="8"/>
  <c r="F591" i="8"/>
  <c r="E591" i="8"/>
  <c r="D591" i="8"/>
  <c r="F590" i="8"/>
  <c r="E590" i="8"/>
  <c r="D590" i="8"/>
  <c r="F589" i="8"/>
  <c r="E589" i="8"/>
  <c r="D589" i="8"/>
  <c r="F588" i="8"/>
  <c r="E588" i="8"/>
  <c r="D588" i="8"/>
  <c r="F587" i="8"/>
  <c r="E587" i="8"/>
  <c r="D587" i="8"/>
  <c r="F586" i="8"/>
  <c r="E586" i="8"/>
  <c r="D586" i="8"/>
  <c r="F585" i="8"/>
  <c r="E585" i="8"/>
  <c r="D585" i="8"/>
  <c r="F584" i="8"/>
  <c r="E584" i="8"/>
  <c r="D584" i="8"/>
  <c r="F583" i="8"/>
  <c r="E583" i="8"/>
  <c r="D583" i="8"/>
  <c r="F582" i="8"/>
  <c r="E582" i="8"/>
  <c r="D582" i="8"/>
  <c r="F581" i="8"/>
  <c r="E581" i="8"/>
  <c r="D581" i="8"/>
  <c r="F580" i="8"/>
  <c r="E580" i="8"/>
  <c r="D580" i="8"/>
  <c r="F579" i="8"/>
  <c r="E579" i="8"/>
  <c r="D579" i="8"/>
  <c r="F578" i="8"/>
  <c r="E578" i="8"/>
  <c r="D578" i="8"/>
  <c r="F577" i="8"/>
  <c r="E577" i="8"/>
  <c r="D577" i="8"/>
  <c r="F576" i="8"/>
  <c r="E576" i="8"/>
  <c r="D576" i="8"/>
  <c r="F575" i="8"/>
  <c r="E575" i="8"/>
  <c r="D575" i="8"/>
  <c r="F574" i="8"/>
  <c r="E574" i="8"/>
  <c r="D574" i="8"/>
  <c r="F573" i="8"/>
  <c r="E573" i="8"/>
  <c r="D573" i="8"/>
  <c r="F572" i="8"/>
  <c r="E572" i="8"/>
  <c r="D572" i="8"/>
  <c r="F571" i="8"/>
  <c r="E571" i="8"/>
  <c r="D571" i="8"/>
  <c r="F570" i="8"/>
  <c r="E570" i="8"/>
  <c r="D570" i="8"/>
  <c r="F569" i="8"/>
  <c r="E569" i="8"/>
  <c r="D569" i="8"/>
  <c r="F568" i="8"/>
  <c r="E568" i="8"/>
  <c r="D568" i="8"/>
  <c r="F567" i="8"/>
  <c r="E567" i="8"/>
  <c r="D567" i="8"/>
  <c r="F566" i="8"/>
  <c r="E566" i="8"/>
  <c r="D566" i="8"/>
  <c r="F565" i="8"/>
  <c r="E565" i="8"/>
  <c r="D565" i="8"/>
  <c r="F564" i="8"/>
  <c r="E564" i="8"/>
  <c r="D564" i="8"/>
  <c r="F563" i="8"/>
  <c r="E563" i="8"/>
  <c r="D563" i="8"/>
  <c r="F562" i="8"/>
  <c r="E562" i="8"/>
  <c r="D562" i="8"/>
  <c r="F561" i="8"/>
  <c r="E561" i="8"/>
  <c r="D561" i="8"/>
  <c r="F560" i="8"/>
  <c r="E560" i="8"/>
  <c r="D560" i="8"/>
  <c r="F559" i="8"/>
  <c r="E559" i="8"/>
  <c r="D559" i="8"/>
  <c r="F558" i="8"/>
  <c r="E558" i="8"/>
  <c r="D558" i="8"/>
  <c r="F557" i="8"/>
  <c r="E557" i="8"/>
  <c r="D557" i="8"/>
  <c r="F556" i="8"/>
  <c r="E556" i="8"/>
  <c r="D556" i="8"/>
  <c r="F555" i="8"/>
  <c r="E555" i="8"/>
  <c r="D555" i="8"/>
  <c r="F554" i="8"/>
  <c r="E554" i="8"/>
  <c r="D554" i="8"/>
  <c r="F553" i="8"/>
  <c r="E553" i="8"/>
  <c r="D553" i="8"/>
  <c r="F552" i="8"/>
  <c r="E552" i="8"/>
  <c r="D552" i="8"/>
  <c r="F551" i="8"/>
  <c r="E551" i="8"/>
  <c r="D551" i="8"/>
  <c r="F550" i="8"/>
  <c r="E550" i="8"/>
  <c r="D550" i="8"/>
  <c r="F549" i="8"/>
  <c r="E549" i="8"/>
  <c r="D549" i="8"/>
  <c r="F548" i="8"/>
  <c r="E548" i="8"/>
  <c r="D548" i="8"/>
  <c r="F547" i="8"/>
  <c r="E547" i="8"/>
  <c r="D547" i="8"/>
  <c r="F546" i="8"/>
  <c r="E546" i="8"/>
  <c r="D546" i="8"/>
  <c r="F545" i="8"/>
  <c r="E545" i="8"/>
  <c r="D545" i="8"/>
  <c r="F544" i="8"/>
  <c r="E544" i="8"/>
  <c r="D544" i="8"/>
  <c r="F543" i="8"/>
  <c r="E543" i="8"/>
  <c r="D543" i="8"/>
  <c r="F542" i="8"/>
  <c r="E542" i="8"/>
  <c r="D542" i="8"/>
  <c r="F541" i="8"/>
  <c r="E541" i="8"/>
  <c r="D541" i="8"/>
  <c r="F540" i="8"/>
  <c r="E540" i="8"/>
  <c r="D540" i="8"/>
  <c r="F539" i="8"/>
  <c r="E539" i="8"/>
  <c r="D539" i="8"/>
  <c r="F538" i="8"/>
  <c r="E538" i="8"/>
  <c r="D538" i="8"/>
  <c r="F537" i="8"/>
  <c r="E537" i="8"/>
  <c r="D537" i="8"/>
  <c r="F536" i="8"/>
  <c r="E536" i="8"/>
  <c r="D536" i="8"/>
  <c r="F535" i="8"/>
  <c r="E535" i="8"/>
  <c r="D535" i="8"/>
  <c r="F534" i="8"/>
  <c r="E534" i="8"/>
  <c r="D534" i="8"/>
  <c r="F533" i="8"/>
  <c r="E533" i="8"/>
  <c r="D533" i="8"/>
  <c r="F532" i="8"/>
  <c r="E532" i="8"/>
  <c r="D532" i="8"/>
  <c r="F531" i="8"/>
  <c r="E531" i="8"/>
  <c r="D531" i="8"/>
  <c r="F530" i="8"/>
  <c r="E530" i="8"/>
  <c r="D530" i="8"/>
  <c r="F529" i="8"/>
  <c r="E529" i="8"/>
  <c r="D529" i="8"/>
  <c r="F528" i="8"/>
  <c r="E528" i="8"/>
  <c r="D528" i="8"/>
  <c r="F527" i="8"/>
  <c r="E527" i="8"/>
  <c r="D527" i="8"/>
  <c r="F526" i="8"/>
  <c r="E526" i="8"/>
  <c r="D526" i="8"/>
  <c r="F525" i="8"/>
  <c r="E525" i="8"/>
  <c r="D525" i="8"/>
  <c r="F524" i="8"/>
  <c r="E524" i="8"/>
  <c r="D524" i="8"/>
  <c r="F523" i="8"/>
  <c r="E523" i="8"/>
  <c r="D523" i="8"/>
  <c r="F522" i="8"/>
  <c r="E522" i="8"/>
  <c r="D522" i="8"/>
  <c r="F521" i="8"/>
  <c r="E521" i="8"/>
  <c r="D521" i="8"/>
  <c r="F520" i="8"/>
  <c r="E520" i="8"/>
  <c r="D520" i="8"/>
  <c r="F519" i="8"/>
  <c r="E519" i="8"/>
  <c r="D519" i="8"/>
  <c r="F518" i="8"/>
  <c r="E518" i="8"/>
  <c r="D518" i="8"/>
  <c r="F517" i="8"/>
  <c r="E517" i="8"/>
  <c r="N8" i="6" s="1"/>
  <c r="P8" i="6" s="1"/>
  <c r="D517" i="8"/>
  <c r="F516" i="8"/>
  <c r="E516" i="8"/>
  <c r="D516" i="8"/>
  <c r="F515" i="8"/>
  <c r="E515" i="8"/>
  <c r="D515" i="8"/>
  <c r="F514" i="8"/>
  <c r="E514" i="8"/>
  <c r="D514" i="8"/>
  <c r="F513" i="8"/>
  <c r="E513" i="8"/>
  <c r="D513" i="8"/>
  <c r="F512" i="8"/>
  <c r="E512" i="8"/>
  <c r="D512" i="8"/>
  <c r="F511" i="8"/>
  <c r="E511" i="8"/>
  <c r="D511" i="8"/>
  <c r="F510" i="8"/>
  <c r="E510" i="8"/>
  <c r="D510" i="8"/>
  <c r="F509" i="8"/>
  <c r="E509" i="8"/>
  <c r="D509" i="8"/>
  <c r="F508" i="8"/>
  <c r="E508" i="8"/>
  <c r="D508" i="8"/>
  <c r="F507" i="8"/>
  <c r="E507" i="8"/>
  <c r="D507" i="8"/>
  <c r="F506" i="8"/>
  <c r="E506" i="8"/>
  <c r="D506" i="8"/>
  <c r="F505" i="8"/>
  <c r="E505" i="8"/>
  <c r="D505" i="8"/>
  <c r="F504" i="8"/>
  <c r="E504" i="8"/>
  <c r="D504" i="8"/>
  <c r="F503" i="8"/>
  <c r="E503" i="8"/>
  <c r="D503" i="8"/>
  <c r="F502" i="8"/>
  <c r="E502" i="8"/>
  <c r="D502" i="8"/>
  <c r="F501" i="8"/>
  <c r="E501" i="8"/>
  <c r="D501" i="8"/>
  <c r="F500" i="8"/>
  <c r="E500" i="8"/>
  <c r="D500" i="8"/>
  <c r="F499" i="8"/>
  <c r="E499" i="8"/>
  <c r="D499" i="8"/>
  <c r="F498" i="8"/>
  <c r="E498" i="8"/>
  <c r="D498" i="8"/>
  <c r="F497" i="8"/>
  <c r="E497" i="8"/>
  <c r="D497" i="8"/>
  <c r="F496" i="8"/>
  <c r="E496" i="8"/>
  <c r="D496" i="8"/>
  <c r="F495" i="8"/>
  <c r="E495" i="8"/>
  <c r="D495" i="8"/>
  <c r="F494" i="8"/>
  <c r="E494" i="8"/>
  <c r="D494" i="8"/>
  <c r="F493" i="8"/>
  <c r="E493" i="8"/>
  <c r="D493" i="8"/>
  <c r="F492" i="8"/>
  <c r="E492" i="8"/>
  <c r="D492" i="8"/>
  <c r="F491" i="8"/>
  <c r="E491" i="8"/>
  <c r="D491" i="8"/>
  <c r="F490" i="8"/>
  <c r="E490" i="8"/>
  <c r="D490" i="8"/>
  <c r="F489" i="8"/>
  <c r="E489" i="8"/>
  <c r="D489" i="8"/>
  <c r="F488" i="8"/>
  <c r="E488" i="8"/>
  <c r="D488" i="8"/>
  <c r="F487" i="8"/>
  <c r="E487" i="8"/>
  <c r="D487" i="8"/>
  <c r="F486" i="8"/>
  <c r="E486" i="8"/>
  <c r="D486" i="8"/>
  <c r="F485" i="8"/>
  <c r="E485" i="8"/>
  <c r="D485" i="8"/>
  <c r="F484" i="8"/>
  <c r="E484" i="8"/>
  <c r="D484" i="8"/>
  <c r="F483" i="8"/>
  <c r="E483" i="8"/>
  <c r="D483" i="8"/>
  <c r="F482" i="8"/>
  <c r="E482" i="8"/>
  <c r="D482" i="8"/>
  <c r="F481" i="8"/>
  <c r="E481" i="8"/>
  <c r="D481" i="8"/>
  <c r="F480" i="8"/>
  <c r="E480" i="8"/>
  <c r="D480" i="8"/>
  <c r="F479" i="8"/>
  <c r="E479" i="8"/>
  <c r="D479" i="8"/>
  <c r="F478" i="8"/>
  <c r="E478" i="8"/>
  <c r="D478" i="8"/>
  <c r="F477" i="8"/>
  <c r="E477" i="8"/>
  <c r="D477" i="8"/>
  <c r="F476" i="8"/>
  <c r="E476" i="8"/>
  <c r="D476" i="8"/>
  <c r="F475" i="8"/>
  <c r="E475" i="8"/>
  <c r="D475" i="8"/>
  <c r="F474" i="8"/>
  <c r="E474" i="8"/>
  <c r="D474" i="8"/>
  <c r="F473" i="8"/>
  <c r="E473" i="8"/>
  <c r="D473" i="8"/>
  <c r="F472" i="8"/>
  <c r="E472" i="8"/>
  <c r="D472" i="8"/>
  <c r="F471" i="8"/>
  <c r="E471" i="8"/>
  <c r="D471" i="8"/>
  <c r="F470" i="8"/>
  <c r="E470" i="8"/>
  <c r="D470" i="8"/>
  <c r="F469" i="8"/>
  <c r="E469" i="8"/>
  <c r="D469" i="8"/>
  <c r="F468" i="8"/>
  <c r="E468" i="8"/>
  <c r="D468" i="8"/>
  <c r="F467" i="8"/>
  <c r="E467" i="8"/>
  <c r="D467" i="8"/>
  <c r="F466" i="8"/>
  <c r="E466" i="8"/>
  <c r="D466" i="8"/>
  <c r="F465" i="8"/>
  <c r="E465" i="8"/>
  <c r="D465" i="8"/>
  <c r="F464" i="8"/>
  <c r="E464" i="8"/>
  <c r="D464" i="8"/>
  <c r="F463" i="8"/>
  <c r="E463" i="8"/>
  <c r="D463" i="8"/>
  <c r="F462" i="8"/>
  <c r="E462" i="8"/>
  <c r="D462" i="8"/>
  <c r="F461" i="8"/>
  <c r="E461" i="8"/>
  <c r="D461" i="8"/>
  <c r="F460" i="8"/>
  <c r="E460" i="8"/>
  <c r="D460" i="8"/>
  <c r="F459" i="8"/>
  <c r="E459" i="8"/>
  <c r="D459" i="8"/>
  <c r="F458" i="8"/>
  <c r="E458" i="8"/>
  <c r="D458" i="8"/>
  <c r="F457" i="8"/>
  <c r="E457" i="8"/>
  <c r="D457" i="8"/>
  <c r="F456" i="8"/>
  <c r="E456" i="8"/>
  <c r="D456" i="8"/>
  <c r="F455" i="8"/>
  <c r="E455" i="8"/>
  <c r="D455" i="8"/>
  <c r="F454" i="8"/>
  <c r="E454" i="8"/>
  <c r="D454" i="8"/>
  <c r="F453" i="8"/>
  <c r="E453" i="8"/>
  <c r="D453" i="8"/>
  <c r="F452" i="8"/>
  <c r="E452" i="8"/>
  <c r="D452" i="8"/>
  <c r="F451" i="8"/>
  <c r="E451" i="8"/>
  <c r="D451" i="8"/>
  <c r="F450" i="8"/>
  <c r="E450" i="8"/>
  <c r="D450" i="8"/>
  <c r="F449" i="8"/>
  <c r="E449" i="8"/>
  <c r="D449" i="8"/>
  <c r="F448" i="8"/>
  <c r="E448" i="8"/>
  <c r="D448" i="8"/>
  <c r="F447" i="8"/>
  <c r="E447" i="8"/>
  <c r="D447" i="8"/>
  <c r="F446" i="8"/>
  <c r="E446" i="8"/>
  <c r="D446" i="8"/>
  <c r="F445" i="8"/>
  <c r="E445" i="8"/>
  <c r="D445" i="8"/>
  <c r="F444" i="8"/>
  <c r="E444" i="8"/>
  <c r="D444" i="8"/>
  <c r="F443" i="8"/>
  <c r="E443" i="8"/>
  <c r="D443" i="8"/>
  <c r="F442" i="8"/>
  <c r="E442" i="8"/>
  <c r="D442" i="8"/>
  <c r="F441" i="8"/>
  <c r="E441" i="8"/>
  <c r="D441" i="8"/>
  <c r="F440" i="8"/>
  <c r="E440" i="8"/>
  <c r="D440" i="8"/>
  <c r="F439" i="8"/>
  <c r="E439" i="8"/>
  <c r="D439" i="8"/>
  <c r="F438" i="8"/>
  <c r="E438" i="8"/>
  <c r="D438" i="8"/>
  <c r="F437" i="8"/>
  <c r="E437" i="8"/>
  <c r="D437" i="8"/>
  <c r="F436" i="8"/>
  <c r="E436" i="8"/>
  <c r="D436" i="8"/>
  <c r="F435" i="8"/>
  <c r="E435" i="8"/>
  <c r="D435" i="8"/>
  <c r="F434" i="8"/>
  <c r="E434" i="8"/>
  <c r="D434" i="8"/>
  <c r="F433" i="8"/>
  <c r="E433" i="8"/>
  <c r="D433" i="8"/>
  <c r="F432" i="8"/>
  <c r="E432" i="8"/>
  <c r="D432" i="8"/>
  <c r="F431" i="8"/>
  <c r="E431" i="8"/>
  <c r="D431" i="8"/>
  <c r="F430" i="8"/>
  <c r="E430" i="8"/>
  <c r="D430" i="8"/>
  <c r="F429" i="8"/>
  <c r="E429" i="8"/>
  <c r="D429" i="8"/>
  <c r="F428" i="8"/>
  <c r="E428" i="8"/>
  <c r="D428" i="8"/>
  <c r="F427" i="8"/>
  <c r="E427" i="8"/>
  <c r="D427" i="8"/>
  <c r="F426" i="8"/>
  <c r="E426" i="8"/>
  <c r="D426" i="8"/>
  <c r="F425" i="8"/>
  <c r="E425" i="8"/>
  <c r="D425" i="8"/>
  <c r="F424" i="8"/>
  <c r="E424" i="8"/>
  <c r="D424" i="8"/>
  <c r="F423" i="8"/>
  <c r="E423" i="8"/>
  <c r="D423" i="8"/>
  <c r="F422" i="8"/>
  <c r="E422" i="8"/>
  <c r="D422" i="8"/>
  <c r="F421" i="8"/>
  <c r="E421" i="8"/>
  <c r="D421" i="8"/>
  <c r="F420" i="8"/>
  <c r="E420" i="8"/>
  <c r="D420" i="8"/>
  <c r="F419" i="8"/>
  <c r="E419" i="8"/>
  <c r="D419" i="8"/>
  <c r="F418" i="8"/>
  <c r="E418" i="8"/>
  <c r="D418" i="8"/>
  <c r="F417" i="8"/>
  <c r="E417" i="8"/>
  <c r="D417" i="8"/>
  <c r="F416" i="8"/>
  <c r="E416" i="8"/>
  <c r="D416" i="8"/>
  <c r="F415" i="8"/>
  <c r="E415" i="8"/>
  <c r="D415" i="8"/>
  <c r="F414" i="8"/>
  <c r="E414" i="8"/>
  <c r="D414" i="8"/>
  <c r="F413" i="8"/>
  <c r="E413" i="8"/>
  <c r="D413" i="8"/>
  <c r="F412" i="8"/>
  <c r="E412" i="8"/>
  <c r="D412" i="8"/>
  <c r="F411" i="8"/>
  <c r="E411" i="8"/>
  <c r="D411" i="8"/>
  <c r="F410" i="8"/>
  <c r="E410" i="8"/>
  <c r="D410" i="8"/>
  <c r="F409" i="8"/>
  <c r="E409" i="8"/>
  <c r="D409" i="8"/>
  <c r="F408" i="8"/>
  <c r="E408" i="8"/>
  <c r="D408" i="8"/>
  <c r="F407" i="8"/>
  <c r="E407" i="8"/>
  <c r="D407" i="8"/>
  <c r="F406" i="8"/>
  <c r="E406" i="8"/>
  <c r="D406" i="8"/>
  <c r="F405" i="8"/>
  <c r="E405" i="8"/>
  <c r="D405" i="8"/>
  <c r="F404" i="8"/>
  <c r="E404" i="8"/>
  <c r="D404" i="8"/>
  <c r="F403" i="8"/>
  <c r="E403" i="8"/>
  <c r="D403" i="8"/>
  <c r="F402" i="8"/>
  <c r="E402" i="8"/>
  <c r="D402" i="8"/>
  <c r="F401" i="8"/>
  <c r="E401" i="8"/>
  <c r="D401" i="8"/>
  <c r="F400" i="8"/>
  <c r="E400" i="8"/>
  <c r="D400" i="8"/>
  <c r="F399" i="8"/>
  <c r="E399" i="8"/>
  <c r="D399" i="8"/>
  <c r="F398" i="8"/>
  <c r="E398" i="8"/>
  <c r="D398" i="8"/>
  <c r="F397" i="8"/>
  <c r="E397" i="8"/>
  <c r="D397" i="8"/>
  <c r="F396" i="8"/>
  <c r="E396" i="8"/>
  <c r="D396" i="8"/>
  <c r="F395" i="8"/>
  <c r="E395" i="8"/>
  <c r="D395" i="8"/>
  <c r="F394" i="8"/>
  <c r="E394" i="8"/>
  <c r="D394" i="8"/>
  <c r="F393" i="8"/>
  <c r="E393" i="8"/>
  <c r="D393" i="8"/>
  <c r="F392" i="8"/>
  <c r="E392" i="8"/>
  <c r="D392" i="8"/>
  <c r="F391" i="8"/>
  <c r="E391" i="8"/>
  <c r="D391" i="8"/>
  <c r="F390" i="8"/>
  <c r="E390" i="8"/>
  <c r="D390" i="8"/>
  <c r="F389" i="8"/>
  <c r="E389" i="8"/>
  <c r="D389" i="8"/>
  <c r="F388" i="8"/>
  <c r="E388" i="8"/>
  <c r="D388" i="8"/>
  <c r="F387" i="8"/>
  <c r="E387" i="8"/>
  <c r="D387" i="8"/>
  <c r="F386" i="8"/>
  <c r="E386" i="8"/>
  <c r="D386" i="8"/>
  <c r="F385" i="8"/>
  <c r="E385" i="8"/>
  <c r="D385" i="8"/>
  <c r="F384" i="8"/>
  <c r="E384" i="8"/>
  <c r="D384" i="8"/>
  <c r="F383" i="8"/>
  <c r="E383" i="8"/>
  <c r="D383" i="8"/>
  <c r="F382" i="8"/>
  <c r="E382" i="8"/>
  <c r="D382" i="8"/>
  <c r="F381" i="8"/>
  <c r="E381" i="8"/>
  <c r="N10" i="6" s="1"/>
  <c r="P10" i="6" s="1"/>
  <c r="D381" i="8"/>
  <c r="F380" i="8"/>
  <c r="E380" i="8"/>
  <c r="D380" i="8"/>
  <c r="F379" i="8"/>
  <c r="E379" i="8"/>
  <c r="D379" i="8"/>
  <c r="F378" i="8"/>
  <c r="E378" i="8"/>
  <c r="D378" i="8"/>
  <c r="F377" i="8"/>
  <c r="E377" i="8"/>
  <c r="D377" i="8"/>
  <c r="F376" i="8"/>
  <c r="E376" i="8"/>
  <c r="D376" i="8"/>
  <c r="F375" i="8"/>
  <c r="E375" i="8"/>
  <c r="D375" i="8"/>
  <c r="F374" i="8"/>
  <c r="E374" i="8"/>
  <c r="D374" i="8"/>
  <c r="F373" i="8"/>
  <c r="E373" i="8"/>
  <c r="D373" i="8"/>
  <c r="F372" i="8"/>
  <c r="E372" i="8"/>
  <c r="D372" i="8"/>
  <c r="F371" i="8"/>
  <c r="E371" i="8"/>
  <c r="D371" i="8"/>
  <c r="F370" i="8"/>
  <c r="E370" i="8"/>
  <c r="D370" i="8"/>
  <c r="F369" i="8"/>
  <c r="E369" i="8"/>
  <c r="D369" i="8"/>
  <c r="F368" i="8"/>
  <c r="E368" i="8"/>
  <c r="D368" i="8"/>
  <c r="F367" i="8"/>
  <c r="E367" i="8"/>
  <c r="D367" i="8"/>
  <c r="F366" i="8"/>
  <c r="E366" i="8"/>
  <c r="D366" i="8"/>
  <c r="F365" i="8"/>
  <c r="E365" i="8"/>
  <c r="D365" i="8"/>
  <c r="F364" i="8"/>
  <c r="E364" i="8"/>
  <c r="D364" i="8"/>
  <c r="F363" i="8"/>
  <c r="E363" i="8"/>
  <c r="D363" i="8"/>
  <c r="F362" i="8"/>
  <c r="E362" i="8"/>
  <c r="D362" i="8"/>
  <c r="F361" i="8"/>
  <c r="E361" i="8"/>
  <c r="D361" i="8"/>
  <c r="F360" i="8"/>
  <c r="E360" i="8"/>
  <c r="D360" i="8"/>
  <c r="F359" i="8"/>
  <c r="E359" i="8"/>
  <c r="D359" i="8"/>
  <c r="F358" i="8"/>
  <c r="E358" i="8"/>
  <c r="D358" i="8"/>
  <c r="F357" i="8"/>
  <c r="E357" i="8"/>
  <c r="D357" i="8"/>
  <c r="F356" i="8"/>
  <c r="E356" i="8"/>
  <c r="D356" i="8"/>
  <c r="F355" i="8"/>
  <c r="E355" i="8"/>
  <c r="D355" i="8"/>
  <c r="F354" i="8"/>
  <c r="E354" i="8"/>
  <c r="D354" i="8"/>
  <c r="F353" i="8"/>
  <c r="E353" i="8"/>
  <c r="D353" i="8"/>
  <c r="F352" i="8"/>
  <c r="E352" i="8"/>
  <c r="D352" i="8"/>
  <c r="F351" i="8"/>
  <c r="E351" i="8"/>
  <c r="D351" i="8"/>
  <c r="F350" i="8"/>
  <c r="E350" i="8"/>
  <c r="D350" i="8"/>
  <c r="F349" i="8"/>
  <c r="E349" i="8"/>
  <c r="D349" i="8"/>
  <c r="F348" i="8"/>
  <c r="E348" i="8"/>
  <c r="D348" i="8"/>
  <c r="F347" i="8"/>
  <c r="E347" i="8"/>
  <c r="D347" i="8"/>
  <c r="F346" i="8"/>
  <c r="E346" i="8"/>
  <c r="D346" i="8"/>
  <c r="F345" i="8"/>
  <c r="E345" i="8"/>
  <c r="D345" i="8"/>
  <c r="F344" i="8"/>
  <c r="E344" i="8"/>
  <c r="D344" i="8"/>
  <c r="F343" i="8"/>
  <c r="E343" i="8"/>
  <c r="D343" i="8"/>
  <c r="F342" i="8"/>
  <c r="E342" i="8"/>
  <c r="D342" i="8"/>
  <c r="F341" i="8"/>
  <c r="E341" i="8"/>
  <c r="N52" i="6" s="1"/>
  <c r="D341" i="8"/>
  <c r="F340" i="8"/>
  <c r="E340" i="8"/>
  <c r="D340" i="8"/>
  <c r="F339" i="8"/>
  <c r="E339" i="8"/>
  <c r="D339" i="8"/>
  <c r="F338" i="8"/>
  <c r="E338" i="8"/>
  <c r="D338" i="8"/>
  <c r="F337" i="8"/>
  <c r="E337" i="8"/>
  <c r="D337" i="8"/>
  <c r="F336" i="8"/>
  <c r="E336" i="8"/>
  <c r="D336" i="8"/>
  <c r="F335" i="8"/>
  <c r="E335" i="8"/>
  <c r="D335" i="8"/>
  <c r="F334" i="8"/>
  <c r="E334" i="8"/>
  <c r="D334" i="8"/>
  <c r="F333" i="8"/>
  <c r="E333" i="8"/>
  <c r="D333" i="8"/>
  <c r="F332" i="8"/>
  <c r="E332" i="8"/>
  <c r="D332" i="8"/>
  <c r="F331" i="8"/>
  <c r="E331" i="8"/>
  <c r="D331" i="8"/>
  <c r="F330" i="8"/>
  <c r="E330" i="8"/>
  <c r="D330" i="8"/>
  <c r="F329" i="8"/>
  <c r="E329" i="8"/>
  <c r="D329" i="8"/>
  <c r="F328" i="8"/>
  <c r="E328" i="8"/>
  <c r="D328" i="8"/>
  <c r="F327" i="8"/>
  <c r="E327" i="8"/>
  <c r="D327" i="8"/>
  <c r="F326" i="8"/>
  <c r="E326" i="8"/>
  <c r="D326" i="8"/>
  <c r="F325" i="8"/>
  <c r="E325" i="8"/>
  <c r="D325" i="8"/>
  <c r="F324" i="8"/>
  <c r="E324" i="8"/>
  <c r="D324" i="8"/>
  <c r="F323" i="8"/>
  <c r="E323" i="8"/>
  <c r="D323" i="8"/>
  <c r="F322" i="8"/>
  <c r="E322" i="8"/>
  <c r="D322" i="8"/>
  <c r="F321" i="8"/>
  <c r="E321" i="8"/>
  <c r="D321" i="8"/>
  <c r="F320" i="8"/>
  <c r="E320" i="8"/>
  <c r="D320" i="8"/>
  <c r="F319" i="8"/>
  <c r="E319" i="8"/>
  <c r="D319" i="8"/>
  <c r="F318" i="8"/>
  <c r="E318" i="8"/>
  <c r="D318" i="8"/>
  <c r="F317" i="8"/>
  <c r="E317" i="8"/>
  <c r="D317" i="8"/>
  <c r="F316" i="8"/>
  <c r="E316" i="8"/>
  <c r="D316" i="8"/>
  <c r="F315" i="8"/>
  <c r="E315" i="8"/>
  <c r="D315" i="8"/>
  <c r="F314" i="8"/>
  <c r="E314" i="8"/>
  <c r="D314" i="8"/>
  <c r="F313" i="8"/>
  <c r="E313" i="8"/>
  <c r="D313" i="8"/>
  <c r="F312" i="8"/>
  <c r="E312" i="8"/>
  <c r="D312" i="8"/>
  <c r="F311" i="8"/>
  <c r="E311" i="8"/>
  <c r="D311" i="8"/>
  <c r="F310" i="8"/>
  <c r="E310" i="8"/>
  <c r="D310" i="8"/>
  <c r="F309" i="8"/>
  <c r="E309" i="8"/>
  <c r="D309" i="8"/>
  <c r="F308" i="8"/>
  <c r="E308" i="8"/>
  <c r="D308" i="8"/>
  <c r="F307" i="8"/>
  <c r="E307" i="8"/>
  <c r="D307" i="8"/>
  <c r="F306" i="8"/>
  <c r="E306" i="8"/>
  <c r="D306" i="8"/>
  <c r="F305" i="8"/>
  <c r="E305" i="8"/>
  <c r="D305" i="8"/>
  <c r="F304" i="8"/>
  <c r="E304" i="8"/>
  <c r="N51" i="6" s="1"/>
  <c r="D304" i="8"/>
  <c r="F303" i="8"/>
  <c r="E303" i="8"/>
  <c r="D303" i="8"/>
  <c r="F302" i="8"/>
  <c r="E302" i="8"/>
  <c r="D302" i="8"/>
  <c r="F301" i="8"/>
  <c r="E301" i="8"/>
  <c r="D301" i="8"/>
  <c r="F300" i="8"/>
  <c r="E300" i="8"/>
  <c r="D300" i="8"/>
  <c r="F299" i="8"/>
  <c r="E299" i="8"/>
  <c r="D299" i="8"/>
  <c r="F298" i="8"/>
  <c r="E298" i="8"/>
  <c r="D298" i="8"/>
  <c r="F297" i="8"/>
  <c r="E297" i="8"/>
  <c r="D297" i="8"/>
  <c r="F296" i="8"/>
  <c r="E296" i="8"/>
  <c r="N20" i="6" s="1"/>
  <c r="P20" i="6" s="1"/>
  <c r="D296" i="8"/>
  <c r="F295" i="8"/>
  <c r="E295" i="8"/>
  <c r="D295" i="8"/>
  <c r="F294" i="8"/>
  <c r="E294" i="8"/>
  <c r="D294" i="8"/>
  <c r="F293" i="8"/>
  <c r="E293" i="8"/>
  <c r="D293" i="8"/>
  <c r="F292" i="8"/>
  <c r="E292" i="8"/>
  <c r="D292" i="8"/>
  <c r="F291" i="8"/>
  <c r="E291" i="8"/>
  <c r="D291" i="8"/>
  <c r="F290" i="8"/>
  <c r="E290" i="8"/>
  <c r="D290" i="8"/>
  <c r="F289" i="8"/>
  <c r="E289" i="8"/>
  <c r="D289" i="8"/>
  <c r="F288" i="8"/>
  <c r="E288" i="8"/>
  <c r="D288" i="8"/>
  <c r="F287" i="8"/>
  <c r="E287" i="8"/>
  <c r="D287" i="8"/>
  <c r="F286" i="8"/>
  <c r="E286" i="8"/>
  <c r="D286" i="8"/>
  <c r="F285" i="8"/>
  <c r="E285" i="8"/>
  <c r="D285" i="8"/>
  <c r="F284" i="8"/>
  <c r="E284" i="8"/>
  <c r="D284" i="8"/>
  <c r="F283" i="8"/>
  <c r="E283" i="8"/>
  <c r="D283" i="8"/>
  <c r="F282" i="8"/>
  <c r="E282" i="8"/>
  <c r="D282" i="8"/>
  <c r="F281" i="8"/>
  <c r="E281" i="8"/>
  <c r="D281" i="8"/>
  <c r="F280" i="8"/>
  <c r="E280" i="8"/>
  <c r="D280" i="8"/>
  <c r="F279" i="8"/>
  <c r="E279" i="8"/>
  <c r="D279" i="8"/>
  <c r="F278" i="8"/>
  <c r="E278" i="8"/>
  <c r="D278" i="8"/>
  <c r="F277" i="8"/>
  <c r="E277" i="8"/>
  <c r="D277" i="8"/>
  <c r="F276" i="8"/>
  <c r="E276" i="8"/>
  <c r="D276" i="8"/>
  <c r="F275" i="8"/>
  <c r="E275" i="8"/>
  <c r="D275" i="8"/>
  <c r="F274" i="8"/>
  <c r="E274" i="8"/>
  <c r="D274" i="8"/>
  <c r="F273" i="8"/>
  <c r="E273" i="8"/>
  <c r="D273" i="8"/>
  <c r="F272" i="8"/>
  <c r="E272" i="8"/>
  <c r="D272" i="8"/>
  <c r="F271" i="8"/>
  <c r="E271" i="8"/>
  <c r="D271" i="8"/>
  <c r="F270" i="8"/>
  <c r="E270" i="8"/>
  <c r="D270" i="8"/>
  <c r="F269" i="8"/>
  <c r="E269" i="8"/>
  <c r="D269" i="8"/>
  <c r="F268" i="8"/>
  <c r="E268" i="8"/>
  <c r="D268" i="8"/>
  <c r="F267" i="8"/>
  <c r="E267" i="8"/>
  <c r="D267" i="8"/>
  <c r="F266" i="8"/>
  <c r="E266" i="8"/>
  <c r="D266" i="8"/>
  <c r="F265" i="8"/>
  <c r="E265" i="8"/>
  <c r="D265" i="8"/>
  <c r="F264" i="8"/>
  <c r="E264" i="8"/>
  <c r="D264" i="8"/>
  <c r="F263" i="8"/>
  <c r="E263" i="8"/>
  <c r="D263" i="8"/>
  <c r="F262" i="8"/>
  <c r="E262" i="8"/>
  <c r="D262" i="8"/>
  <c r="F261" i="8"/>
  <c r="E261" i="8"/>
  <c r="D261" i="8"/>
  <c r="F260" i="8"/>
  <c r="E260" i="8"/>
  <c r="D260" i="8"/>
  <c r="F259" i="8"/>
  <c r="E259" i="8"/>
  <c r="D259" i="8"/>
  <c r="F258" i="8"/>
  <c r="E258" i="8"/>
  <c r="D258" i="8"/>
  <c r="F257" i="8"/>
  <c r="E257" i="8"/>
  <c r="D257" i="8"/>
  <c r="F256" i="8"/>
  <c r="E256" i="8"/>
  <c r="D256" i="8"/>
  <c r="F255" i="8"/>
  <c r="E255" i="8"/>
  <c r="D255" i="8"/>
  <c r="F254" i="8"/>
  <c r="E254" i="8"/>
  <c r="D254" i="8"/>
  <c r="F253" i="8"/>
  <c r="E253" i="8"/>
  <c r="D253" i="8"/>
  <c r="F252" i="8"/>
  <c r="E252" i="8"/>
  <c r="D252" i="8"/>
  <c r="F251" i="8"/>
  <c r="E251" i="8"/>
  <c r="D251" i="8"/>
  <c r="F250" i="8"/>
  <c r="E250" i="8"/>
  <c r="D250" i="8"/>
  <c r="F249" i="8"/>
  <c r="E249" i="8"/>
  <c r="D249" i="8"/>
  <c r="F248" i="8"/>
  <c r="E248" i="8"/>
  <c r="D248" i="8"/>
  <c r="F247" i="8"/>
  <c r="E247" i="8"/>
  <c r="D247" i="8"/>
  <c r="F246" i="8"/>
  <c r="E246" i="8"/>
  <c r="D246" i="8"/>
  <c r="F245" i="8"/>
  <c r="E245" i="8"/>
  <c r="D245" i="8"/>
  <c r="F244" i="8"/>
  <c r="E244" i="8"/>
  <c r="D244" i="8"/>
  <c r="F243" i="8"/>
  <c r="E243" i="8"/>
  <c r="D243" i="8"/>
  <c r="F242" i="8"/>
  <c r="E242" i="8"/>
  <c r="D242" i="8"/>
  <c r="F241" i="8"/>
  <c r="E241" i="8"/>
  <c r="D241" i="8"/>
  <c r="F240" i="8"/>
  <c r="E240" i="8"/>
  <c r="D240" i="8"/>
  <c r="F239" i="8"/>
  <c r="E239" i="8"/>
  <c r="D239" i="8"/>
  <c r="F238" i="8"/>
  <c r="E238" i="8"/>
  <c r="D238" i="8"/>
  <c r="F237" i="8"/>
  <c r="E237" i="8"/>
  <c r="D237" i="8"/>
  <c r="F236" i="8"/>
  <c r="E236" i="8"/>
  <c r="D236" i="8"/>
  <c r="F235" i="8"/>
  <c r="E235" i="8"/>
  <c r="D235" i="8"/>
  <c r="F234" i="8"/>
  <c r="E234" i="8"/>
  <c r="D234" i="8"/>
  <c r="F233" i="8"/>
  <c r="E233" i="8"/>
  <c r="D233" i="8"/>
  <c r="F232" i="8"/>
  <c r="E232" i="8"/>
  <c r="D232" i="8"/>
  <c r="F231" i="8"/>
  <c r="E231" i="8"/>
  <c r="D231" i="8"/>
  <c r="F230" i="8"/>
  <c r="E230" i="8"/>
  <c r="D230" i="8"/>
  <c r="F229" i="8"/>
  <c r="E229" i="8"/>
  <c r="D229" i="8"/>
  <c r="F228" i="8"/>
  <c r="E228" i="8"/>
  <c r="D228" i="8"/>
  <c r="F227" i="8"/>
  <c r="E227" i="8"/>
  <c r="D227" i="8"/>
  <c r="F226" i="8"/>
  <c r="E226" i="8"/>
  <c r="D226" i="8"/>
  <c r="F225" i="8"/>
  <c r="E225" i="8"/>
  <c r="D225" i="8"/>
  <c r="F224" i="8"/>
  <c r="E224" i="8"/>
  <c r="D224" i="8"/>
  <c r="F223" i="8"/>
  <c r="E223" i="8"/>
  <c r="D223" i="8"/>
  <c r="F222" i="8"/>
  <c r="E222" i="8"/>
  <c r="D222" i="8"/>
  <c r="F221" i="8"/>
  <c r="E221" i="8"/>
  <c r="D221" i="8"/>
  <c r="F220" i="8"/>
  <c r="E220" i="8"/>
  <c r="D220" i="8"/>
  <c r="F219" i="8"/>
  <c r="E219" i="8"/>
  <c r="D219" i="8"/>
  <c r="F218" i="8"/>
  <c r="E218" i="8"/>
  <c r="D218" i="8"/>
  <c r="F217" i="8"/>
  <c r="E217" i="8"/>
  <c r="D217" i="8"/>
  <c r="F216" i="8"/>
  <c r="E216" i="8"/>
  <c r="D216" i="8"/>
  <c r="F215" i="8"/>
  <c r="E215" i="8"/>
  <c r="D215" i="8"/>
  <c r="F214" i="8"/>
  <c r="E214" i="8"/>
  <c r="D214" i="8"/>
  <c r="F213" i="8"/>
  <c r="E213" i="8"/>
  <c r="D213" i="8"/>
  <c r="F212" i="8"/>
  <c r="E212" i="8"/>
  <c r="D212" i="8"/>
  <c r="F211" i="8"/>
  <c r="E211" i="8"/>
  <c r="D211" i="8"/>
  <c r="F210" i="8"/>
  <c r="E210" i="8"/>
  <c r="D210" i="8"/>
  <c r="F209" i="8"/>
  <c r="E209" i="8"/>
  <c r="D209" i="8"/>
  <c r="F208" i="8"/>
  <c r="E208" i="8"/>
  <c r="D208" i="8"/>
  <c r="F207" i="8"/>
  <c r="E207" i="8"/>
  <c r="D207" i="8"/>
  <c r="F206" i="8"/>
  <c r="E206" i="8"/>
  <c r="D206" i="8"/>
  <c r="F205" i="8"/>
  <c r="E205" i="8"/>
  <c r="D205" i="8"/>
  <c r="F204" i="8"/>
  <c r="E204" i="8"/>
  <c r="D204" i="8"/>
  <c r="F203" i="8"/>
  <c r="E203" i="8"/>
  <c r="D203" i="8"/>
  <c r="F202" i="8"/>
  <c r="E202" i="8"/>
  <c r="D202" i="8"/>
  <c r="F201" i="8"/>
  <c r="E201" i="8"/>
  <c r="D201" i="8"/>
  <c r="F200" i="8"/>
  <c r="E200" i="8"/>
  <c r="D200" i="8"/>
  <c r="F199" i="8"/>
  <c r="E199" i="8"/>
  <c r="D199" i="8"/>
  <c r="F198" i="8"/>
  <c r="E198" i="8"/>
  <c r="D198" i="8"/>
  <c r="F197" i="8"/>
  <c r="E197" i="8"/>
  <c r="D197" i="8"/>
  <c r="F196" i="8"/>
  <c r="E196" i="8"/>
  <c r="D196" i="8"/>
  <c r="F195" i="8"/>
  <c r="E195" i="8"/>
  <c r="D195" i="8"/>
  <c r="F194" i="8"/>
  <c r="E194" i="8"/>
  <c r="D194" i="8"/>
  <c r="F193" i="8"/>
  <c r="E193" i="8"/>
  <c r="D193" i="8"/>
  <c r="F192" i="8"/>
  <c r="E192" i="8"/>
  <c r="D192" i="8"/>
  <c r="F191" i="8"/>
  <c r="E191" i="8"/>
  <c r="D191" i="8"/>
  <c r="F190" i="8"/>
  <c r="E190" i="8"/>
  <c r="D190" i="8"/>
  <c r="F189" i="8"/>
  <c r="E189" i="8"/>
  <c r="D189" i="8"/>
  <c r="F188" i="8"/>
  <c r="E188" i="8"/>
  <c r="D188" i="8"/>
  <c r="F187" i="8"/>
  <c r="E187" i="8"/>
  <c r="D187" i="8"/>
  <c r="F186" i="8"/>
  <c r="E186" i="8"/>
  <c r="D186" i="8"/>
  <c r="F185" i="8"/>
  <c r="E185" i="8"/>
  <c r="D185" i="8"/>
  <c r="F184" i="8"/>
  <c r="E184" i="8"/>
  <c r="D184" i="8"/>
  <c r="F183" i="8"/>
  <c r="E183" i="8"/>
  <c r="D183" i="8"/>
  <c r="F182" i="8"/>
  <c r="E182" i="8"/>
  <c r="D182" i="8"/>
  <c r="F181" i="8"/>
  <c r="E181" i="8"/>
  <c r="D181" i="8"/>
  <c r="F180" i="8"/>
  <c r="E180" i="8"/>
  <c r="D180" i="8"/>
  <c r="F179" i="8"/>
  <c r="E179" i="8"/>
  <c r="D179" i="8"/>
  <c r="F178" i="8"/>
  <c r="E178" i="8"/>
  <c r="D178" i="8"/>
  <c r="F177" i="8"/>
  <c r="E177" i="8"/>
  <c r="D177" i="8"/>
  <c r="F176" i="8"/>
  <c r="E176" i="8"/>
  <c r="D176" i="8"/>
  <c r="F175" i="8"/>
  <c r="E175" i="8"/>
  <c r="D175" i="8"/>
  <c r="F174" i="8"/>
  <c r="E174" i="8"/>
  <c r="D174" i="8"/>
  <c r="F173" i="8"/>
  <c r="E173" i="8"/>
  <c r="D173" i="8"/>
  <c r="F172" i="8"/>
  <c r="E172" i="8"/>
  <c r="D172" i="8"/>
  <c r="F171" i="8"/>
  <c r="E171" i="8"/>
  <c r="D171" i="8"/>
  <c r="F170" i="8"/>
  <c r="E170" i="8"/>
  <c r="D170" i="8"/>
  <c r="F169" i="8"/>
  <c r="E169" i="8"/>
  <c r="D169" i="8"/>
  <c r="F168" i="8"/>
  <c r="E168" i="8"/>
  <c r="D168" i="8"/>
  <c r="F167" i="8"/>
  <c r="E167" i="8"/>
  <c r="D167" i="8"/>
  <c r="F166" i="8"/>
  <c r="E166" i="8"/>
  <c r="D166" i="8"/>
  <c r="F165" i="8"/>
  <c r="E165" i="8"/>
  <c r="D165" i="8"/>
  <c r="F164" i="8"/>
  <c r="E164" i="8"/>
  <c r="D164" i="8"/>
  <c r="F163" i="8"/>
  <c r="E163" i="8"/>
  <c r="D163" i="8"/>
  <c r="F162" i="8"/>
  <c r="E162" i="8"/>
  <c r="D162" i="8"/>
  <c r="F161" i="8"/>
  <c r="E161" i="8"/>
  <c r="D161" i="8"/>
  <c r="F160" i="8"/>
  <c r="E160" i="8"/>
  <c r="D160" i="8"/>
  <c r="F159" i="8"/>
  <c r="E159" i="8"/>
  <c r="D159" i="8"/>
  <c r="F158" i="8"/>
  <c r="E158" i="8"/>
  <c r="D158" i="8"/>
  <c r="F157" i="8"/>
  <c r="E157" i="8"/>
  <c r="D157" i="8"/>
  <c r="F156" i="8"/>
  <c r="E156" i="8"/>
  <c r="D156" i="8"/>
  <c r="F155" i="8"/>
  <c r="E155" i="8"/>
  <c r="D155" i="8"/>
  <c r="F154" i="8"/>
  <c r="E154" i="8"/>
  <c r="D154" i="8"/>
  <c r="F153" i="8"/>
  <c r="E153" i="8"/>
  <c r="D153" i="8"/>
  <c r="F152" i="8"/>
  <c r="E152" i="8"/>
  <c r="D152" i="8"/>
  <c r="F151" i="8"/>
  <c r="E151" i="8"/>
  <c r="D151" i="8"/>
  <c r="F150" i="8"/>
  <c r="E150" i="8"/>
  <c r="D150" i="8"/>
  <c r="F149" i="8"/>
  <c r="E149" i="8"/>
  <c r="D149" i="8"/>
  <c r="F148" i="8"/>
  <c r="E148" i="8"/>
  <c r="D148" i="8"/>
  <c r="F147" i="8"/>
  <c r="E147" i="8"/>
  <c r="D147" i="8"/>
  <c r="F146" i="8"/>
  <c r="E146" i="8"/>
  <c r="D146" i="8"/>
  <c r="F145" i="8"/>
  <c r="E145" i="8"/>
  <c r="D145" i="8"/>
  <c r="F144" i="8"/>
  <c r="E144" i="8"/>
  <c r="D144" i="8"/>
  <c r="F143" i="8"/>
  <c r="E143" i="8"/>
  <c r="D143" i="8"/>
  <c r="F142" i="8"/>
  <c r="E142" i="8"/>
  <c r="D142" i="8"/>
  <c r="F141" i="8"/>
  <c r="E141" i="8"/>
  <c r="D141" i="8"/>
  <c r="F140" i="8"/>
  <c r="E140" i="8"/>
  <c r="D140" i="8"/>
  <c r="F139" i="8"/>
  <c r="E139" i="8"/>
  <c r="D139" i="8"/>
  <c r="F138" i="8"/>
  <c r="E138" i="8"/>
  <c r="D138" i="8"/>
  <c r="F137" i="8"/>
  <c r="E137" i="8"/>
  <c r="D137" i="8"/>
  <c r="F136" i="8"/>
  <c r="E136" i="8"/>
  <c r="D136" i="8"/>
  <c r="F135" i="8"/>
  <c r="E135" i="8"/>
  <c r="D135" i="8"/>
  <c r="F134" i="8"/>
  <c r="E134" i="8"/>
  <c r="D134" i="8"/>
  <c r="F133" i="8"/>
  <c r="E133" i="8"/>
  <c r="D133" i="8"/>
  <c r="F132" i="8"/>
  <c r="E132" i="8"/>
  <c r="D132" i="8"/>
  <c r="F131" i="8"/>
  <c r="E131" i="8"/>
  <c r="D131" i="8"/>
  <c r="F130" i="8"/>
  <c r="E130" i="8"/>
  <c r="D130" i="8"/>
  <c r="F129" i="8"/>
  <c r="E129" i="8"/>
  <c r="D129" i="8"/>
  <c r="F128" i="8"/>
  <c r="E128" i="8"/>
  <c r="D128" i="8"/>
  <c r="F127" i="8"/>
  <c r="E127" i="8"/>
  <c r="D127" i="8"/>
  <c r="F126" i="8"/>
  <c r="E126" i="8"/>
  <c r="D126" i="8"/>
  <c r="F125" i="8"/>
  <c r="E125" i="8"/>
  <c r="D125" i="8"/>
  <c r="F124" i="8"/>
  <c r="E124" i="8"/>
  <c r="D124" i="8"/>
  <c r="F123" i="8"/>
  <c r="E123" i="8"/>
  <c r="D123" i="8"/>
  <c r="F122" i="8"/>
  <c r="E122" i="8"/>
  <c r="D122" i="8"/>
  <c r="F121" i="8"/>
  <c r="E121" i="8"/>
  <c r="D121" i="8"/>
  <c r="F120" i="8"/>
  <c r="E120" i="8"/>
  <c r="D120" i="8"/>
  <c r="F119" i="8"/>
  <c r="E119" i="8"/>
  <c r="D119" i="8"/>
  <c r="F118" i="8"/>
  <c r="E118" i="8"/>
  <c r="D118" i="8"/>
  <c r="F117" i="8"/>
  <c r="E117" i="8"/>
  <c r="D117" i="8"/>
  <c r="F116" i="8"/>
  <c r="E116" i="8"/>
  <c r="D116" i="8"/>
  <c r="F115" i="8"/>
  <c r="E115" i="8"/>
  <c r="D115" i="8"/>
  <c r="F114" i="8"/>
  <c r="E114" i="8"/>
  <c r="D114" i="8"/>
  <c r="F113" i="8"/>
  <c r="E113" i="8"/>
  <c r="D113" i="8"/>
  <c r="F112" i="8"/>
  <c r="E112" i="8"/>
  <c r="D112" i="8"/>
  <c r="F111" i="8"/>
  <c r="E111" i="8"/>
  <c r="D111" i="8"/>
  <c r="F110" i="8"/>
  <c r="E110" i="8"/>
  <c r="D110" i="8"/>
  <c r="F109" i="8"/>
  <c r="E109" i="8"/>
  <c r="D109" i="8"/>
  <c r="F108" i="8"/>
  <c r="E108" i="8"/>
  <c r="D108" i="8"/>
  <c r="F107" i="8"/>
  <c r="E107" i="8"/>
  <c r="D107" i="8"/>
  <c r="F106" i="8"/>
  <c r="E106" i="8"/>
  <c r="D106" i="8"/>
  <c r="F105" i="8"/>
  <c r="E105" i="8"/>
  <c r="D105" i="8"/>
  <c r="F104" i="8"/>
  <c r="E104" i="8"/>
  <c r="D104" i="8"/>
  <c r="F103" i="8"/>
  <c r="E103" i="8"/>
  <c r="D103" i="8"/>
  <c r="F102" i="8"/>
  <c r="E102" i="8"/>
  <c r="D102" i="8"/>
  <c r="F101" i="8"/>
  <c r="E101" i="8"/>
  <c r="D101" i="8"/>
  <c r="F100" i="8"/>
  <c r="E100" i="8"/>
  <c r="D100" i="8"/>
  <c r="F99" i="8"/>
  <c r="E99" i="8"/>
  <c r="D99" i="8"/>
  <c r="F98" i="8"/>
  <c r="E98" i="8"/>
  <c r="D98" i="8"/>
  <c r="F97" i="8"/>
  <c r="E97" i="8"/>
  <c r="D97" i="8"/>
  <c r="F96" i="8"/>
  <c r="E96" i="8"/>
  <c r="D96" i="8"/>
  <c r="F95" i="8"/>
  <c r="E95" i="8"/>
  <c r="D95" i="8"/>
  <c r="F94" i="8"/>
  <c r="E94" i="8"/>
  <c r="D94" i="8"/>
  <c r="F93" i="8"/>
  <c r="E93" i="8"/>
  <c r="D93" i="8"/>
  <c r="F92" i="8"/>
  <c r="E92" i="8"/>
  <c r="D92" i="8"/>
  <c r="F91" i="8"/>
  <c r="E91" i="8"/>
  <c r="D91" i="8"/>
  <c r="F90" i="8"/>
  <c r="E90" i="8"/>
  <c r="D90" i="8"/>
  <c r="F89" i="8"/>
  <c r="E89" i="8"/>
  <c r="D89" i="8"/>
  <c r="F88" i="8"/>
  <c r="E88" i="8"/>
  <c r="D88" i="8"/>
  <c r="F87" i="8"/>
  <c r="E87" i="8"/>
  <c r="D87" i="8"/>
  <c r="F86" i="8"/>
  <c r="E86" i="8"/>
  <c r="D86" i="8"/>
  <c r="F85" i="8"/>
  <c r="E85" i="8"/>
  <c r="D85" i="8"/>
  <c r="F84" i="8"/>
  <c r="E84" i="8"/>
  <c r="D84" i="8"/>
  <c r="F83" i="8"/>
  <c r="E83" i="8"/>
  <c r="D83" i="8"/>
  <c r="F82" i="8"/>
  <c r="E82" i="8"/>
  <c r="D82" i="8"/>
  <c r="F81" i="8"/>
  <c r="E81" i="8"/>
  <c r="D81" i="8"/>
  <c r="F80" i="8"/>
  <c r="E80" i="8"/>
  <c r="D80" i="8"/>
  <c r="F79" i="8"/>
  <c r="E79" i="8"/>
  <c r="D79" i="8"/>
  <c r="F78" i="8"/>
  <c r="E78" i="8"/>
  <c r="D78" i="8"/>
  <c r="F77" i="8"/>
  <c r="E77" i="8"/>
  <c r="D77" i="8"/>
  <c r="F76" i="8"/>
  <c r="E76" i="8"/>
  <c r="D76" i="8"/>
  <c r="F75" i="8"/>
  <c r="E75" i="8"/>
  <c r="D75" i="8"/>
  <c r="F74" i="8"/>
  <c r="E74" i="8"/>
  <c r="D74" i="8"/>
  <c r="F73" i="8"/>
  <c r="E73" i="8"/>
  <c r="D73" i="8"/>
  <c r="F72" i="8"/>
  <c r="E72" i="8"/>
  <c r="D72" i="8"/>
  <c r="F71" i="8"/>
  <c r="E71" i="8"/>
  <c r="D71" i="8"/>
  <c r="F70" i="8"/>
  <c r="E70" i="8"/>
  <c r="D70" i="8"/>
  <c r="F69" i="8"/>
  <c r="E69" i="8"/>
  <c r="D69" i="8"/>
  <c r="F68" i="8"/>
  <c r="E68" i="8"/>
  <c r="D68" i="8"/>
  <c r="F67" i="8"/>
  <c r="E67" i="8"/>
  <c r="D67" i="8"/>
  <c r="F66" i="8"/>
  <c r="E66" i="8"/>
  <c r="D66" i="8"/>
  <c r="F65" i="8"/>
  <c r="E65" i="8"/>
  <c r="D65" i="8"/>
  <c r="F64" i="8"/>
  <c r="E64" i="8"/>
  <c r="D64" i="8"/>
  <c r="F63" i="8"/>
  <c r="E63" i="8"/>
  <c r="D63" i="8"/>
  <c r="F62" i="8"/>
  <c r="E62" i="8"/>
  <c r="D62" i="8"/>
  <c r="F61" i="8"/>
  <c r="E61" i="8"/>
  <c r="D61" i="8"/>
  <c r="F60" i="8"/>
  <c r="E60" i="8"/>
  <c r="D60" i="8"/>
  <c r="F59" i="8"/>
  <c r="E59" i="8"/>
  <c r="D59" i="8"/>
  <c r="F58" i="8"/>
  <c r="E58" i="8"/>
  <c r="D58" i="8"/>
  <c r="F57" i="8"/>
  <c r="E57" i="8"/>
  <c r="D57" i="8"/>
  <c r="F56" i="8"/>
  <c r="E56" i="8"/>
  <c r="D56" i="8"/>
  <c r="F55" i="8"/>
  <c r="E55" i="8"/>
  <c r="D55" i="8"/>
  <c r="F54" i="8"/>
  <c r="E54" i="8"/>
  <c r="D54" i="8"/>
  <c r="F53" i="8"/>
  <c r="E53" i="8"/>
  <c r="D53" i="8"/>
  <c r="F52" i="8"/>
  <c r="E52" i="8"/>
  <c r="D52" i="8"/>
  <c r="F51" i="8"/>
  <c r="E51" i="8"/>
  <c r="D51" i="8"/>
  <c r="F50" i="8"/>
  <c r="E50" i="8"/>
  <c r="D50" i="8"/>
  <c r="F49" i="8"/>
  <c r="E49" i="8"/>
  <c r="D49" i="8"/>
  <c r="F48" i="8"/>
  <c r="E48" i="8"/>
  <c r="D48" i="8"/>
  <c r="F47" i="8"/>
  <c r="E47" i="8"/>
  <c r="D47" i="8"/>
  <c r="F46" i="8"/>
  <c r="E46" i="8"/>
  <c r="D46" i="8"/>
  <c r="F45" i="8"/>
  <c r="E45" i="8"/>
  <c r="D45" i="8"/>
  <c r="F44" i="8"/>
  <c r="E44" i="8"/>
  <c r="D44" i="8"/>
  <c r="F43" i="8"/>
  <c r="E43" i="8"/>
  <c r="D43" i="8"/>
  <c r="F42" i="8"/>
  <c r="E42" i="8"/>
  <c r="D42" i="8"/>
  <c r="F41" i="8"/>
  <c r="E41" i="8"/>
  <c r="D41" i="8"/>
  <c r="F40" i="8"/>
  <c r="E40" i="8"/>
  <c r="D40" i="8"/>
  <c r="F39" i="8"/>
  <c r="E39" i="8"/>
  <c r="D39" i="8"/>
  <c r="F38" i="8"/>
  <c r="E38" i="8"/>
  <c r="D38" i="8"/>
  <c r="F37" i="8"/>
  <c r="E37" i="8"/>
  <c r="D37" i="8"/>
  <c r="F36" i="8"/>
  <c r="E36" i="8"/>
  <c r="D36" i="8"/>
  <c r="F35" i="8"/>
  <c r="E35" i="8"/>
  <c r="D35" i="8"/>
  <c r="F34" i="8"/>
  <c r="E34" i="8"/>
  <c r="D34" i="8"/>
  <c r="F33" i="8"/>
  <c r="E33" i="8"/>
  <c r="D33" i="8"/>
  <c r="F32" i="8"/>
  <c r="E32" i="8"/>
  <c r="D32" i="8"/>
  <c r="F31" i="8"/>
  <c r="E31" i="8"/>
  <c r="D31" i="8"/>
  <c r="F30" i="8"/>
  <c r="E30" i="8"/>
  <c r="D30" i="8"/>
  <c r="F29" i="8"/>
  <c r="E29" i="8"/>
  <c r="D29" i="8"/>
  <c r="F28" i="8"/>
  <c r="E28" i="8"/>
  <c r="D28" i="8"/>
  <c r="F27" i="8"/>
  <c r="E27" i="8"/>
  <c r="D27" i="8"/>
  <c r="F26" i="8"/>
  <c r="E26" i="8"/>
  <c r="D26" i="8"/>
  <c r="F25" i="8"/>
  <c r="E25" i="8"/>
  <c r="D25" i="8"/>
  <c r="F24" i="8"/>
  <c r="E24" i="8"/>
  <c r="D24" i="8"/>
  <c r="F23" i="8"/>
  <c r="E23" i="8"/>
  <c r="D23" i="8"/>
  <c r="F22" i="8"/>
  <c r="E22" i="8"/>
  <c r="D22" i="8"/>
  <c r="F21" i="8"/>
  <c r="E21" i="8"/>
  <c r="D21" i="8"/>
  <c r="F20" i="8"/>
  <c r="E20" i="8"/>
  <c r="D20" i="8"/>
  <c r="F19" i="8"/>
  <c r="E19" i="8"/>
  <c r="D19" i="8"/>
  <c r="F18" i="8"/>
  <c r="E18" i="8"/>
  <c r="D18" i="8"/>
  <c r="F17" i="8"/>
  <c r="E17" i="8"/>
  <c r="D17" i="8"/>
  <c r="F16" i="8"/>
  <c r="E16" i="8"/>
  <c r="D16" i="8"/>
  <c r="F15" i="8"/>
  <c r="E15" i="8"/>
  <c r="D15" i="8"/>
  <c r="F14" i="8"/>
  <c r="E14" i="8"/>
  <c r="D14" i="8"/>
  <c r="F13" i="8"/>
  <c r="E13" i="8"/>
  <c r="D13" i="8"/>
  <c r="F12" i="8"/>
  <c r="E12" i="8"/>
  <c r="D12" i="8"/>
  <c r="F11" i="8"/>
  <c r="E11" i="8"/>
  <c r="D11" i="8"/>
  <c r="F10" i="8"/>
  <c r="E10" i="8"/>
  <c r="D10" i="8"/>
  <c r="F9" i="8"/>
  <c r="E9" i="8"/>
  <c r="D9" i="8"/>
  <c r="F8" i="8"/>
  <c r="E8" i="8"/>
  <c r="D8" i="8"/>
  <c r="F7" i="8"/>
  <c r="E7" i="8"/>
  <c r="D7" i="8"/>
  <c r="F6" i="8"/>
  <c r="E6" i="8"/>
  <c r="D6" i="8"/>
  <c r="F5" i="8"/>
  <c r="E5" i="8"/>
  <c r="D5" i="8"/>
  <c r="B184" i="9"/>
  <c r="F203" i="1"/>
  <c r="F152" i="1"/>
  <c r="F141" i="1"/>
  <c r="M22" i="6"/>
  <c r="L22" i="6"/>
  <c r="M21" i="6"/>
  <c r="L21" i="6"/>
  <c r="M20" i="6"/>
  <c r="L20" i="6"/>
  <c r="M19" i="6"/>
  <c r="L19" i="6"/>
  <c r="M18" i="6"/>
  <c r="L18" i="6"/>
  <c r="M17" i="6"/>
  <c r="L17" i="6"/>
  <c r="M16" i="6"/>
  <c r="L16" i="6"/>
  <c r="L15" i="6"/>
  <c r="P14" i="6"/>
  <c r="M13" i="6"/>
  <c r="L13" i="6"/>
  <c r="M12" i="6"/>
  <c r="L12" i="6"/>
  <c r="M11" i="6"/>
  <c r="L11" i="6"/>
  <c r="M10" i="6"/>
  <c r="L10" i="6"/>
  <c r="M9" i="6"/>
  <c r="L9" i="6"/>
  <c r="M8" i="6"/>
  <c r="L8" i="6"/>
  <c r="M7" i="6"/>
  <c r="L7" i="6"/>
  <c r="M6" i="6"/>
  <c r="L6" i="6"/>
  <c r="L303" i="9"/>
  <c r="N15" i="6"/>
  <c r="P15" i="6" s="1"/>
  <c r="N6" i="6"/>
  <c r="P6" i="6" s="1"/>
  <c r="N11" i="6"/>
  <c r="P11" i="6" s="1"/>
  <c r="N16" i="6"/>
  <c r="P16" i="6" s="1"/>
  <c r="N53" i="6"/>
  <c r="N7" i="6"/>
  <c r="P7" i="6" s="1"/>
  <c r="N18" i="6"/>
  <c r="P18" i="6" s="1"/>
  <c r="N97" i="6"/>
  <c r="N9" i="6"/>
  <c r="P9" i="6" s="1"/>
  <c r="N22" i="6"/>
  <c r="P22" i="6" s="1"/>
  <c r="N21" i="6"/>
  <c r="P21" i="6" s="1"/>
  <c r="N13" i="6"/>
  <c r="P13" i="6" s="1"/>
  <c r="N17" i="6"/>
  <c r="P17" i="6" s="1"/>
  <c r="D329" i="9"/>
  <c r="N54" i="6"/>
  <c r="N55" i="6"/>
  <c r="F45" i="1"/>
  <c r="F7" i="10"/>
  <c r="F6" i="10"/>
  <c r="F16" i="1"/>
  <c r="F297" i="1"/>
  <c r="M97" i="6"/>
  <c r="L97" i="6"/>
  <c r="L56" i="5"/>
  <c r="M55" i="6"/>
  <c r="L55" i="6"/>
  <c r="M54" i="6"/>
  <c r="L54" i="6"/>
  <c r="M53" i="6"/>
  <c r="L53" i="6"/>
  <c r="M52" i="6"/>
  <c r="L52" i="6"/>
  <c r="M51" i="6"/>
  <c r="L51" i="6"/>
  <c r="M50" i="6"/>
  <c r="L50" i="6"/>
  <c r="F8" i="10"/>
  <c r="F9" i="10"/>
  <c r="F10" i="10"/>
  <c r="F11" i="10"/>
  <c r="F45" i="10" s="1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C2" i="7"/>
  <c r="D1" i="22"/>
  <c r="D2" i="22"/>
  <c r="C3" i="7"/>
  <c r="C2" i="4"/>
  <c r="C3" i="4"/>
  <c r="C1" i="3"/>
  <c r="C2" i="3"/>
  <c r="M93" i="6"/>
  <c r="L93" i="6"/>
  <c r="M83" i="6"/>
  <c r="L83" i="6"/>
  <c r="M82" i="6"/>
  <c r="L82" i="6"/>
  <c r="N12" i="6" l="1"/>
  <c r="P12" i="6" s="1"/>
  <c r="N19" i="6"/>
  <c r="P19" i="6" s="1"/>
  <c r="B275" i="9"/>
  <c r="F49" i="7"/>
  <c r="F53" i="7" l="1"/>
  <c r="F65" i="7"/>
  <c r="F48" i="7"/>
  <c r="F57" i="7"/>
  <c r="F56" i="7"/>
  <c r="F58" i="7"/>
  <c r="F61" i="7"/>
  <c r="F64" i="7"/>
  <c r="F59" i="7"/>
  <c r="F66" i="7"/>
  <c r="F51" i="7"/>
  <c r="F60" i="7"/>
  <c r="F62" i="7"/>
  <c r="F55" i="7"/>
  <c r="F63" i="7"/>
  <c r="G66" i="8" l="1"/>
  <c r="G65" i="8"/>
  <c r="G64" i="8"/>
  <c r="G63" i="8"/>
  <c r="G62" i="8"/>
  <c r="G61" i="8"/>
  <c r="G59" i="8"/>
  <c r="G7" i="8"/>
  <c r="F421" i="1" l="1"/>
  <c r="Q95" i="22"/>
  <c r="K95" i="22"/>
  <c r="Q94" i="22"/>
  <c r="K94" i="22"/>
  <c r="Q93" i="22"/>
  <c r="K93" i="22"/>
  <c r="Q92" i="22"/>
  <c r="P92" i="22"/>
  <c r="O92" i="22"/>
  <c r="N92" i="22"/>
  <c r="M92" i="22"/>
  <c r="L92" i="22"/>
  <c r="K92" i="22"/>
  <c r="Q91" i="22"/>
  <c r="P91" i="22"/>
  <c r="O91" i="22"/>
  <c r="N91" i="22"/>
  <c r="M91" i="22"/>
  <c r="L91" i="22"/>
  <c r="K91" i="22"/>
  <c r="Q90" i="22"/>
  <c r="P90" i="22"/>
  <c r="O90" i="22"/>
  <c r="N90" i="22"/>
  <c r="M90" i="22"/>
  <c r="L90" i="22"/>
  <c r="K90" i="22"/>
  <c r="Q89" i="22"/>
  <c r="K89" i="22"/>
  <c r="Q88" i="22"/>
  <c r="K88" i="22"/>
  <c r="Q87" i="22"/>
  <c r="K87" i="22"/>
  <c r="Q86" i="22"/>
  <c r="P86" i="22"/>
  <c r="O86" i="22"/>
  <c r="N86" i="22"/>
  <c r="M86" i="22"/>
  <c r="L86" i="22"/>
  <c r="K86" i="22"/>
  <c r="Q85" i="22"/>
  <c r="P85" i="22"/>
  <c r="O85" i="22"/>
  <c r="N85" i="22"/>
  <c r="M85" i="22"/>
  <c r="L85" i="22"/>
  <c r="K85" i="22"/>
  <c r="Q84" i="22"/>
  <c r="P84" i="22"/>
  <c r="O84" i="22"/>
  <c r="N84" i="22"/>
  <c r="M84" i="22"/>
  <c r="L84" i="22"/>
  <c r="K84" i="22"/>
  <c r="Q83" i="22"/>
  <c r="K83" i="22"/>
  <c r="Q82" i="22"/>
  <c r="K82" i="22"/>
  <c r="Q81" i="22"/>
  <c r="K81" i="22"/>
  <c r="Q80" i="22"/>
  <c r="P80" i="22"/>
  <c r="O80" i="22"/>
  <c r="N80" i="22"/>
  <c r="M80" i="22"/>
  <c r="L80" i="22"/>
  <c r="K80" i="22"/>
  <c r="Q79" i="22"/>
  <c r="P79" i="22"/>
  <c r="O79" i="22"/>
  <c r="N79" i="22"/>
  <c r="M79" i="22"/>
  <c r="L79" i="22"/>
  <c r="K79" i="22"/>
  <c r="Q78" i="22"/>
  <c r="P78" i="22"/>
  <c r="O78" i="22"/>
  <c r="N78" i="22"/>
  <c r="M78" i="22"/>
  <c r="L78" i="22"/>
  <c r="K78" i="22"/>
  <c r="Q77" i="22"/>
  <c r="P77" i="22"/>
  <c r="O77" i="22"/>
  <c r="N77" i="22"/>
  <c r="M77" i="22"/>
  <c r="L77" i="22"/>
  <c r="K77" i="22"/>
  <c r="Q76" i="22"/>
  <c r="P76" i="22"/>
  <c r="O76" i="22"/>
  <c r="N76" i="22"/>
  <c r="M76" i="22"/>
  <c r="L76" i="22"/>
  <c r="K76" i="22"/>
  <c r="Q75" i="22"/>
  <c r="K75" i="22"/>
  <c r="Q74" i="22"/>
  <c r="P74" i="22"/>
  <c r="O74" i="22"/>
  <c r="N74" i="22"/>
  <c r="M74" i="22"/>
  <c r="L74" i="22"/>
  <c r="K74" i="22"/>
  <c r="Q73" i="22"/>
  <c r="P73" i="22"/>
  <c r="O73" i="22"/>
  <c r="N73" i="22"/>
  <c r="M73" i="22"/>
  <c r="L73" i="22"/>
  <c r="K73" i="22"/>
  <c r="Q72" i="22"/>
  <c r="P72" i="22"/>
  <c r="O72" i="22"/>
  <c r="N72" i="22"/>
  <c r="M72" i="22"/>
  <c r="L72" i="22"/>
  <c r="K72" i="22"/>
  <c r="Q71" i="22"/>
  <c r="P71" i="22"/>
  <c r="O71" i="22"/>
  <c r="N71" i="22"/>
  <c r="M71" i="22"/>
  <c r="L71" i="22"/>
  <c r="K71" i="22"/>
  <c r="Q70" i="22"/>
  <c r="P70" i="22"/>
  <c r="O70" i="22"/>
  <c r="N70" i="22"/>
  <c r="M70" i="22"/>
  <c r="L70" i="22"/>
  <c r="K70" i="22"/>
  <c r="Q69" i="22"/>
  <c r="P69" i="22"/>
  <c r="O69" i="22"/>
  <c r="N69" i="22"/>
  <c r="M69" i="22"/>
  <c r="L69" i="22"/>
  <c r="K69" i="22"/>
  <c r="Q68" i="22"/>
  <c r="K68" i="22"/>
  <c r="Q67" i="22"/>
  <c r="P67" i="22"/>
  <c r="O67" i="22"/>
  <c r="N67" i="22"/>
  <c r="M67" i="22"/>
  <c r="L67" i="22"/>
  <c r="K67" i="22"/>
  <c r="Q66" i="22"/>
  <c r="P66" i="22"/>
  <c r="O66" i="22"/>
  <c r="N66" i="22"/>
  <c r="M66" i="22"/>
  <c r="L66" i="22"/>
  <c r="K66" i="22"/>
  <c r="Q65" i="22"/>
  <c r="P65" i="22"/>
  <c r="O65" i="22"/>
  <c r="N65" i="22"/>
  <c r="M65" i="22"/>
  <c r="L65" i="22"/>
  <c r="K65" i="22"/>
  <c r="Q64" i="22"/>
  <c r="K64" i="22"/>
  <c r="Q63" i="22"/>
  <c r="K63" i="22"/>
  <c r="Q62" i="22"/>
  <c r="K62" i="22"/>
  <c r="Q61" i="22"/>
  <c r="K61" i="22"/>
  <c r="Q57" i="22"/>
  <c r="K57" i="22"/>
  <c r="Q56" i="22"/>
  <c r="K56" i="22"/>
  <c r="Q55" i="22"/>
  <c r="K55" i="22"/>
  <c r="K54" i="22"/>
  <c r="Q54" i="22"/>
  <c r="F95" i="22"/>
  <c r="O95" i="22" s="1"/>
  <c r="F94" i="22"/>
  <c r="O94" i="22" s="1"/>
  <c r="F93" i="22"/>
  <c r="O93" i="22" s="1"/>
  <c r="F89" i="22"/>
  <c r="O89" i="22" s="1"/>
  <c r="F88" i="22"/>
  <c r="O88" i="22" s="1"/>
  <c r="F87" i="22"/>
  <c r="O87" i="22" s="1"/>
  <c r="F83" i="22"/>
  <c r="O83" i="22" s="1"/>
  <c r="F82" i="22"/>
  <c r="O82" i="22" s="1"/>
  <c r="F81" i="22"/>
  <c r="O81" i="22" s="1"/>
  <c r="F75" i="22"/>
  <c r="O75" i="22" s="1"/>
  <c r="F68" i="22"/>
  <c r="O68" i="22" s="1"/>
  <c r="Q60" i="22"/>
  <c r="P60" i="22"/>
  <c r="O60" i="22"/>
  <c r="N60" i="22"/>
  <c r="M60" i="22"/>
  <c r="L60" i="22"/>
  <c r="Q59" i="22"/>
  <c r="P59" i="22"/>
  <c r="O59" i="22"/>
  <c r="N59" i="22"/>
  <c r="M59" i="22"/>
  <c r="L59" i="22"/>
  <c r="Q58" i="22"/>
  <c r="P58" i="22"/>
  <c r="O58" i="22"/>
  <c r="N58" i="22"/>
  <c r="M58" i="22"/>
  <c r="L58" i="22"/>
  <c r="F24" i="22" l="1"/>
  <c r="F26" i="22"/>
  <c r="F23" i="22"/>
  <c r="F22" i="22"/>
  <c r="F6" i="22"/>
  <c r="F15" i="22" l="1"/>
  <c r="F16" i="22"/>
  <c r="F14" i="22"/>
  <c r="F13" i="22"/>
  <c r="F7" i="22"/>
  <c r="F64" i="22"/>
  <c r="F57" i="22"/>
  <c r="F61" i="22"/>
  <c r="F63" i="22"/>
  <c r="F56" i="22"/>
  <c r="F54" i="22"/>
  <c r="F62" i="22"/>
  <c r="F55" i="22"/>
  <c r="F47" i="22"/>
  <c r="F30" i="22"/>
  <c r="F8" i="22"/>
  <c r="O62" i="22" l="1"/>
  <c r="O54" i="22"/>
  <c r="O57" i="22"/>
  <c r="O61" i="22"/>
  <c r="O56" i="22"/>
  <c r="O64" i="22"/>
  <c r="O55" i="22"/>
  <c r="O63" i="22"/>
  <c r="F31" i="22"/>
  <c r="F32" i="22"/>
  <c r="F34" i="22"/>
  <c r="F33" i="22"/>
  <c r="F49" i="22"/>
  <c r="F50" i="22"/>
  <c r="M95" i="22" l="1"/>
  <c r="L95" i="22"/>
  <c r="M94" i="22"/>
  <c r="L94" i="22"/>
  <c r="M93" i="22"/>
  <c r="L93" i="22"/>
  <c r="M89" i="22"/>
  <c r="L89" i="22"/>
  <c r="M88" i="22"/>
  <c r="L88" i="22"/>
  <c r="M87" i="22"/>
  <c r="L87" i="22"/>
  <c r="M83" i="22"/>
  <c r="L83" i="22"/>
  <c r="M82" i="22"/>
  <c r="L82" i="22"/>
  <c r="M81" i="22"/>
  <c r="L81" i="22"/>
  <c r="M75" i="22"/>
  <c r="L75" i="22"/>
  <c r="M68" i="22"/>
  <c r="L68" i="22"/>
  <c r="M64" i="22"/>
  <c r="L64" i="22"/>
  <c r="M63" i="22"/>
  <c r="L63" i="22"/>
  <c r="M62" i="22"/>
  <c r="L62" i="22"/>
  <c r="M61" i="22"/>
  <c r="L61" i="22"/>
  <c r="M57" i="22"/>
  <c r="L57" i="22"/>
  <c r="M56" i="22"/>
  <c r="L56" i="22"/>
  <c r="M55" i="22"/>
  <c r="L55" i="22"/>
  <c r="M54" i="22"/>
  <c r="L54" i="22"/>
  <c r="F17" i="22" l="1"/>
  <c r="F390" i="1" l="1"/>
  <c r="P39" i="21"/>
  <c r="P38" i="21"/>
  <c r="P37" i="21"/>
  <c r="P36" i="21"/>
  <c r="L36" i="21"/>
  <c r="P35" i="21"/>
  <c r="Q35" i="21" s="1"/>
  <c r="O35" i="21"/>
  <c r="N35" i="21"/>
  <c r="M35" i="21"/>
  <c r="L35" i="21"/>
  <c r="P34" i="21"/>
  <c r="L34" i="21"/>
  <c r="P33" i="21"/>
  <c r="Q33" i="21" s="1"/>
  <c r="O33" i="21"/>
  <c r="N33" i="21"/>
  <c r="M33" i="21"/>
  <c r="L33" i="21"/>
  <c r="Q32" i="21"/>
  <c r="P32" i="21"/>
  <c r="O32" i="21"/>
  <c r="N32" i="21"/>
  <c r="M32" i="21"/>
  <c r="L32" i="21"/>
  <c r="P31" i="21"/>
  <c r="L31" i="21"/>
  <c r="Q30" i="21"/>
  <c r="P30" i="21"/>
  <c r="O30" i="21"/>
  <c r="N30" i="21"/>
  <c r="M30" i="21"/>
  <c r="L30" i="21"/>
  <c r="P29" i="21"/>
  <c r="L29" i="21"/>
  <c r="P28" i="21"/>
  <c r="L28" i="21"/>
  <c r="Q27" i="21"/>
  <c r="P27" i="21"/>
  <c r="O27" i="21"/>
  <c r="N27" i="21"/>
  <c r="M27" i="21"/>
  <c r="L27" i="21"/>
  <c r="Q26" i="21"/>
  <c r="P26" i="21"/>
  <c r="O26" i="21"/>
  <c r="N26" i="21"/>
  <c r="M26" i="21"/>
  <c r="L26" i="21"/>
  <c r="Q25" i="21"/>
  <c r="P25" i="21"/>
  <c r="O25" i="21"/>
  <c r="N25" i="21"/>
  <c r="M25" i="21"/>
  <c r="L25" i="21"/>
  <c r="P24" i="21"/>
  <c r="L24" i="21"/>
  <c r="Q23" i="21"/>
  <c r="P23" i="21"/>
  <c r="O23" i="21"/>
  <c r="N23" i="21"/>
  <c r="M23" i="21"/>
  <c r="L23" i="21"/>
  <c r="Q22" i="21"/>
  <c r="P22" i="21"/>
  <c r="O22" i="21"/>
  <c r="N22" i="21"/>
  <c r="M22" i="21"/>
  <c r="L22" i="21"/>
  <c r="P21" i="21"/>
  <c r="Q21" i="21" s="1"/>
  <c r="O21" i="21"/>
  <c r="N21" i="21"/>
  <c r="M21" i="21"/>
  <c r="L21" i="21"/>
  <c r="P20" i="21"/>
  <c r="O20" i="21"/>
  <c r="N20" i="21"/>
  <c r="M20" i="21"/>
  <c r="L20" i="21"/>
  <c r="P19" i="21"/>
  <c r="Q19" i="21" s="1"/>
  <c r="O19" i="21"/>
  <c r="N19" i="21"/>
  <c r="M19" i="21"/>
  <c r="L19" i="21"/>
  <c r="P18" i="21"/>
  <c r="O18" i="21"/>
  <c r="N18" i="21"/>
  <c r="M18" i="21"/>
  <c r="L18" i="21"/>
  <c r="P17" i="21"/>
  <c r="O17" i="21"/>
  <c r="N17" i="21"/>
  <c r="M17" i="21"/>
  <c r="L17" i="21"/>
  <c r="P16" i="21"/>
  <c r="O16" i="21"/>
  <c r="N16" i="21"/>
  <c r="M16" i="21"/>
  <c r="L16" i="21"/>
  <c r="P15" i="21"/>
  <c r="Q15" i="21" s="1"/>
  <c r="O15" i="21"/>
  <c r="N15" i="21"/>
  <c r="M15" i="21"/>
  <c r="L15" i="21"/>
  <c r="P14" i="21"/>
  <c r="L14" i="21"/>
  <c r="P13" i="21"/>
  <c r="O13" i="21"/>
  <c r="N13" i="21"/>
  <c r="M13" i="21"/>
  <c r="L13" i="21"/>
  <c r="D8" i="21"/>
  <c r="Q8" i="21"/>
  <c r="P8" i="21"/>
  <c r="O8" i="21"/>
  <c r="N8" i="21"/>
  <c r="M8" i="21"/>
  <c r="L8" i="21"/>
  <c r="P7" i="21"/>
  <c r="L7" i="21"/>
  <c r="D36" i="21"/>
  <c r="N36" i="21" s="1"/>
  <c r="D35" i="21"/>
  <c r="D34" i="21"/>
  <c r="N34" i="21" s="1"/>
  <c r="D33" i="21"/>
  <c r="D32" i="21"/>
  <c r="D31" i="21"/>
  <c r="N31" i="21" s="1"/>
  <c r="D30" i="21"/>
  <c r="D29" i="21"/>
  <c r="N29" i="21" s="1"/>
  <c r="D28" i="21"/>
  <c r="N28" i="21" s="1"/>
  <c r="D27" i="21"/>
  <c r="D26" i="21"/>
  <c r="D25" i="21"/>
  <c r="D24" i="21"/>
  <c r="N24" i="21" s="1"/>
  <c r="D23" i="21"/>
  <c r="D22" i="21"/>
  <c r="D21" i="21"/>
  <c r="D18" i="21"/>
  <c r="D17" i="21"/>
  <c r="D16" i="21"/>
  <c r="D15" i="21"/>
  <c r="D14" i="21"/>
  <c r="N14" i="21" s="1"/>
  <c r="D13" i="21"/>
  <c r="D7" i="21"/>
  <c r="N7" i="21" s="1"/>
  <c r="C36" i="21"/>
  <c r="M36" i="21" s="1"/>
  <c r="C35" i="21"/>
  <c r="C34" i="21"/>
  <c r="M34" i="21" s="1"/>
  <c r="C33" i="21"/>
  <c r="C32" i="21"/>
  <c r="C31" i="21"/>
  <c r="M31" i="21" s="1"/>
  <c r="C30" i="21"/>
  <c r="C29" i="21"/>
  <c r="M29" i="21" s="1"/>
  <c r="C28" i="21"/>
  <c r="M28" i="21" s="1"/>
  <c r="C27" i="21"/>
  <c r="C26" i="21"/>
  <c r="C25" i="21"/>
  <c r="C24" i="21"/>
  <c r="M24" i="21" s="1"/>
  <c r="C23" i="21"/>
  <c r="C22" i="21"/>
  <c r="C21" i="21"/>
  <c r="C18" i="21"/>
  <c r="C17" i="21"/>
  <c r="C16" i="21"/>
  <c r="C15" i="21"/>
  <c r="C20" i="21"/>
  <c r="C13" i="21"/>
  <c r="C8" i="21"/>
  <c r="C7" i="21"/>
  <c r="M7" i="21" s="1"/>
  <c r="D20" i="21" l="1"/>
  <c r="C14" i="21"/>
  <c r="M14" i="21" s="1"/>
  <c r="C19" i="21"/>
  <c r="D19" i="21"/>
  <c r="Q20" i="21"/>
  <c r="Q18" i="21"/>
  <c r="Q17" i="21"/>
  <c r="Q16" i="21"/>
  <c r="Q13" i="21"/>
  <c r="O58" i="5" l="1"/>
  <c r="O57" i="5"/>
  <c r="O59" i="5"/>
  <c r="N58" i="5"/>
  <c r="N57" i="5"/>
  <c r="Q52" i="5"/>
  <c r="Q51" i="5"/>
  <c r="Q50" i="5"/>
  <c r="Q49" i="5"/>
  <c r="Q48" i="5"/>
  <c r="Q47" i="5"/>
  <c r="Q25" i="5"/>
  <c r="Q24" i="5"/>
  <c r="Q23" i="5"/>
  <c r="Q22" i="5"/>
  <c r="Q21" i="5"/>
  <c r="P52" i="5"/>
  <c r="Q42" i="5"/>
  <c r="Q41" i="5"/>
  <c r="Q40" i="5"/>
  <c r="Q39" i="5"/>
  <c r="Q38" i="5"/>
  <c r="N42" i="5"/>
  <c r="N41" i="5"/>
  <c r="N40" i="5"/>
  <c r="N39" i="5"/>
  <c r="N38" i="5"/>
  <c r="N37" i="5"/>
  <c r="N36" i="5"/>
  <c r="N35" i="5"/>
  <c r="D45" i="2"/>
  <c r="D44" i="2"/>
  <c r="E332" i="9" l="1"/>
  <c r="D332" i="9"/>
  <c r="G14" i="6" l="1"/>
  <c r="G58" i="13"/>
  <c r="G57" i="13"/>
  <c r="G56" i="13"/>
  <c r="G55" i="13"/>
  <c r="G53" i="13"/>
  <c r="G52" i="13"/>
  <c r="G51" i="13"/>
  <c r="G50" i="13"/>
  <c r="G49" i="13"/>
  <c r="G48" i="13"/>
  <c r="G47" i="13"/>
  <c r="G43" i="13"/>
  <c r="G42" i="13"/>
  <c r="G41" i="13"/>
  <c r="G38" i="13"/>
  <c r="G37" i="13"/>
  <c r="G36" i="13"/>
  <c r="G35" i="13"/>
  <c r="G34" i="13"/>
  <c r="G33" i="13"/>
  <c r="G32" i="13"/>
  <c r="G27" i="13"/>
  <c r="G26" i="13"/>
  <c r="G25" i="13"/>
  <c r="G24" i="13"/>
  <c r="G23" i="13"/>
  <c r="G22" i="13"/>
  <c r="G21" i="13"/>
  <c r="G20" i="13"/>
  <c r="G19" i="13"/>
  <c r="G14" i="13"/>
  <c r="P13" i="13"/>
  <c r="O13" i="13"/>
  <c r="N13" i="13"/>
  <c r="M13" i="13"/>
  <c r="L13" i="13"/>
  <c r="K13" i="13"/>
  <c r="P12" i="13"/>
  <c r="O12" i="13"/>
  <c r="N12" i="13"/>
  <c r="M12" i="13"/>
  <c r="L12" i="13"/>
  <c r="K12" i="13"/>
  <c r="O11" i="13"/>
  <c r="M11" i="13"/>
  <c r="L11" i="13"/>
  <c r="K11" i="13"/>
  <c r="P10" i="13"/>
  <c r="O10" i="13"/>
  <c r="N10" i="13"/>
  <c r="M10" i="13"/>
  <c r="L10" i="13"/>
  <c r="K10" i="13"/>
  <c r="P9" i="13"/>
  <c r="O9" i="13"/>
  <c r="N9" i="13"/>
  <c r="M9" i="13"/>
  <c r="L9" i="13"/>
  <c r="K9" i="13"/>
  <c r="O8" i="13"/>
  <c r="M8" i="13"/>
  <c r="L8" i="13"/>
  <c r="K8" i="13"/>
  <c r="O7" i="13"/>
  <c r="M7" i="13"/>
  <c r="L7" i="13"/>
  <c r="K7" i="13"/>
  <c r="D45" i="7"/>
  <c r="C45" i="7"/>
  <c r="D44" i="7"/>
  <c r="C44" i="7"/>
  <c r="D43" i="7"/>
  <c r="C43" i="7"/>
  <c r="D42" i="7"/>
  <c r="C42" i="7"/>
  <c r="D41" i="7"/>
  <c r="C41" i="7"/>
  <c r="D40" i="7"/>
  <c r="C40" i="7"/>
  <c r="D39" i="7"/>
  <c r="C39" i="7"/>
  <c r="G35" i="7"/>
  <c r="G34" i="7"/>
  <c r="D33" i="7"/>
  <c r="D32" i="7"/>
  <c r="D31" i="7"/>
  <c r="C31" i="7"/>
  <c r="D30" i="7"/>
  <c r="C30" i="7"/>
  <c r="D29" i="7"/>
  <c r="C29" i="7"/>
  <c r="D28" i="7"/>
  <c r="C28" i="7"/>
  <c r="D27" i="7"/>
  <c r="C27" i="7"/>
  <c r="D26" i="7"/>
  <c r="C26" i="7"/>
  <c r="D25" i="7"/>
  <c r="C25" i="7"/>
  <c r="D24" i="7"/>
  <c r="C24" i="7"/>
  <c r="D23" i="7"/>
  <c r="C23" i="7"/>
  <c r="D22" i="7"/>
  <c r="C22" i="7"/>
  <c r="D21" i="7"/>
  <c r="C21" i="7"/>
  <c r="D20" i="7"/>
  <c r="C20" i="7"/>
  <c r="D19" i="7"/>
  <c r="C19" i="7"/>
  <c r="D18" i="7"/>
  <c r="C18" i="7"/>
  <c r="D17" i="7"/>
  <c r="C17" i="7"/>
  <c r="D16" i="7"/>
  <c r="C16" i="7"/>
  <c r="D11" i="7"/>
  <c r="C11" i="7"/>
  <c r="D10" i="7"/>
  <c r="C10" i="7"/>
  <c r="D9" i="7"/>
  <c r="C9" i="7"/>
  <c r="D8" i="7"/>
  <c r="C8" i="7"/>
  <c r="D7" i="7"/>
  <c r="C7" i="7"/>
  <c r="D3" i="7"/>
  <c r="B3" i="7"/>
  <c r="D2" i="7"/>
  <c r="F43" i="7"/>
  <c r="B2" i="7"/>
  <c r="D97" i="6"/>
  <c r="C97" i="6"/>
  <c r="D93" i="6"/>
  <c r="C93" i="6"/>
  <c r="D88" i="6"/>
  <c r="C88" i="6"/>
  <c r="D87" i="6"/>
  <c r="C87" i="6"/>
  <c r="D83" i="6"/>
  <c r="C83" i="6"/>
  <c r="D82" i="6"/>
  <c r="C82" i="6"/>
  <c r="D77" i="6"/>
  <c r="C77" i="6"/>
  <c r="D76" i="6"/>
  <c r="C76" i="6"/>
  <c r="D69" i="6"/>
  <c r="C69" i="6"/>
  <c r="D68" i="6"/>
  <c r="C68" i="6"/>
  <c r="D64" i="6"/>
  <c r="C64" i="6"/>
  <c r="D63" i="6"/>
  <c r="C63" i="6"/>
  <c r="D62" i="6"/>
  <c r="C62" i="6"/>
  <c r="D61" i="6"/>
  <c r="C61" i="6"/>
  <c r="D60" i="6"/>
  <c r="C60" i="6"/>
  <c r="D59" i="6"/>
  <c r="C59" i="6"/>
  <c r="D55" i="6"/>
  <c r="C55" i="6"/>
  <c r="D54" i="6"/>
  <c r="C54" i="6"/>
  <c r="D53" i="6"/>
  <c r="C53" i="6"/>
  <c r="D52" i="6"/>
  <c r="C52" i="6"/>
  <c r="D51" i="6"/>
  <c r="C51" i="6"/>
  <c r="D50" i="6"/>
  <c r="C50" i="6"/>
  <c r="D46" i="6"/>
  <c r="C46" i="6"/>
  <c r="D45" i="6"/>
  <c r="C45" i="6"/>
  <c r="D44" i="6"/>
  <c r="C44" i="6"/>
  <c r="D43" i="6"/>
  <c r="C43" i="6"/>
  <c r="D42" i="6"/>
  <c r="C42" i="6"/>
  <c r="D41" i="6"/>
  <c r="C41" i="6"/>
  <c r="D37" i="6"/>
  <c r="C37" i="6"/>
  <c r="D36" i="6"/>
  <c r="C36" i="6"/>
  <c r="D35" i="6"/>
  <c r="C35" i="6"/>
  <c r="D34" i="6"/>
  <c r="C34" i="6"/>
  <c r="D33" i="6"/>
  <c r="C33" i="6"/>
  <c r="D29" i="6"/>
  <c r="C29" i="6"/>
  <c r="D28" i="6"/>
  <c r="C28" i="6"/>
  <c r="D27" i="6"/>
  <c r="C27" i="6"/>
  <c r="D26" i="6"/>
  <c r="C26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C15" i="6"/>
  <c r="D13" i="6"/>
  <c r="C13" i="6"/>
  <c r="D12" i="6"/>
  <c r="C12" i="6"/>
  <c r="D11" i="6"/>
  <c r="C11" i="6"/>
  <c r="D10" i="6"/>
  <c r="C10" i="6"/>
  <c r="D9" i="6"/>
  <c r="C9" i="6"/>
  <c r="D8" i="6"/>
  <c r="C8" i="6"/>
  <c r="D7" i="6"/>
  <c r="C7" i="6"/>
  <c r="D6" i="6"/>
  <c r="C6" i="6"/>
  <c r="P56" i="5"/>
  <c r="D56" i="5"/>
  <c r="N56" i="5" s="1"/>
  <c r="C56" i="5"/>
  <c r="M56" i="5" s="1"/>
  <c r="P55" i="5"/>
  <c r="N55" i="5"/>
  <c r="L55" i="5"/>
  <c r="D55" i="5"/>
  <c r="C55" i="5"/>
  <c r="M55" i="5" s="1"/>
  <c r="P54" i="5"/>
  <c r="L54" i="5"/>
  <c r="D54" i="5"/>
  <c r="N54" i="5" s="1"/>
  <c r="C54" i="5"/>
  <c r="M54" i="5" s="1"/>
  <c r="P51" i="5"/>
  <c r="L51" i="5"/>
  <c r="D51" i="5"/>
  <c r="N51" i="5" s="1"/>
  <c r="C51" i="5"/>
  <c r="M51" i="5" s="1"/>
  <c r="P50" i="5"/>
  <c r="N50" i="5"/>
  <c r="L50" i="5"/>
  <c r="D50" i="5"/>
  <c r="C50" i="5"/>
  <c r="M50" i="5" s="1"/>
  <c r="P49" i="5"/>
  <c r="L49" i="5"/>
  <c r="D49" i="5"/>
  <c r="N49" i="5" s="1"/>
  <c r="C49" i="5"/>
  <c r="M49" i="5" s="1"/>
  <c r="P48" i="5"/>
  <c r="M48" i="5"/>
  <c r="L48" i="5"/>
  <c r="D48" i="5"/>
  <c r="N48" i="5" s="1"/>
  <c r="C48" i="5"/>
  <c r="P47" i="5"/>
  <c r="N47" i="5"/>
  <c r="L47" i="5"/>
  <c r="D47" i="5"/>
  <c r="C47" i="5"/>
  <c r="M47" i="5" s="1"/>
  <c r="P46" i="5"/>
  <c r="N46" i="5"/>
  <c r="L46" i="5"/>
  <c r="D46" i="5"/>
  <c r="C46" i="5"/>
  <c r="M46" i="5" s="1"/>
  <c r="P45" i="5"/>
  <c r="N45" i="5"/>
  <c r="L45" i="5"/>
  <c r="D45" i="5"/>
  <c r="C45" i="5"/>
  <c r="M45" i="5" s="1"/>
  <c r="P44" i="5"/>
  <c r="M44" i="5"/>
  <c r="L44" i="5"/>
  <c r="D44" i="5"/>
  <c r="N44" i="5" s="1"/>
  <c r="C44" i="5"/>
  <c r="P42" i="5"/>
  <c r="L42" i="5"/>
  <c r="D42" i="5"/>
  <c r="C42" i="5"/>
  <c r="M42" i="5" s="1"/>
  <c r="P41" i="5"/>
  <c r="M41" i="5"/>
  <c r="L41" i="5"/>
  <c r="D41" i="5"/>
  <c r="C41" i="5"/>
  <c r="P40" i="5"/>
  <c r="L40" i="5"/>
  <c r="D40" i="5"/>
  <c r="C40" i="5"/>
  <c r="M40" i="5" s="1"/>
  <c r="P39" i="5"/>
  <c r="M39" i="5"/>
  <c r="L39" i="5"/>
  <c r="D39" i="5"/>
  <c r="C39" i="5"/>
  <c r="P38" i="5"/>
  <c r="L38" i="5"/>
  <c r="D38" i="5"/>
  <c r="C38" i="5"/>
  <c r="M38" i="5" s="1"/>
  <c r="P37" i="5"/>
  <c r="M37" i="5"/>
  <c r="L37" i="5"/>
  <c r="D37" i="5"/>
  <c r="C37" i="5"/>
  <c r="P36" i="5"/>
  <c r="L36" i="5"/>
  <c r="D36" i="5"/>
  <c r="C36" i="5"/>
  <c r="M36" i="5" s="1"/>
  <c r="P35" i="5"/>
  <c r="M35" i="5"/>
  <c r="L35" i="5"/>
  <c r="D35" i="5"/>
  <c r="C35" i="5"/>
  <c r="D33" i="5"/>
  <c r="C33" i="5"/>
  <c r="D32" i="5"/>
  <c r="C32" i="5"/>
  <c r="D31" i="5"/>
  <c r="C31" i="5"/>
  <c r="D30" i="5"/>
  <c r="C30" i="5"/>
  <c r="D29" i="5"/>
  <c r="C29" i="5"/>
  <c r="P28" i="5"/>
  <c r="L28" i="5"/>
  <c r="D28" i="5"/>
  <c r="N28" i="5" s="1"/>
  <c r="C28" i="5"/>
  <c r="M28" i="5" s="1"/>
  <c r="P27" i="5"/>
  <c r="L27" i="5"/>
  <c r="D27" i="5"/>
  <c r="N27" i="5" s="1"/>
  <c r="C27" i="5"/>
  <c r="M27" i="5" s="1"/>
  <c r="P25" i="5"/>
  <c r="L25" i="5"/>
  <c r="D25" i="5"/>
  <c r="N25" i="5" s="1"/>
  <c r="C25" i="5"/>
  <c r="M25" i="5" s="1"/>
  <c r="P24" i="5"/>
  <c r="L24" i="5"/>
  <c r="D24" i="5"/>
  <c r="N24" i="5" s="1"/>
  <c r="C24" i="5"/>
  <c r="M24" i="5" s="1"/>
  <c r="P23" i="5"/>
  <c r="L23" i="5"/>
  <c r="D23" i="5"/>
  <c r="N23" i="5" s="1"/>
  <c r="C23" i="5"/>
  <c r="M23" i="5" s="1"/>
  <c r="P22" i="5"/>
  <c r="L22" i="5"/>
  <c r="D22" i="5"/>
  <c r="N22" i="5" s="1"/>
  <c r="C22" i="5"/>
  <c r="M22" i="5" s="1"/>
  <c r="P21" i="5"/>
  <c r="L21" i="5"/>
  <c r="D21" i="5"/>
  <c r="N21" i="5" s="1"/>
  <c r="C21" i="5"/>
  <c r="M21" i="5" s="1"/>
  <c r="P20" i="5"/>
  <c r="L20" i="5"/>
  <c r="D20" i="5"/>
  <c r="N20" i="5" s="1"/>
  <c r="C20" i="5"/>
  <c r="M20" i="5" s="1"/>
  <c r="P19" i="5"/>
  <c r="L19" i="5"/>
  <c r="D19" i="5"/>
  <c r="N19" i="5" s="1"/>
  <c r="C19" i="5"/>
  <c r="M19" i="5" s="1"/>
  <c r="P15" i="5"/>
  <c r="L15" i="5"/>
  <c r="D15" i="5"/>
  <c r="N15" i="5" s="1"/>
  <c r="C15" i="5"/>
  <c r="M15" i="5" s="1"/>
  <c r="P14" i="5"/>
  <c r="L14" i="5"/>
  <c r="D14" i="5"/>
  <c r="N14" i="5" s="1"/>
  <c r="C14" i="5"/>
  <c r="M14" i="5" s="1"/>
  <c r="Q10" i="5"/>
  <c r="P10" i="5"/>
  <c r="O10" i="5"/>
  <c r="N10" i="5"/>
  <c r="M10" i="5"/>
  <c r="L10" i="5"/>
  <c r="D10" i="5"/>
  <c r="C10" i="5"/>
  <c r="P9" i="5"/>
  <c r="L9" i="5"/>
  <c r="D9" i="5"/>
  <c r="N9" i="5" s="1"/>
  <c r="C9" i="5"/>
  <c r="M9" i="5" s="1"/>
  <c r="Q8" i="5"/>
  <c r="P8" i="5"/>
  <c r="O8" i="5"/>
  <c r="N8" i="5"/>
  <c r="M8" i="5"/>
  <c r="L8" i="5"/>
  <c r="D8" i="5"/>
  <c r="C8" i="5"/>
  <c r="P7" i="5"/>
  <c r="L7" i="5"/>
  <c r="D7" i="5"/>
  <c r="N7" i="5" s="1"/>
  <c r="C7" i="5"/>
  <c r="M7" i="5" s="1"/>
  <c r="D16" i="4"/>
  <c r="C16" i="4"/>
  <c r="D15" i="4"/>
  <c r="C15" i="4"/>
  <c r="D14" i="4"/>
  <c r="C14" i="4"/>
  <c r="D13" i="4"/>
  <c r="C13" i="4"/>
  <c r="D12" i="4"/>
  <c r="C12" i="4"/>
  <c r="D9" i="4"/>
  <c r="C9" i="4"/>
  <c r="D8" i="4"/>
  <c r="C8" i="4"/>
  <c r="D7" i="4"/>
  <c r="C7" i="4"/>
  <c r="D3" i="4"/>
  <c r="B3" i="4"/>
  <c r="D2" i="4"/>
  <c r="F16" i="4"/>
  <c r="B2" i="4"/>
  <c r="D99" i="2"/>
  <c r="C99" i="2"/>
  <c r="D98" i="2"/>
  <c r="C98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7" i="2"/>
  <c r="C57" i="2"/>
  <c r="D56" i="2"/>
  <c r="C56" i="2"/>
  <c r="D55" i="2"/>
  <c r="C55" i="2"/>
  <c r="D54" i="2"/>
  <c r="C54" i="2"/>
  <c r="D53" i="2"/>
  <c r="C53" i="2"/>
  <c r="D51" i="2"/>
  <c r="C51" i="2"/>
  <c r="D50" i="2"/>
  <c r="C50" i="2"/>
  <c r="D49" i="2"/>
  <c r="C49" i="2"/>
  <c r="D48" i="2"/>
  <c r="C48" i="2"/>
  <c r="D47" i="2"/>
  <c r="C47" i="2"/>
  <c r="C45" i="2"/>
  <c r="C44" i="2"/>
  <c r="D43" i="2"/>
  <c r="C43" i="2"/>
  <c r="D42" i="2"/>
  <c r="C42" i="2"/>
  <c r="D41" i="2"/>
  <c r="C41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32" i="3"/>
  <c r="C32" i="3"/>
  <c r="D31" i="3"/>
  <c r="C31" i="3"/>
  <c r="D30" i="3"/>
  <c r="C30" i="3"/>
  <c r="D29" i="3"/>
  <c r="C29" i="3"/>
  <c r="D28" i="3"/>
  <c r="C28" i="3"/>
  <c r="D27" i="3"/>
  <c r="C27" i="3"/>
  <c r="D26" i="3"/>
  <c r="C26" i="3"/>
  <c r="D23" i="3"/>
  <c r="C23" i="3"/>
  <c r="D22" i="3"/>
  <c r="C22" i="3"/>
  <c r="D21" i="3"/>
  <c r="C21" i="3"/>
  <c r="D20" i="3"/>
  <c r="C20" i="3"/>
  <c r="D19" i="3"/>
  <c r="C19" i="3"/>
  <c r="D18" i="3"/>
  <c r="C18" i="3"/>
  <c r="D17" i="3"/>
  <c r="C17" i="3"/>
  <c r="D16" i="3"/>
  <c r="C16" i="3"/>
  <c r="D15" i="3"/>
  <c r="C15" i="3"/>
  <c r="D13" i="3"/>
  <c r="C13" i="3"/>
  <c r="D12" i="3"/>
  <c r="C12" i="3"/>
  <c r="D11" i="3"/>
  <c r="C11" i="3"/>
  <c r="D10" i="3"/>
  <c r="C10" i="3"/>
  <c r="D9" i="3"/>
  <c r="C9" i="3"/>
  <c r="D8" i="3"/>
  <c r="C8" i="3"/>
  <c r="D7" i="3"/>
  <c r="C7" i="3"/>
  <c r="D6" i="3"/>
  <c r="C6" i="3"/>
  <c r="D5" i="3"/>
  <c r="C5" i="3"/>
  <c r="D2" i="3"/>
  <c r="B2" i="3"/>
  <c r="D1" i="3"/>
  <c r="F31" i="3"/>
  <c r="B1" i="3"/>
  <c r="F337" i="1"/>
  <c r="F512" i="1" s="1"/>
  <c r="F13" i="4" l="1"/>
  <c r="F14" i="4" s="1"/>
  <c r="F7" i="4"/>
  <c r="F9" i="4"/>
  <c r="F5" i="3"/>
  <c r="G54" i="13"/>
  <c r="G40" i="13"/>
  <c r="G39" i="13"/>
  <c r="F19" i="3"/>
  <c r="F23" i="3"/>
  <c r="F10" i="3"/>
  <c r="F29" i="3"/>
  <c r="F7" i="3"/>
  <c r="F15" i="3"/>
  <c r="F6" i="3"/>
  <c r="F9" i="3"/>
  <c r="F16" i="3"/>
  <c r="F26" i="3"/>
  <c r="F8" i="4"/>
  <c r="F9" i="7"/>
  <c r="F17" i="7"/>
  <c r="F21" i="7"/>
  <c r="F24" i="7"/>
  <c r="F38" i="7"/>
  <c r="F42" i="7"/>
  <c r="F8" i="7"/>
  <c r="F16" i="7"/>
  <c r="F20" i="7"/>
  <c r="F23" i="7"/>
  <c r="F33" i="7"/>
  <c r="F41" i="7"/>
  <c r="F11" i="3"/>
  <c r="F20" i="3"/>
  <c r="F30" i="3"/>
  <c r="F12" i="4"/>
  <c r="F15" i="4" s="1"/>
  <c r="F7" i="7"/>
  <c r="F11" i="7"/>
  <c r="F19" i="7"/>
  <c r="F32" i="7"/>
  <c r="F40" i="7"/>
  <c r="F10" i="7"/>
  <c r="F18" i="7"/>
  <c r="F39" i="7"/>
  <c r="F13" i="3"/>
  <c r="F18" i="3"/>
  <c r="F22" i="3"/>
  <c r="F28" i="3"/>
  <c r="F32" i="3"/>
  <c r="F8" i="3"/>
  <c r="F12" i="3"/>
  <c r="F17" i="3"/>
  <c r="F21" i="3"/>
  <c r="F27" i="3"/>
  <c r="O36" i="5" l="1"/>
  <c r="Q36" i="5" s="1"/>
  <c r="O35" i="5"/>
  <c r="Q35" i="5" s="1"/>
  <c r="O45" i="5"/>
  <c r="Q45" i="5" s="1"/>
  <c r="O56" i="5"/>
  <c r="Q56" i="5" s="1"/>
  <c r="O44" i="5" l="1"/>
  <c r="Q44" i="5" s="1"/>
  <c r="O46" i="5"/>
  <c r="Q46" i="5" s="1"/>
  <c r="O37" i="5"/>
  <c r="Q37" i="5" s="1"/>
  <c r="O55" i="5"/>
  <c r="Q55" i="5" s="1"/>
  <c r="N8" i="13" l="1"/>
  <c r="G68" i="8" l="1"/>
  <c r="G67" i="8"/>
  <c r="E7" i="21" l="1"/>
  <c r="E8" i="21"/>
  <c r="G8" i="21" s="1"/>
  <c r="G7" i="21" l="1"/>
  <c r="O7" i="21"/>
  <c r="Q7" i="21" s="1"/>
  <c r="G90" i="8"/>
  <c r="G80" i="8"/>
  <c r="G87" i="8"/>
  <c r="G86" i="8"/>
  <c r="G73" i="8"/>
  <c r="G88" i="8"/>
  <c r="G83" i="8"/>
  <c r="G85" i="8"/>
  <c r="G84" i="8"/>
  <c r="G69" i="8"/>
  <c r="G91" i="8"/>
  <c r="G71" i="8"/>
  <c r="G81" i="8"/>
  <c r="G92" i="8"/>
  <c r="G72" i="8"/>
  <c r="G74" i="8"/>
  <c r="G82" i="8"/>
  <c r="G78" i="8"/>
  <c r="G89" i="8"/>
  <c r="G79" i="8"/>
  <c r="G76" i="8" l="1"/>
  <c r="G70" i="8"/>
  <c r="G77" i="8"/>
  <c r="G75" i="8"/>
  <c r="E23" i="21"/>
  <c r="G23" i="21" s="1"/>
  <c r="E22" i="21"/>
  <c r="G22" i="21" s="1"/>
  <c r="E18" i="21"/>
  <c r="G18" i="21" s="1"/>
  <c r="E36" i="21"/>
  <c r="E15" i="21"/>
  <c r="G15" i="21" s="1"/>
  <c r="E13" i="21"/>
  <c r="G13" i="21" s="1"/>
  <c r="E28" i="21"/>
  <c r="E29" i="21"/>
  <c r="E32" i="21"/>
  <c r="G32" i="21" s="1"/>
  <c r="E30" i="21"/>
  <c r="G30" i="21" s="1"/>
  <c r="E34" i="21"/>
  <c r="E33" i="21"/>
  <c r="G33" i="21" s="1"/>
  <c r="E26" i="21"/>
  <c r="G26" i="21" s="1"/>
  <c r="E16" i="21"/>
  <c r="G16" i="21" s="1"/>
  <c r="E25" i="21"/>
  <c r="G25" i="21" s="1"/>
  <c r="E35" i="21"/>
  <c r="G35" i="21" s="1"/>
  <c r="E27" i="21"/>
  <c r="G27" i="21" s="1"/>
  <c r="E17" i="21"/>
  <c r="G17" i="21" s="1"/>
  <c r="E31" i="21"/>
  <c r="E24" i="21"/>
  <c r="G36" i="21" l="1"/>
  <c r="O36" i="21"/>
  <c r="Q36" i="21" s="1"/>
  <c r="N75" i="22"/>
  <c r="N56" i="22"/>
  <c r="N68" i="22"/>
  <c r="G31" i="21"/>
  <c r="O31" i="21"/>
  <c r="Q31" i="21" s="1"/>
  <c r="O34" i="21"/>
  <c r="Q34" i="21" s="1"/>
  <c r="G34" i="21"/>
  <c r="O29" i="21"/>
  <c r="Q29" i="21" s="1"/>
  <c r="G29" i="21"/>
  <c r="O24" i="21"/>
  <c r="Q24" i="21" s="1"/>
  <c r="G24" i="21"/>
  <c r="O28" i="21"/>
  <c r="Q28" i="21" s="1"/>
  <c r="G28" i="21"/>
  <c r="O14" i="5" l="1"/>
  <c r="Q14" i="5" s="1"/>
  <c r="N83" i="22"/>
  <c r="E19" i="21"/>
  <c r="G19" i="21" s="1"/>
  <c r="E21" i="21"/>
  <c r="G21" i="21" s="1"/>
  <c r="N55" i="22"/>
  <c r="N61" i="22"/>
  <c r="O54" i="5"/>
  <c r="Q54" i="5" s="1"/>
  <c r="N63" i="22"/>
  <c r="E14" i="21"/>
  <c r="E20" i="21"/>
  <c r="G20" i="21" s="1"/>
  <c r="O20" i="5"/>
  <c r="Q20" i="5" s="1"/>
  <c r="O19" i="5"/>
  <c r="Q19" i="5" s="1"/>
  <c r="G14" i="21" l="1"/>
  <c r="O14" i="21"/>
  <c r="Q14" i="21" s="1"/>
  <c r="O7" i="5"/>
  <c r="Q7" i="5" s="1"/>
  <c r="N57" i="22" l="1"/>
  <c r="N93" i="22" l="1"/>
  <c r="N94" i="22"/>
  <c r="N87" i="22"/>
  <c r="N64" i="22"/>
  <c r="N88" i="22"/>
  <c r="N81" i="22"/>
  <c r="N89" i="22"/>
  <c r="N82" i="22"/>
  <c r="D300" i="9" l="1"/>
  <c r="D124" i="9"/>
  <c r="D339" i="9"/>
  <c r="D23" i="14"/>
  <c r="F23" i="14" s="1"/>
  <c r="G1122" i="8"/>
  <c r="D37" i="9"/>
  <c r="D277" i="9"/>
  <c r="D278" i="9"/>
  <c r="E12" i="13"/>
  <c r="G12" i="13" s="1"/>
  <c r="E11" i="13"/>
  <c r="E9" i="13"/>
  <c r="G9" i="13" s="1"/>
  <c r="E8" i="13"/>
  <c r="G8" i="13" s="1"/>
  <c r="P8" i="13" s="1"/>
  <c r="E10" i="13"/>
  <c r="G10" i="13" s="1"/>
  <c r="E37" i="9"/>
  <c r="E124" i="9"/>
  <c r="G1279" i="8"/>
  <c r="G965" i="8"/>
  <c r="G1120" i="8"/>
  <c r="G1045" i="8"/>
  <c r="G1020" i="8"/>
  <c r="G1019" i="8"/>
  <c r="G936" i="8"/>
  <c r="G1018" i="8"/>
  <c r="G1119" i="8"/>
  <c r="G1040" i="8"/>
  <c r="G1023" i="8"/>
  <c r="G1044" i="8"/>
  <c r="G1024" i="8"/>
  <c r="G1021" i="8"/>
  <c r="G1022" i="8"/>
  <c r="G1080" i="8"/>
  <c r="G1025" i="8"/>
  <c r="G1081" i="8"/>
  <c r="G1280" i="8"/>
  <c r="E339" i="9"/>
  <c r="E23" i="14"/>
  <c r="G725" i="8" l="1"/>
  <c r="G585" i="8"/>
  <c r="G984" i="8"/>
  <c r="G546" i="8"/>
  <c r="G1288" i="8"/>
  <c r="G1292" i="8"/>
  <c r="G424" i="8"/>
  <c r="G513" i="8"/>
  <c r="G928" i="8"/>
  <c r="G36" i="8"/>
  <c r="G1183" i="8"/>
  <c r="G405" i="8"/>
  <c r="D24" i="14"/>
  <c r="F24" i="14" s="1"/>
  <c r="D330" i="9"/>
  <c r="G1134" i="8"/>
  <c r="G885" i="8"/>
  <c r="G1234" i="8"/>
  <c r="D301" i="9"/>
  <c r="D366" i="9"/>
  <c r="D368" i="9"/>
  <c r="D363" i="9"/>
  <c r="G869" i="8"/>
  <c r="D123" i="9"/>
  <c r="D49" i="9"/>
  <c r="D57" i="9"/>
  <c r="D52" i="9"/>
  <c r="D115" i="9"/>
  <c r="D256" i="9"/>
  <c r="D298" i="9"/>
  <c r="G925" i="8"/>
  <c r="D320" i="9"/>
  <c r="D99" i="9"/>
  <c r="D169" i="9"/>
  <c r="G307" i="8"/>
  <c r="D309" i="9"/>
  <c r="D237" i="9"/>
  <c r="D338" i="9"/>
  <c r="D270" i="9"/>
  <c r="D236" i="9"/>
  <c r="G276" i="8"/>
  <c r="D177" i="9"/>
  <c r="D36" i="9"/>
  <c r="D139" i="9"/>
  <c r="D63" i="9"/>
  <c r="G1290" i="8"/>
  <c r="D64" i="9"/>
  <c r="D383" i="9"/>
  <c r="D163" i="9"/>
  <c r="D176" i="9"/>
  <c r="D167" i="9"/>
  <c r="D122" i="9"/>
  <c r="D182" i="9"/>
  <c r="D207" i="9"/>
  <c r="D59" i="9"/>
  <c r="D226" i="9"/>
  <c r="D95" i="9"/>
  <c r="D307" i="9"/>
  <c r="D220" i="9"/>
  <c r="D128" i="9"/>
  <c r="D152" i="9"/>
  <c r="G905" i="8"/>
  <c r="D149" i="9"/>
  <c r="G729" i="8"/>
  <c r="G533" i="8"/>
  <c r="G1123" i="8"/>
  <c r="G157" i="8"/>
  <c r="G1187" i="8"/>
  <c r="G415" i="8"/>
  <c r="E42" i="22"/>
  <c r="G42" i="22" s="1"/>
  <c r="E16" i="4"/>
  <c r="G16" i="4" s="1"/>
  <c r="D160" i="9"/>
  <c r="D385" i="9"/>
  <c r="D379" i="9"/>
  <c r="D365" i="9"/>
  <c r="D24" i="9"/>
  <c r="D44" i="9"/>
  <c r="D308" i="9"/>
  <c r="D223" i="9"/>
  <c r="D213" i="9"/>
  <c r="D209" i="9"/>
  <c r="D147" i="9"/>
  <c r="D203" i="9"/>
  <c r="D200" i="9"/>
  <c r="D242" i="9"/>
  <c r="D184" i="9"/>
  <c r="E21" i="22"/>
  <c r="G21" i="22" s="1"/>
  <c r="E30" i="22"/>
  <c r="G30" i="22" s="1"/>
  <c r="D16" i="14"/>
  <c r="F16" i="14" s="1"/>
  <c r="D381" i="9"/>
  <c r="D16" i="9"/>
  <c r="D164" i="9"/>
  <c r="D96" i="9"/>
  <c r="D50" i="9"/>
  <c r="D250" i="9"/>
  <c r="D249" i="9"/>
  <c r="D201" i="9"/>
  <c r="D205" i="9"/>
  <c r="D248" i="9"/>
  <c r="D120" i="9"/>
  <c r="D190" i="9"/>
  <c r="D321" i="9"/>
  <c r="D217" i="9"/>
  <c r="D199" i="9"/>
  <c r="D262" i="9"/>
  <c r="D127" i="9"/>
  <c r="G831" i="8"/>
  <c r="G520" i="8"/>
  <c r="G977" i="8"/>
  <c r="G407" i="8"/>
  <c r="D140" i="9"/>
  <c r="D380" i="9"/>
  <c r="D377" i="9"/>
  <c r="G275" i="8"/>
  <c r="D138" i="9"/>
  <c r="D175" i="9"/>
  <c r="D148" i="9"/>
  <c r="D18" i="9"/>
  <c r="D296" i="9"/>
  <c r="D230" i="9"/>
  <c r="D218" i="9"/>
  <c r="D247" i="9"/>
  <c r="D211" i="9"/>
  <c r="D231" i="9"/>
  <c r="D356" i="9"/>
  <c r="D102" i="9"/>
  <c r="D280" i="9"/>
  <c r="G323" i="8"/>
  <c r="G11" i="13"/>
  <c r="P11" i="13" s="1"/>
  <c r="N11" i="13"/>
  <c r="D25" i="14"/>
  <c r="F25" i="14" s="1"/>
  <c r="G58" i="8"/>
  <c r="D323" i="9"/>
  <c r="D376" i="9"/>
  <c r="G336" i="8"/>
  <c r="D378" i="9"/>
  <c r="D156" i="9"/>
  <c r="D22" i="9"/>
  <c r="D119" i="9"/>
  <c r="D13" i="9"/>
  <c r="D306" i="9"/>
  <c r="D56" i="9"/>
  <c r="G153" i="8"/>
  <c r="D31" i="9"/>
  <c r="D322" i="9"/>
  <c r="D265" i="9"/>
  <c r="G265" i="8"/>
  <c r="D210" i="9"/>
  <c r="D107" i="9"/>
  <c r="D238" i="9"/>
  <c r="G445" i="8"/>
  <c r="D133" i="9"/>
  <c r="D264" i="9"/>
  <c r="D351" i="9"/>
  <c r="D233" i="9"/>
  <c r="D100" i="9"/>
  <c r="D204" i="9"/>
  <c r="D261" i="9"/>
  <c r="D141" i="9"/>
  <c r="G904" i="8"/>
  <c r="D98" i="9"/>
  <c r="G31" i="8"/>
  <c r="G411" i="8"/>
  <c r="G1093" i="8"/>
  <c r="D352" i="9"/>
  <c r="D15" i="14"/>
  <c r="F15" i="14" s="1"/>
  <c r="E49" i="22"/>
  <c r="G49" i="22" s="1"/>
  <c r="E14" i="4"/>
  <c r="G14" i="4" s="1"/>
  <c r="D104" i="9"/>
  <c r="G1095" i="8"/>
  <c r="G1106" i="8"/>
  <c r="G1050" i="8"/>
  <c r="D360" i="9"/>
  <c r="D373" i="9"/>
  <c r="G376" i="8"/>
  <c r="D370" i="9"/>
  <c r="D374" i="9"/>
  <c r="G840" i="8"/>
  <c r="D137" i="9"/>
  <c r="D364" i="9"/>
  <c r="D243" i="9"/>
  <c r="D39" i="9"/>
  <c r="D23" i="9"/>
  <c r="G667" i="8"/>
  <c r="G177" i="8"/>
  <c r="D239" i="9"/>
  <c r="D215" i="9"/>
  <c r="D228" i="9"/>
  <c r="D241" i="9"/>
  <c r="D134" i="9"/>
  <c r="D252" i="9"/>
  <c r="D83" i="9"/>
  <c r="D84" i="9"/>
  <c r="G999" i="8"/>
  <c r="D17" i="14"/>
  <c r="F17" i="14" s="1"/>
  <c r="E22" i="3"/>
  <c r="G22" i="3" s="1"/>
  <c r="E300" i="9"/>
  <c r="E12" i="3"/>
  <c r="G12" i="3" s="1"/>
  <c r="D268" i="9"/>
  <c r="D165" i="9"/>
  <c r="D126" i="9"/>
  <c r="D79" i="9"/>
  <c r="D55" i="9"/>
  <c r="G318" i="8"/>
  <c r="D198" i="9"/>
  <c r="G553" i="8"/>
  <c r="D189" i="9"/>
  <c r="D202" i="9"/>
  <c r="D222" i="9"/>
  <c r="D74" i="9"/>
  <c r="G718" i="8"/>
  <c r="G254" i="8"/>
  <c r="D279" i="9"/>
  <c r="G402" i="8"/>
  <c r="G20" i="8"/>
  <c r="G1153" i="8"/>
  <c r="G348" i="8"/>
  <c r="G886" i="8"/>
  <c r="G1030" i="8"/>
  <c r="E52" i="7"/>
  <c r="G52" i="7" s="1"/>
  <c r="E62" i="7"/>
  <c r="G62" i="7" s="1"/>
  <c r="E69" i="7"/>
  <c r="G69" i="7" s="1"/>
  <c r="E51" i="7"/>
  <c r="G51" i="7" s="1"/>
  <c r="E61" i="7"/>
  <c r="G61" i="7" s="1"/>
  <c r="E60" i="7"/>
  <c r="G60" i="7" s="1"/>
  <c r="E277" i="9"/>
  <c r="E66" i="7"/>
  <c r="G66" i="7" s="1"/>
  <c r="E54" i="7"/>
  <c r="G54" i="7" s="1"/>
  <c r="E278" i="9"/>
  <c r="E70" i="7"/>
  <c r="G70" i="7" s="1"/>
  <c r="E49" i="7"/>
  <c r="G49" i="7" s="1"/>
  <c r="E50" i="7"/>
  <c r="G50" i="7" s="1"/>
  <c r="E58" i="7"/>
  <c r="G58" i="7" s="1"/>
  <c r="E63" i="7"/>
  <c r="G63" i="7" s="1"/>
  <c r="E57" i="7"/>
  <c r="G57" i="7" s="1"/>
  <c r="E48" i="7"/>
  <c r="G48" i="7" s="1"/>
  <c r="E30" i="2"/>
  <c r="E32" i="7"/>
  <c r="G32" i="7" s="1"/>
  <c r="E34" i="6"/>
  <c r="E149" i="9"/>
  <c r="E280" i="9"/>
  <c r="E184" i="9"/>
  <c r="E128" i="9"/>
  <c r="E141" i="9"/>
  <c r="E279" i="9"/>
  <c r="E18" i="2"/>
  <c r="E152" i="9"/>
  <c r="E127" i="9"/>
  <c r="E83" i="9"/>
  <c r="E84" i="9"/>
  <c r="E8" i="5"/>
  <c r="G8" i="5" s="1"/>
  <c r="E243" i="9"/>
  <c r="E308" i="9"/>
  <c r="E250" i="9"/>
  <c r="E202" i="9"/>
  <c r="E201" i="9"/>
  <c r="E238" i="9"/>
  <c r="E147" i="9"/>
  <c r="E248" i="9"/>
  <c r="E120" i="9"/>
  <c r="E44" i="2"/>
  <c r="G44" i="2" s="1"/>
  <c r="E20" i="7"/>
  <c r="E100" i="9"/>
  <c r="E228" i="9"/>
  <c r="E199" i="9"/>
  <c r="E59" i="7"/>
  <c r="G59" i="7" s="1"/>
  <c r="E68" i="7"/>
  <c r="G68" i="7" s="1"/>
  <c r="E249" i="9"/>
  <c r="E223" i="9"/>
  <c r="E226" i="9"/>
  <c r="E189" i="9"/>
  <c r="E107" i="9"/>
  <c r="E205" i="9"/>
  <c r="E222" i="9"/>
  <c r="E264" i="9"/>
  <c r="E351" i="9"/>
  <c r="E309" i="9"/>
  <c r="E203" i="9"/>
  <c r="E74" i="9"/>
  <c r="E307" i="9"/>
  <c r="E134" i="9"/>
  <c r="E67" i="7"/>
  <c r="G67" i="7" s="1"/>
  <c r="E27" i="7"/>
  <c r="G27" i="7" s="1"/>
  <c r="E207" i="9"/>
  <c r="E59" i="9"/>
  <c r="E322" i="9"/>
  <c r="E320" i="9"/>
  <c r="E209" i="9"/>
  <c r="E99" i="9"/>
  <c r="E65" i="7"/>
  <c r="G65" i="7" s="1"/>
  <c r="E247" i="9"/>
  <c r="E95" i="9"/>
  <c r="E64" i="7"/>
  <c r="G64" i="7" s="1"/>
  <c r="E356" i="9"/>
  <c r="E270" i="9"/>
  <c r="E36" i="6"/>
  <c r="E39" i="9"/>
  <c r="E23" i="9"/>
  <c r="E198" i="9"/>
  <c r="E265" i="9"/>
  <c r="E25" i="7"/>
  <c r="G25" i="7" s="1"/>
  <c r="E190" i="9"/>
  <c r="E321" i="9"/>
  <c r="E338" i="9"/>
  <c r="E200" i="9"/>
  <c r="E102" i="9"/>
  <c r="E156" i="9"/>
  <c r="E163" i="9"/>
  <c r="E16" i="9"/>
  <c r="E22" i="9"/>
  <c r="E119" i="9"/>
  <c r="E96" i="9"/>
  <c r="E123" i="9"/>
  <c r="E24" i="9"/>
  <c r="E167" i="9"/>
  <c r="E18" i="9"/>
  <c r="E122" i="9"/>
  <c r="E49" i="9"/>
  <c r="E52" i="9"/>
  <c r="E296" i="9"/>
  <c r="E50" i="9"/>
  <c r="E182" i="9"/>
  <c r="E57" i="22"/>
  <c r="G57" i="22" s="1"/>
  <c r="P57" i="22" s="1"/>
  <c r="E366" i="9"/>
  <c r="E385" i="9"/>
  <c r="E140" i="9"/>
  <c r="E376" i="9"/>
  <c r="E380" i="9"/>
  <c r="E374" i="9"/>
  <c r="E368" i="9"/>
  <c r="E379" i="9"/>
  <c r="E378" i="9"/>
  <c r="E365" i="9"/>
  <c r="E137" i="9"/>
  <c r="E383" i="9"/>
  <c r="E377" i="9"/>
  <c r="E364" i="9"/>
  <c r="E381" i="9"/>
  <c r="E138" i="9"/>
  <c r="E26" i="6"/>
  <c r="E33" i="6"/>
  <c r="E7" i="7"/>
  <c r="G7" i="7" s="1"/>
  <c r="E56" i="22"/>
  <c r="G56" i="22" s="1"/>
  <c r="P56" i="22" s="1"/>
  <c r="E92" i="2"/>
  <c r="G92" i="2" s="1"/>
  <c r="E43" i="22"/>
  <c r="G43" i="22" s="1"/>
  <c r="E139" i="9"/>
  <c r="E44" i="7"/>
  <c r="E48" i="22"/>
  <c r="G48" i="22" s="1"/>
  <c r="E40" i="22"/>
  <c r="G40" i="22" s="1"/>
  <c r="E68" i="22"/>
  <c r="G68" i="22" s="1"/>
  <c r="P68" i="22" s="1"/>
  <c r="E75" i="22"/>
  <c r="G75" i="22" s="1"/>
  <c r="P75" i="22" s="1"/>
  <c r="E104" i="9"/>
  <c r="E323" i="9"/>
  <c r="E13" i="22"/>
  <c r="G13" i="22" s="1"/>
  <c r="E39" i="22"/>
  <c r="G39" i="22" s="1"/>
  <c r="E88" i="6"/>
  <c r="E88" i="2"/>
  <c r="G88" i="2" s="1"/>
  <c r="E301" i="9"/>
  <c r="E160" i="9"/>
  <c r="E11" i="7"/>
  <c r="G11" i="7" s="1"/>
  <c r="E39" i="7"/>
  <c r="E45" i="7"/>
  <c r="E41" i="7"/>
  <c r="E95" i="2"/>
  <c r="G95" i="2" s="1"/>
  <c r="E61" i="2"/>
  <c r="G61" i="2" s="1"/>
  <c r="E75" i="2"/>
  <c r="G75" i="2" s="1"/>
  <c r="E89" i="2"/>
  <c r="G89" i="2" s="1"/>
  <c r="E42" i="7"/>
  <c r="E43" i="7"/>
  <c r="E7" i="22"/>
  <c r="G7" i="22" s="1"/>
  <c r="E330" i="9"/>
  <c r="E352" i="9"/>
  <c r="E24" i="14"/>
  <c r="E64" i="9"/>
  <c r="E25" i="14"/>
  <c r="E16" i="14"/>
  <c r="E15" i="14"/>
  <c r="E17" i="14"/>
  <c r="E63" i="9"/>
  <c r="G1088" i="8" l="1"/>
  <c r="G145" i="8"/>
  <c r="G606" i="8"/>
  <c r="G798" i="8"/>
  <c r="G1167" i="8"/>
  <c r="G368" i="8"/>
  <c r="G432" i="8"/>
  <c r="G861" i="8"/>
  <c r="G273" i="8"/>
  <c r="G1074" i="8"/>
  <c r="G54" i="8"/>
  <c r="G1152" i="8"/>
  <c r="G963" i="8"/>
  <c r="G504" i="8"/>
  <c r="G283" i="8"/>
  <c r="G638" i="8"/>
  <c r="G529" i="8"/>
  <c r="G821" i="8"/>
  <c r="G846" i="8"/>
  <c r="G1076" i="8"/>
  <c r="G1160" i="8"/>
  <c r="G892" i="8"/>
  <c r="G584" i="8"/>
  <c r="G1173" i="8"/>
  <c r="G1138" i="8"/>
  <c r="G562" i="8"/>
  <c r="G1007" i="8"/>
  <c r="G537" i="8"/>
  <c r="G678" i="8"/>
  <c r="G856" i="8"/>
  <c r="G1210" i="8"/>
  <c r="G983" i="8"/>
  <c r="G1239" i="8"/>
  <c r="G1089" i="8"/>
  <c r="G1258" i="8"/>
  <c r="G349" i="8"/>
  <c r="G459" i="8"/>
  <c r="G1142" i="8"/>
  <c r="G1264" i="8"/>
  <c r="G1052" i="8"/>
  <c r="G964" i="8"/>
  <c r="G1195" i="8"/>
  <c r="G51" i="8"/>
  <c r="G1291" i="8"/>
  <c r="G1135" i="8"/>
  <c r="G1087" i="8"/>
  <c r="G139" i="8"/>
  <c r="G693" i="8"/>
  <c r="G374" i="8"/>
  <c r="G498" i="8"/>
  <c r="G589" i="8"/>
  <c r="G1214" i="8"/>
  <c r="G1201" i="8"/>
  <c r="G1196" i="8"/>
  <c r="G1108" i="8"/>
  <c r="G23" i="8"/>
  <c r="G1161" i="8"/>
  <c r="G1090" i="8"/>
  <c r="G1179" i="8"/>
  <c r="G1253" i="8"/>
  <c r="G1032" i="8"/>
  <c r="G174" i="8"/>
  <c r="G643" i="8"/>
  <c r="G488" i="8"/>
  <c r="G1137" i="8"/>
  <c r="G8" i="8"/>
  <c r="G392" i="8"/>
  <c r="G233" i="8"/>
  <c r="G16" i="8"/>
  <c r="G1255" i="8"/>
  <c r="G1250" i="8"/>
  <c r="G598" i="8"/>
  <c r="G286" i="8"/>
  <c r="G569" i="8"/>
  <c r="G1026" i="8"/>
  <c r="G909" i="8"/>
  <c r="G24" i="8"/>
  <c r="G516" i="8"/>
  <c r="G556" i="8"/>
  <c r="G1175" i="8"/>
  <c r="G1221" i="8"/>
  <c r="G960" i="8"/>
  <c r="G978" i="8"/>
  <c r="G675" i="8"/>
  <c r="G485" i="8"/>
  <c r="G110" i="8"/>
  <c r="G933" i="8"/>
  <c r="G941" i="8"/>
  <c r="G105" i="8"/>
  <c r="G635" i="8"/>
  <c r="G249" i="8"/>
  <c r="G11" i="8"/>
  <c r="G1229" i="8"/>
  <c r="G1042" i="8"/>
  <c r="G986" i="8"/>
  <c r="G1109" i="8"/>
  <c r="G1274" i="8"/>
  <c r="G957" i="8"/>
  <c r="G42" i="8"/>
  <c r="G305" i="8"/>
  <c r="G544" i="8"/>
  <c r="G795" i="8"/>
  <c r="G1085" i="8"/>
  <c r="G1141" i="8"/>
  <c r="G1114" i="8"/>
  <c r="G1226" i="8"/>
  <c r="G1199" i="8"/>
  <c r="G35" i="8"/>
  <c r="G1063" i="8"/>
  <c r="G1293" i="8"/>
  <c r="G1237" i="8"/>
  <c r="G1263" i="8"/>
  <c r="G1129" i="8"/>
  <c r="G202" i="8"/>
  <c r="G1008" i="8"/>
  <c r="G49" i="8"/>
  <c r="G1082" i="8"/>
  <c r="G198" i="8"/>
  <c r="G1186" i="8"/>
  <c r="G1031" i="8"/>
  <c r="G670" i="8"/>
  <c r="G797" i="8"/>
  <c r="G967" i="8"/>
  <c r="G864" i="8"/>
  <c r="G1178" i="8"/>
  <c r="G1159" i="8"/>
  <c r="G646" i="8"/>
  <c r="G880" i="8"/>
  <c r="G55" i="8"/>
  <c r="G611" i="8"/>
  <c r="G614" i="8"/>
  <c r="G686" i="8"/>
  <c r="G1000" i="8"/>
  <c r="G1212" i="8"/>
  <c r="G891" i="8"/>
  <c r="G29" i="8"/>
  <c r="G1001" i="8"/>
  <c r="G677" i="8"/>
  <c r="G351" i="8"/>
  <c r="G709" i="8"/>
  <c r="G234" i="8"/>
  <c r="G192" i="8"/>
  <c r="G720" i="8"/>
  <c r="G796" i="8"/>
  <c r="G919" i="8"/>
  <c r="G1284" i="8"/>
  <c r="G1012" i="8"/>
  <c r="G961" i="8"/>
  <c r="G41" i="8"/>
  <c r="G1243" i="8"/>
  <c r="G1268" i="8"/>
  <c r="G1184" i="8"/>
  <c r="G1188" i="8"/>
  <c r="G1029" i="8"/>
  <c r="G107" i="8"/>
  <c r="G108" i="8"/>
  <c r="G719" i="8"/>
  <c r="G258" i="8"/>
  <c r="G382" i="8"/>
  <c r="G1238" i="8"/>
  <c r="G1166" i="8"/>
  <c r="G690" i="8"/>
  <c r="G387" i="8"/>
  <c r="G154" i="8"/>
  <c r="G639" i="8"/>
  <c r="G906" i="8"/>
  <c r="G414" i="8"/>
  <c r="G252" i="8"/>
  <c r="G736" i="8"/>
  <c r="G375" i="8"/>
  <c r="G583" i="8"/>
  <c r="G768" i="8"/>
  <c r="G398" i="8"/>
  <c r="G871" i="8"/>
  <c r="G13" i="8"/>
  <c r="G1009" i="8"/>
  <c r="G1203" i="8"/>
  <c r="G859" i="8"/>
  <c r="G998" i="8"/>
  <c r="G1205" i="8"/>
  <c r="G1208" i="8"/>
  <c r="G43" i="8"/>
  <c r="G1056" i="8"/>
  <c r="G561" i="8"/>
  <c r="G248" i="8"/>
  <c r="G125" i="8"/>
  <c r="G685" i="8"/>
  <c r="G536" i="8"/>
  <c r="G673" i="8"/>
  <c r="G597" i="8"/>
  <c r="G410" i="8"/>
  <c r="G197" i="8"/>
  <c r="G681" i="8"/>
  <c r="G649" i="8"/>
  <c r="G754" i="8"/>
  <c r="G866" i="8"/>
  <c r="G838" i="8"/>
  <c r="G60" i="8"/>
  <c r="G1043" i="8"/>
  <c r="G1217" i="8"/>
  <c r="G1067" i="8"/>
  <c r="G1094" i="8"/>
  <c r="G959" i="8"/>
  <c r="G1145" i="8"/>
  <c r="G573" i="8"/>
  <c r="G1197" i="8"/>
  <c r="G1170" i="8"/>
  <c r="G991" i="8"/>
  <c r="G1223" i="8"/>
  <c r="G1154" i="8"/>
  <c r="G437" i="8"/>
  <c r="G344" i="8"/>
  <c r="G755" i="8"/>
  <c r="G832" i="8"/>
  <c r="G1079" i="8"/>
  <c r="G52" i="8"/>
  <c r="G1202" i="8"/>
  <c r="G1127" i="8"/>
  <c r="G829" i="8"/>
  <c r="G955" i="8"/>
  <c r="G1157" i="8"/>
  <c r="G1071" i="8"/>
  <c r="G979" i="8"/>
  <c r="G1098" i="8"/>
  <c r="G1165" i="8"/>
  <c r="G731" i="8"/>
  <c r="G559" i="8"/>
  <c r="G793" i="8"/>
  <c r="G209" i="8"/>
  <c r="G500" i="8"/>
  <c r="G1236" i="8"/>
  <c r="G203" i="8"/>
  <c r="G467" i="8"/>
  <c r="G724" i="8"/>
  <c r="G306" i="8"/>
  <c r="G636" i="8"/>
  <c r="G700" i="8"/>
  <c r="G604" i="8"/>
  <c r="G447" i="8"/>
  <c r="G314" i="8"/>
  <c r="G837" i="8"/>
  <c r="G1039" i="8"/>
  <c r="G1010" i="8"/>
  <c r="G1247" i="8"/>
  <c r="G896" i="8"/>
  <c r="G1105" i="8"/>
  <c r="G539" i="8"/>
  <c r="G1057" i="8"/>
  <c r="G186" i="8"/>
  <c r="G950" i="8"/>
  <c r="G525" i="8"/>
  <c r="G615" i="8"/>
  <c r="G268" i="8"/>
  <c r="G844" i="8"/>
  <c r="G962" i="8"/>
  <c r="G934" i="8"/>
  <c r="G988" i="8"/>
  <c r="G37" i="8"/>
  <c r="G889" i="8"/>
  <c r="G931" i="8"/>
  <c r="G971" i="8"/>
  <c r="G444" i="8"/>
  <c r="G343" i="8"/>
  <c r="G451" i="8"/>
  <c r="G689" i="8"/>
  <c r="G449" i="8"/>
  <c r="G870" i="8"/>
  <c r="G854" i="8"/>
  <c r="G1038" i="8"/>
  <c r="G1259" i="8"/>
  <c r="G1270" i="8"/>
  <c r="G1062" i="8"/>
  <c r="G566" i="8"/>
  <c r="G1149" i="8"/>
  <c r="G696" i="8"/>
  <c r="G288" i="8"/>
  <c r="G232" i="8"/>
  <c r="G292" i="8"/>
  <c r="G542" i="8"/>
  <c r="G422" i="8"/>
  <c r="G499" i="8"/>
  <c r="G850" i="8"/>
  <c r="G946" i="8"/>
  <c r="G1140" i="8"/>
  <c r="G1216" i="8"/>
  <c r="G34" i="8"/>
  <c r="G365" i="8"/>
  <c r="G353" i="8"/>
  <c r="G879" i="8"/>
  <c r="G26" i="8"/>
  <c r="G1124" i="8"/>
  <c r="G1091" i="8"/>
  <c r="G951" i="8"/>
  <c r="G1228" i="8"/>
  <c r="G33" i="8"/>
  <c r="G1181" i="8"/>
  <c r="D344" i="9"/>
  <c r="E256" i="9"/>
  <c r="E6" i="22"/>
  <c r="G6" i="22" s="1"/>
  <c r="E17" i="22"/>
  <c r="G17" i="22" s="1"/>
  <c r="D146" i="9"/>
  <c r="D206" i="9"/>
  <c r="D178" i="9"/>
  <c r="D260" i="9"/>
  <c r="D171" i="9"/>
  <c r="E45" i="5"/>
  <c r="G45" i="5" s="1"/>
  <c r="E28" i="5"/>
  <c r="E54" i="22"/>
  <c r="E213" i="9"/>
  <c r="D60" i="9"/>
  <c r="E78" i="2"/>
  <c r="G78" i="2" s="1"/>
  <c r="E64" i="2"/>
  <c r="G64" i="2" s="1"/>
  <c r="E8" i="6"/>
  <c r="G8" i="6" s="1"/>
  <c r="E50" i="6"/>
  <c r="E176" i="9"/>
  <c r="D216" i="9"/>
  <c r="D34" i="9"/>
  <c r="D348" i="9"/>
  <c r="D367" i="9"/>
  <c r="E8" i="3"/>
  <c r="G8" i="3" s="1"/>
  <c r="E306" i="9"/>
  <c r="E18" i="3"/>
  <c r="G18" i="3" s="1"/>
  <c r="D114" i="9"/>
  <c r="E74" i="2"/>
  <c r="G74" i="2" s="1"/>
  <c r="E60" i="2"/>
  <c r="G60" i="2" s="1"/>
  <c r="E63" i="2"/>
  <c r="G63" i="2" s="1"/>
  <c r="E77" i="2"/>
  <c r="G77" i="2" s="1"/>
  <c r="E91" i="2"/>
  <c r="G91" i="2" s="1"/>
  <c r="E211" i="9"/>
  <c r="E87" i="6"/>
  <c r="D188" i="9"/>
  <c r="D93" i="9"/>
  <c r="D180" i="9"/>
  <c r="E68" i="2"/>
  <c r="G68" i="2" s="1"/>
  <c r="E96" i="2"/>
  <c r="G96" i="2" s="1"/>
  <c r="E82" i="2"/>
  <c r="G82" i="2" s="1"/>
  <c r="D112" i="9"/>
  <c r="D355" i="9"/>
  <c r="D382" i="9"/>
  <c r="D51" i="9"/>
  <c r="D304" i="9"/>
  <c r="E29" i="2"/>
  <c r="G29" i="2" s="1"/>
  <c r="E13" i="9"/>
  <c r="D245" i="9"/>
  <c r="E7" i="6"/>
  <c r="G7" i="6" s="1"/>
  <c r="D158" i="9"/>
  <c r="E165" i="9"/>
  <c r="E97" i="6"/>
  <c r="E41" i="5"/>
  <c r="O41" i="5" s="1"/>
  <c r="E268" i="9"/>
  <c r="E24" i="5"/>
  <c r="O24" i="5" s="1"/>
  <c r="E32" i="5"/>
  <c r="E50" i="5"/>
  <c r="O50" i="5" s="1"/>
  <c r="E27" i="5"/>
  <c r="E262" i="9"/>
  <c r="D40" i="9"/>
  <c r="D103" i="9"/>
  <c r="D150" i="9"/>
  <c r="E22" i="22"/>
  <c r="G22" i="22" s="1"/>
  <c r="E237" i="9"/>
  <c r="E87" i="22"/>
  <c r="G87" i="22" s="1"/>
  <c r="P87" i="22" s="1"/>
  <c r="E32" i="22"/>
  <c r="G32" i="22" s="1"/>
  <c r="E21" i="3"/>
  <c r="G21" i="3" s="1"/>
  <c r="E11" i="3"/>
  <c r="G11" i="3" s="1"/>
  <c r="E231" i="9"/>
  <c r="E34" i="22"/>
  <c r="G34" i="22" s="1"/>
  <c r="E24" i="22"/>
  <c r="G24" i="22" s="1"/>
  <c r="E89" i="22"/>
  <c r="G89" i="22" s="1"/>
  <c r="P89" i="22" s="1"/>
  <c r="D224" i="9"/>
  <c r="D48" i="9"/>
  <c r="D208" i="9"/>
  <c r="G171" i="8"/>
  <c r="G972" i="8"/>
  <c r="G136" i="8"/>
  <c r="G522" i="8"/>
  <c r="G183" i="8"/>
  <c r="G547" i="8"/>
  <c r="G218" i="8"/>
  <c r="G114" i="8"/>
  <c r="G1233" i="8"/>
  <c r="G769" i="8"/>
  <c r="G131" i="8"/>
  <c r="G1231" i="8"/>
  <c r="G1191" i="8"/>
  <c r="G910" i="8"/>
  <c r="G958" i="8"/>
  <c r="G1027" i="8"/>
  <c r="G304" i="8"/>
  <c r="G701" i="8"/>
  <c r="G300" i="8"/>
  <c r="G687" i="8"/>
  <c r="G565" i="8"/>
  <c r="G247" i="8"/>
  <c r="G160" i="8"/>
  <c r="G792" i="8"/>
  <c r="G155" i="8"/>
  <c r="G842" i="8"/>
  <c r="G857" i="8"/>
  <c r="G1115" i="8"/>
  <c r="G1171" i="8"/>
  <c r="G1139" i="8"/>
  <c r="G932" i="8"/>
  <c r="G1192" i="8"/>
  <c r="G32" i="8"/>
  <c r="G1278" i="8"/>
  <c r="G22" i="8"/>
  <c r="G927" i="8"/>
  <c r="G1180" i="8"/>
  <c r="G992" i="8"/>
  <c r="G1281" i="8"/>
  <c r="G178" i="8"/>
  <c r="G324" i="8"/>
  <c r="G697" i="8"/>
  <c r="G567" i="8"/>
  <c r="G599" i="8"/>
  <c r="G441" i="8"/>
  <c r="G572" i="8"/>
  <c r="G784" i="8"/>
  <c r="G228" i="8"/>
  <c r="G1174" i="8"/>
  <c r="G1013" i="8"/>
  <c r="G1251" i="8"/>
  <c r="G1132" i="8"/>
  <c r="G1275" i="8"/>
  <c r="G18" i="8"/>
  <c r="G329" i="8"/>
  <c r="G550" i="8"/>
  <c r="G331" i="8"/>
  <c r="G156" i="8"/>
  <c r="G692" i="8"/>
  <c r="G354" i="8"/>
  <c r="G284" i="8"/>
  <c r="G863" i="8"/>
  <c r="G406" i="8"/>
  <c r="G14" i="8"/>
  <c r="G1011" i="8"/>
  <c r="G30" i="8"/>
  <c r="G884" i="8"/>
  <c r="G326" i="8"/>
  <c r="G713" i="8"/>
  <c r="G688" i="8"/>
  <c r="G602" i="8"/>
  <c r="G173" i="8"/>
  <c r="G267" i="8"/>
  <c r="G213" i="8"/>
  <c r="G809" i="8"/>
  <c r="G1143" i="8"/>
  <c r="G839" i="8"/>
  <c r="G1086" i="8"/>
  <c r="G1169" i="8"/>
  <c r="G945" i="8"/>
  <c r="G1200" i="8"/>
  <c r="G1061" i="8"/>
  <c r="G887" i="8"/>
  <c r="G280" i="8"/>
  <c r="G1064" i="8"/>
  <c r="G159" i="8"/>
  <c r="G180" i="8"/>
  <c r="G438" i="8"/>
  <c r="G465" i="8"/>
  <c r="G716" i="8"/>
  <c r="G1262" i="8"/>
  <c r="G781" i="8"/>
  <c r="G517" i="8"/>
  <c r="G794" i="8"/>
  <c r="G12" i="8"/>
  <c r="G1083" i="8"/>
  <c r="G1005" i="8"/>
  <c r="G1117" i="8"/>
  <c r="G1163" i="8"/>
  <c r="G1069" i="8"/>
  <c r="G985" i="8"/>
  <c r="G948" i="8"/>
  <c r="G25" i="8"/>
  <c r="G1283" i="8"/>
  <c r="G1265" i="8"/>
  <c r="G200" i="8"/>
  <c r="G369" i="8"/>
  <c r="G298" i="8"/>
  <c r="G106" i="8"/>
  <c r="G242" i="8"/>
  <c r="G705" i="8"/>
  <c r="G706" i="8"/>
  <c r="G641" i="8"/>
  <c r="G588" i="8"/>
  <c r="G1287" i="8"/>
  <c r="G762" i="8"/>
  <c r="G370" i="8"/>
  <c r="G882" i="8"/>
  <c r="G1168" i="8"/>
  <c r="G1244" i="8"/>
  <c r="G1241" i="8"/>
  <c r="G1164" i="8"/>
  <c r="G897" i="8"/>
  <c r="G975" i="8"/>
  <c r="G818" i="8"/>
  <c r="G167" i="8"/>
  <c r="G549" i="8"/>
  <c r="G600" i="8"/>
  <c r="G505" i="8"/>
  <c r="G780" i="8"/>
  <c r="G226" i="8"/>
  <c r="G1232" i="8"/>
  <c r="G868" i="8"/>
  <c r="G240" i="8"/>
  <c r="G1112" i="8"/>
  <c r="G1065" i="8"/>
  <c r="G894" i="8"/>
  <c r="G1004" i="8"/>
  <c r="G1225" i="8"/>
  <c r="G1198" i="8"/>
  <c r="G47" i="8"/>
  <c r="G39" i="8"/>
  <c r="E90" i="2"/>
  <c r="G90" i="2" s="1"/>
  <c r="E76" i="2"/>
  <c r="G76" i="2" s="1"/>
  <c r="E62" i="2"/>
  <c r="G62" i="2" s="1"/>
  <c r="D172" i="9"/>
  <c r="D305" i="9"/>
  <c r="D159" i="9"/>
  <c r="D17" i="9"/>
  <c r="D185" i="9"/>
  <c r="D130" i="9"/>
  <c r="D335" i="9"/>
  <c r="D71" i="9"/>
  <c r="E63" i="6"/>
  <c r="E83" i="22"/>
  <c r="G83" i="22" s="1"/>
  <c r="P83" i="22" s="1"/>
  <c r="E54" i="6"/>
  <c r="E45" i="6"/>
  <c r="E241" i="9"/>
  <c r="D350" i="9"/>
  <c r="N82" i="6"/>
  <c r="E210" i="9"/>
  <c r="E82" i="6"/>
  <c r="E39" i="5"/>
  <c r="O39" i="5" s="1"/>
  <c r="E22" i="5"/>
  <c r="O22" i="5" s="1"/>
  <c r="E30" i="5"/>
  <c r="E48" i="5"/>
  <c r="O48" i="5" s="1"/>
  <c r="E29" i="3"/>
  <c r="G29" i="3" s="1"/>
  <c r="E115" i="9"/>
  <c r="E195" i="9"/>
  <c r="E286" i="9"/>
  <c r="E15" i="5"/>
  <c r="E23" i="22"/>
  <c r="G23" i="22" s="1"/>
  <c r="E33" i="22"/>
  <c r="G33" i="22" s="1"/>
  <c r="E88" i="22"/>
  <c r="G88" i="22" s="1"/>
  <c r="P88" i="22" s="1"/>
  <c r="E242" i="9"/>
  <c r="D35" i="9"/>
  <c r="E133" i="9"/>
  <c r="E12" i="4"/>
  <c r="G12" i="4" s="1"/>
  <c r="E64" i="22"/>
  <c r="G64" i="22" s="1"/>
  <c r="P64" i="22" s="1"/>
  <c r="E218" i="9"/>
  <c r="E31" i="9"/>
  <c r="E34" i="2"/>
  <c r="G34" i="2" s="1"/>
  <c r="E22" i="2"/>
  <c r="G22" i="2" s="1"/>
  <c r="E10" i="2"/>
  <c r="G10" i="2" s="1"/>
  <c r="E25" i="22"/>
  <c r="G25" i="22" s="1"/>
  <c r="E204" i="9"/>
  <c r="D291" i="9"/>
  <c r="D285" i="9"/>
  <c r="D194" i="9"/>
  <c r="G246" i="8"/>
  <c r="G824" i="8"/>
  <c r="G169" i="8"/>
  <c r="G1097" i="8"/>
  <c r="G944" i="8"/>
  <c r="G1113" i="8"/>
  <c r="G1194" i="8"/>
  <c r="G429" i="8"/>
  <c r="G699" i="8"/>
  <c r="G493" i="8"/>
  <c r="G1218" i="8"/>
  <c r="G1058" i="8"/>
  <c r="G1130" i="8"/>
  <c r="G1102" i="8"/>
  <c r="G976" i="8"/>
  <c r="D340" i="9"/>
  <c r="E370" i="9"/>
  <c r="E56" i="9"/>
  <c r="E59" i="2"/>
  <c r="G59" i="2" s="1"/>
  <c r="E57" i="9"/>
  <c r="E73" i="2"/>
  <c r="G73" i="2" s="1"/>
  <c r="E126" i="9"/>
  <c r="E7" i="4"/>
  <c r="G7" i="4" s="1"/>
  <c r="E21" i="2"/>
  <c r="E44" i="9"/>
  <c r="E33" i="2"/>
  <c r="E9" i="2"/>
  <c r="E6" i="6"/>
  <c r="G6" i="6" s="1"/>
  <c r="D274" i="9"/>
  <c r="D181" i="9"/>
  <c r="E11" i="6"/>
  <c r="G11" i="6" s="1"/>
  <c r="E15" i="22"/>
  <c r="G15" i="22" s="1"/>
  <c r="E233" i="9"/>
  <c r="E19" i="6"/>
  <c r="G19" i="6" s="1"/>
  <c r="E94" i="22"/>
  <c r="G94" i="22" s="1"/>
  <c r="P94" i="22" s="1"/>
  <c r="D292" i="9"/>
  <c r="D353" i="9"/>
  <c r="E217" i="9"/>
  <c r="E63" i="22"/>
  <c r="G63" i="22" s="1"/>
  <c r="P63" i="22" s="1"/>
  <c r="E298" i="9"/>
  <c r="E17" i="3"/>
  <c r="G17" i="3" s="1"/>
  <c r="E7" i="3"/>
  <c r="G7" i="3" s="1"/>
  <c r="D183" i="9"/>
  <c r="E29" i="5"/>
  <c r="E21" i="5"/>
  <c r="O21" i="5" s="1"/>
  <c r="E47" i="5"/>
  <c r="O47" i="5" s="1"/>
  <c r="E38" i="5"/>
  <c r="O38" i="5" s="1"/>
  <c r="E98" i="9"/>
  <c r="E15" i="3"/>
  <c r="G15" i="3" s="1"/>
  <c r="G356" i="8"/>
  <c r="G669" i="8"/>
  <c r="G372" i="8"/>
  <c r="G377" i="8"/>
  <c r="G601" i="8"/>
  <c r="G822" i="8"/>
  <c r="G285" i="8"/>
  <c r="G245" i="8"/>
  <c r="G1276" i="8"/>
  <c r="G50" i="8"/>
  <c r="G1176" i="8"/>
  <c r="G508" i="8"/>
  <c r="G235" i="8"/>
  <c r="G388" i="8"/>
  <c r="G435" i="8"/>
  <c r="G682" i="8"/>
  <c r="G176" i="8"/>
  <c r="G605" i="8"/>
  <c r="G776" i="8"/>
  <c r="G745" i="8"/>
  <c r="G852" i="8"/>
  <c r="G858" i="8"/>
  <c r="G876" i="8"/>
  <c r="G1273" i="8"/>
  <c r="G1077" i="8"/>
  <c r="G1110" i="8"/>
  <c r="G1209" i="8"/>
  <c r="G56" i="8"/>
  <c r="G57" i="8"/>
  <c r="G1189" i="8"/>
  <c r="G1193" i="8"/>
  <c r="G1092" i="8"/>
  <c r="G1289" i="8"/>
  <c r="G1177" i="8"/>
  <c r="G1003" i="8"/>
  <c r="G1041" i="8"/>
  <c r="G1230" i="8"/>
  <c r="G489" i="8"/>
  <c r="G117" i="8"/>
  <c r="G138" i="8"/>
  <c r="G418" i="8"/>
  <c r="G132" i="8"/>
  <c r="G460" i="8"/>
  <c r="G788" i="8"/>
  <c r="G251" i="8"/>
  <c r="G1150" i="8"/>
  <c r="G1254" i="8"/>
  <c r="G1249" i="8"/>
  <c r="G956" i="8"/>
  <c r="G1100" i="8"/>
  <c r="G53" i="8"/>
  <c r="G1155" i="8"/>
  <c r="G309" i="8"/>
  <c r="G610" i="8"/>
  <c r="G511" i="8"/>
  <c r="G684" i="8"/>
  <c r="G468" i="8"/>
  <c r="G473" i="8"/>
  <c r="G817" i="8"/>
  <c r="G773" i="8"/>
  <c r="G772" i="8"/>
  <c r="G867" i="8"/>
  <c r="G503" i="8"/>
  <c r="G1053" i="8"/>
  <c r="G1213" i="8"/>
  <c r="G1116" i="8"/>
  <c r="G1103" i="8"/>
  <c r="G997" i="8"/>
  <c r="G371" i="8"/>
  <c r="G409" i="8"/>
  <c r="G470" i="8"/>
  <c r="G594" i="8"/>
  <c r="G644" i="8"/>
  <c r="G396" i="8"/>
  <c r="G631" i="8"/>
  <c r="G339" i="8"/>
  <c r="G865" i="8"/>
  <c r="G834" i="8"/>
  <c r="G873" i="8"/>
  <c r="G1222" i="8"/>
  <c r="G996" i="8"/>
  <c r="G990" i="8"/>
  <c r="G1260" i="8"/>
  <c r="G895" i="8"/>
  <c r="G1286" i="8"/>
  <c r="G386" i="8"/>
  <c r="G721" i="8"/>
  <c r="G425" i="8"/>
  <c r="G613" i="8"/>
  <c r="G515" i="8"/>
  <c r="G419" i="8"/>
  <c r="G1144" i="8"/>
  <c r="G250" i="8"/>
  <c r="G760" i="8"/>
  <c r="G1051" i="8"/>
  <c r="G289" i="8"/>
  <c r="G1049" i="8"/>
  <c r="G1204" i="8"/>
  <c r="G1248" i="8"/>
  <c r="G46" i="8"/>
  <c r="G1125" i="8"/>
  <c r="G1185" i="8"/>
  <c r="G982" i="8"/>
  <c r="G883" i="8"/>
  <c r="G1182" i="8"/>
  <c r="G1059" i="8"/>
  <c r="G1148" i="8"/>
  <c r="G355" i="8"/>
  <c r="G843" i="8"/>
  <c r="E81" i="2"/>
  <c r="G81" i="2" s="1"/>
  <c r="E67" i="2"/>
  <c r="G67" i="2" s="1"/>
  <c r="E99" i="2"/>
  <c r="G99" i="2" s="1"/>
  <c r="E85" i="2"/>
  <c r="G85" i="2" s="1"/>
  <c r="E71" i="2"/>
  <c r="G71" i="2" s="1"/>
  <c r="D369" i="9"/>
  <c r="E79" i="2"/>
  <c r="G79" i="2" s="1"/>
  <c r="E93" i="2"/>
  <c r="G93" i="2" s="1"/>
  <c r="E15" i="2"/>
  <c r="G15" i="2" s="1"/>
  <c r="E27" i="2"/>
  <c r="G27" i="2" s="1"/>
  <c r="E79" i="9"/>
  <c r="E65" i="2"/>
  <c r="G65" i="2" s="1"/>
  <c r="D297" i="9"/>
  <c r="D26" i="9"/>
  <c r="D157" i="9"/>
  <c r="D32" i="9"/>
  <c r="D77" i="9"/>
  <c r="D269" i="9"/>
  <c r="D110" i="9"/>
  <c r="N93" i="6"/>
  <c r="E93" i="6"/>
  <c r="E164" i="9"/>
  <c r="E41" i="6"/>
  <c r="E175" i="9"/>
  <c r="E20" i="5"/>
  <c r="G20" i="5" s="1"/>
  <c r="E36" i="5"/>
  <c r="G36" i="5" s="1"/>
  <c r="E13" i="2"/>
  <c r="G13" i="2" s="1"/>
  <c r="E37" i="2"/>
  <c r="G37" i="2" s="1"/>
  <c r="E25" i="2"/>
  <c r="G25" i="2" s="1"/>
  <c r="D290" i="9"/>
  <c r="D68" i="9"/>
  <c r="E252" i="9"/>
  <c r="E51" i="6"/>
  <c r="E60" i="6"/>
  <c r="E42" i="6"/>
  <c r="E14" i="5"/>
  <c r="G14" i="5" s="1"/>
  <c r="E194" i="9"/>
  <c r="E285" i="9"/>
  <c r="E239" i="9"/>
  <c r="E93" i="22"/>
  <c r="G93" i="22" s="1"/>
  <c r="P93" i="22" s="1"/>
  <c r="E14" i="22"/>
  <c r="G14" i="22" s="1"/>
  <c r="D254" i="9"/>
  <c r="E151" i="9"/>
  <c r="E135" i="9"/>
  <c r="E53" i="2"/>
  <c r="G53" i="2" s="1"/>
  <c r="E36" i="9"/>
  <c r="G862" i="8"/>
  <c r="G878" i="8"/>
  <c r="G1172" i="8"/>
  <c r="G1219" i="8"/>
  <c r="G1261" i="8"/>
  <c r="G1096" i="8"/>
  <c r="G890" i="8"/>
  <c r="G501" i="8"/>
  <c r="D361" i="9"/>
  <c r="D349" i="9"/>
  <c r="D375" i="9"/>
  <c r="D267" i="9"/>
  <c r="D11" i="9"/>
  <c r="E148" i="9"/>
  <c r="E22" i="6"/>
  <c r="G22" i="6" s="1"/>
  <c r="D29" i="9"/>
  <c r="E261" i="9"/>
  <c r="E19" i="5"/>
  <c r="G19" i="5" s="1"/>
  <c r="D113" i="9"/>
  <c r="D21" i="9"/>
  <c r="D41" i="9"/>
  <c r="D234" i="9"/>
  <c r="D111" i="9"/>
  <c r="D225" i="9"/>
  <c r="E331" i="9"/>
  <c r="E386" i="9"/>
  <c r="D191" i="9"/>
  <c r="D94" i="9"/>
  <c r="D275" i="9"/>
  <c r="E169" i="9"/>
  <c r="E9" i="6"/>
  <c r="G9" i="6" s="1"/>
  <c r="D86" i="9"/>
  <c r="E37" i="6"/>
  <c r="E29" i="6"/>
  <c r="E69" i="6"/>
  <c r="E77" i="6"/>
  <c r="G443" i="8"/>
  <c r="G514" i="8"/>
  <c r="G826" i="8"/>
  <c r="G109" i="8"/>
  <c r="G224" i="8"/>
  <c r="G607" i="8"/>
  <c r="G220" i="8"/>
  <c r="G128" i="8"/>
  <c r="G446" i="8"/>
  <c r="G555" i="8"/>
  <c r="G347" i="8"/>
  <c r="G1146" i="8"/>
  <c r="G1162" i="8"/>
  <c r="G1220" i="8"/>
  <c r="G1256" i="8"/>
  <c r="G350" i="8"/>
  <c r="G163" i="8"/>
  <c r="G664" i="8"/>
  <c r="G722" i="8"/>
  <c r="G194" i="8"/>
  <c r="G239" i="8"/>
  <c r="G668" i="8"/>
  <c r="G777" i="8"/>
  <c r="G860" i="8"/>
  <c r="G881" i="8"/>
  <c r="G1035" i="8"/>
  <c r="G947" i="8"/>
  <c r="G1272" i="8"/>
  <c r="G1252" i="8"/>
  <c r="G1245" i="8"/>
  <c r="G1104" i="8"/>
  <c r="G1190" i="8"/>
  <c r="G953" i="8"/>
  <c r="G1156" i="8"/>
  <c r="G929" i="8"/>
  <c r="G926" i="8"/>
  <c r="G939" i="8"/>
  <c r="G989" i="8"/>
  <c r="G379" i="8"/>
  <c r="G420" i="8"/>
  <c r="G244" i="8"/>
  <c r="G417" i="8"/>
  <c r="G519" i="8"/>
  <c r="G634" i="8"/>
  <c r="G591" i="8"/>
  <c r="G552" i="8"/>
  <c r="G6" i="8"/>
  <c r="G916" i="8"/>
  <c r="G335" i="8"/>
  <c r="G207" i="8"/>
  <c r="G404" i="8"/>
  <c r="G1037" i="8"/>
  <c r="G993" i="8"/>
  <c r="G1046" i="8"/>
  <c r="G1033" i="8"/>
  <c r="G938" i="8"/>
  <c r="G367" i="8"/>
  <c r="G698" i="8"/>
  <c r="G295" i="8"/>
  <c r="G303" i="8"/>
  <c r="G922" i="8"/>
  <c r="G757" i="8"/>
  <c r="G523" i="8"/>
  <c r="G15" i="8"/>
  <c r="G851" i="8"/>
  <c r="G830" i="8"/>
  <c r="G1017" i="8"/>
  <c r="G1206" i="8"/>
  <c r="G1158" i="8"/>
  <c r="G570" i="8"/>
  <c r="G708" i="8"/>
  <c r="G272" i="8"/>
  <c r="G390" i="8"/>
  <c r="G576" i="8"/>
  <c r="G502" i="8"/>
  <c r="G609" i="8"/>
  <c r="G518" i="8"/>
  <c r="G221" i="8"/>
  <c r="G966" i="8"/>
  <c r="G1016" i="8"/>
  <c r="G1136" i="8"/>
  <c r="G1060" i="8"/>
  <c r="G40" i="8"/>
  <c r="G48" i="8"/>
  <c r="G342" i="8"/>
  <c r="G717" i="8"/>
  <c r="G104" i="8"/>
  <c r="G394" i="8"/>
  <c r="G436" i="8"/>
  <c r="G703" i="8"/>
  <c r="G737" i="8"/>
  <c r="G494" i="8"/>
  <c r="G442" i="8"/>
  <c r="G738" i="8"/>
  <c r="G1084" i="8"/>
  <c r="G849" i="8"/>
  <c r="G17" i="8"/>
  <c r="G1211" i="8"/>
  <c r="G943" i="8"/>
  <c r="G1267" i="8"/>
  <c r="G1101" i="8"/>
  <c r="G1099" i="8"/>
  <c r="G969" i="8"/>
  <c r="G1068" i="8"/>
  <c r="G1235" i="8"/>
  <c r="G1128" i="8"/>
  <c r="D82" i="9"/>
  <c r="D80" i="9"/>
  <c r="G391" i="8"/>
  <c r="G648" i="8"/>
  <c r="G332" i="8"/>
  <c r="G385" i="8"/>
  <c r="G671" i="8"/>
  <c r="G120" i="8"/>
  <c r="G492" i="8"/>
  <c r="G103" i="8"/>
  <c r="G785" i="8"/>
  <c r="G744" i="8"/>
  <c r="G10" i="8"/>
  <c r="G1036" i="8"/>
  <c r="G1078" i="8"/>
  <c r="G1006" i="8"/>
  <c r="G930" i="8"/>
  <c r="G1070" i="8"/>
  <c r="G1048" i="8"/>
  <c r="G1073" i="8"/>
  <c r="G942" i="8"/>
  <c r="G1227" i="8"/>
  <c r="G937" i="8"/>
  <c r="G1257" i="8"/>
  <c r="G279" i="8"/>
  <c r="G727" i="8"/>
  <c r="G679" i="8"/>
  <c r="G297" i="8"/>
  <c r="G526" i="8"/>
  <c r="G164" i="8"/>
  <c r="G484" i="8"/>
  <c r="G1147" i="8"/>
  <c r="G833" i="8"/>
  <c r="G875" i="8"/>
  <c r="G935" i="8"/>
  <c r="G1111" i="8"/>
  <c r="G1271" i="8"/>
  <c r="G995" i="8"/>
  <c r="G1246" i="8"/>
  <c r="G1133" i="8"/>
  <c r="G954" i="8"/>
  <c r="G1240" i="8"/>
  <c r="G974" i="8"/>
  <c r="G21" i="8"/>
  <c r="G1107" i="8"/>
  <c r="G1075" i="8"/>
  <c r="G981" i="8"/>
  <c r="G970" i="8"/>
  <c r="G1002" i="8"/>
  <c r="E8" i="22"/>
  <c r="G8" i="22" s="1"/>
  <c r="E40" i="7"/>
  <c r="E38" i="7" s="1"/>
  <c r="G38" i="7" s="1"/>
  <c r="N83" i="6"/>
  <c r="E83" i="6"/>
  <c r="E47" i="22"/>
  <c r="G47" i="22" s="1"/>
  <c r="E13" i="4"/>
  <c r="G13" i="4" s="1"/>
  <c r="E373" i="9"/>
  <c r="E10" i="7"/>
  <c r="E360" i="9"/>
  <c r="E9" i="7"/>
  <c r="E16" i="6"/>
  <c r="G16" i="6" s="1"/>
  <c r="E15" i="6"/>
  <c r="G15" i="6" s="1"/>
  <c r="D162" i="9"/>
  <c r="D310" i="9"/>
  <c r="E215" i="9"/>
  <c r="E61" i="22"/>
  <c r="G61" i="22" s="1"/>
  <c r="P61" i="22" s="1"/>
  <c r="D357" i="9"/>
  <c r="D232" i="9"/>
  <c r="E55" i="22"/>
  <c r="G55" i="22" s="1"/>
  <c r="P55" i="22" s="1"/>
  <c r="E220" i="9"/>
  <c r="D343" i="9"/>
  <c r="G129" i="8"/>
  <c r="G702" i="8"/>
  <c r="G587" i="8"/>
  <c r="G782" i="8"/>
  <c r="G532" i="8"/>
  <c r="G1121" i="8"/>
  <c r="G360" i="8"/>
  <c r="G779" i="8"/>
  <c r="G750" i="8"/>
  <c r="G496" i="8"/>
  <c r="G568" i="8"/>
  <c r="G262" i="8"/>
  <c r="G530" i="8"/>
  <c r="G774" i="8"/>
  <c r="G222" i="8"/>
  <c r="G1277" i="8"/>
  <c r="G888" i="8"/>
  <c r="G524" i="8"/>
  <c r="G158" i="8"/>
  <c r="G397" i="8"/>
  <c r="G816" i="8"/>
  <c r="D286" i="9"/>
  <c r="D195" i="9"/>
  <c r="G968" i="8"/>
  <c r="G1015" i="8"/>
  <c r="G44" i="8"/>
  <c r="G1242" i="8"/>
  <c r="G1034" i="8"/>
  <c r="G1266" i="8"/>
  <c r="G28" i="8"/>
  <c r="G357" i="8"/>
  <c r="G603" i="8"/>
  <c r="G512" i="8"/>
  <c r="G872" i="8"/>
  <c r="G1215" i="8"/>
  <c r="G1047" i="8"/>
  <c r="G1066" i="8"/>
  <c r="G952" i="8"/>
  <c r="G1055" i="8"/>
  <c r="G19" i="8"/>
  <c r="G987" i="8"/>
  <c r="G723" i="8"/>
  <c r="G113" i="8"/>
  <c r="G710" i="8"/>
  <c r="G456" i="8"/>
  <c r="G651" i="8"/>
  <c r="G521" i="8"/>
  <c r="G747" i="8"/>
  <c r="G877" i="8"/>
  <c r="G893" i="8"/>
  <c r="G1207" i="8"/>
  <c r="G1282" i="8"/>
  <c r="G341" i="8"/>
  <c r="D386" i="9"/>
  <c r="D331" i="9"/>
  <c r="G310" i="8"/>
  <c r="G509" i="8"/>
  <c r="G764" i="8"/>
  <c r="G853" i="8"/>
  <c r="G1285" i="8"/>
  <c r="G949" i="8"/>
  <c r="G994" i="8"/>
  <c r="G1151" i="8"/>
  <c r="G1269" i="8"/>
  <c r="G545" i="8"/>
  <c r="G1054" i="8"/>
  <c r="G1126" i="8"/>
  <c r="G940" i="8"/>
  <c r="G399" i="8"/>
  <c r="G647" i="8"/>
  <c r="G199" i="8"/>
  <c r="G327" i="8"/>
  <c r="G260" i="8"/>
  <c r="G412" i="8"/>
  <c r="G874" i="8"/>
  <c r="G855" i="8"/>
  <c r="G1014" i="8"/>
  <c r="G1118" i="8"/>
  <c r="G1224" i="8"/>
  <c r="G1072" i="8"/>
  <c r="G38" i="8"/>
  <c r="G45" i="8"/>
  <c r="G1028" i="8"/>
  <c r="G27" i="8"/>
  <c r="G973" i="8"/>
  <c r="G980" i="8"/>
  <c r="G1131" i="8"/>
  <c r="D135" i="9"/>
  <c r="D151" i="9"/>
  <c r="D345" i="9"/>
  <c r="E84" i="2"/>
  <c r="G84" i="2" s="1"/>
  <c r="E38" i="22"/>
  <c r="G38" i="22" s="1"/>
  <c r="E98" i="2"/>
  <c r="G98" i="2" s="1"/>
  <c r="E70" i="2"/>
  <c r="G70" i="2" s="1"/>
  <c r="E15" i="4"/>
  <c r="G15" i="4" s="1"/>
  <c r="E363" i="9"/>
  <c r="E8" i="7"/>
  <c r="D12" i="9"/>
  <c r="D105" i="9"/>
  <c r="D91" i="9" s="1"/>
  <c r="D25" i="9"/>
  <c r="E12" i="2"/>
  <c r="G12" i="2" s="1"/>
  <c r="E36" i="2"/>
  <c r="G36" i="2" s="1"/>
  <c r="E24" i="2"/>
  <c r="G24" i="2" s="1"/>
  <c r="E81" i="22"/>
  <c r="G81" i="22" s="1"/>
  <c r="P81" i="22" s="1"/>
  <c r="E236" i="9"/>
  <c r="E43" i="6"/>
  <c r="E52" i="6"/>
  <c r="E61" i="6"/>
  <c r="D131" i="9"/>
  <c r="D244" i="9"/>
  <c r="D109" i="9"/>
  <c r="E82" i="22"/>
  <c r="G82" i="22" s="1"/>
  <c r="P82" i="22" s="1"/>
  <c r="E230" i="9"/>
  <c r="E62" i="6"/>
  <c r="E44" i="6"/>
  <c r="E53" i="6"/>
  <c r="E177" i="9"/>
  <c r="E27" i="6"/>
  <c r="E35" i="6"/>
  <c r="E76" i="6"/>
  <c r="E16" i="7"/>
  <c r="G16" i="7" s="1"/>
  <c r="E335" i="9"/>
  <c r="E21" i="9"/>
  <c r="E40" i="9"/>
  <c r="E68" i="9"/>
  <c r="E54" i="5"/>
  <c r="G54" i="5" s="1"/>
  <c r="E24" i="7"/>
  <c r="G24" i="7" s="1"/>
  <c r="E232" i="9"/>
  <c r="E191" i="9"/>
  <c r="E28" i="7"/>
  <c r="G28" i="7" s="1"/>
  <c r="E208" i="9"/>
  <c r="E291" i="9"/>
  <c r="E103" i="9"/>
  <c r="E35" i="5"/>
  <c r="G35" i="5" s="1"/>
  <c r="E350" i="9"/>
  <c r="E111" i="9"/>
  <c r="E225" i="9"/>
  <c r="E224" i="9"/>
  <c r="E188" i="9"/>
  <c r="E97" i="2"/>
  <c r="G97" i="2" s="1"/>
  <c r="E183" i="9"/>
  <c r="E60" i="9"/>
  <c r="E292" i="9"/>
  <c r="E56" i="7"/>
  <c r="G56" i="7" s="1"/>
  <c r="E41" i="9"/>
  <c r="E49" i="2"/>
  <c r="E131" i="9"/>
  <c r="E94" i="9"/>
  <c r="E26" i="7"/>
  <c r="G26" i="7" s="1"/>
  <c r="E48" i="9"/>
  <c r="E109" i="9"/>
  <c r="E28" i="6"/>
  <c r="E181" i="9"/>
  <c r="E23" i="7"/>
  <c r="G23" i="7" s="1"/>
  <c r="E71" i="9"/>
  <c r="E310" i="9"/>
  <c r="E68" i="6"/>
  <c r="E150" i="9"/>
  <c r="E234" i="9"/>
  <c r="E353" i="9"/>
  <c r="E357" i="9"/>
  <c r="E56" i="5"/>
  <c r="G56" i="5" s="1"/>
  <c r="E10" i="5"/>
  <c r="G10" i="5" s="1"/>
  <c r="E31" i="2"/>
  <c r="E45" i="2"/>
  <c r="G45" i="2" s="1"/>
  <c r="E32" i="2"/>
  <c r="E343" i="9"/>
  <c r="E51" i="9"/>
  <c r="E172" i="9"/>
  <c r="E9" i="4"/>
  <c r="G9" i="4" s="1"/>
  <c r="E304" i="9"/>
  <c r="E305" i="9"/>
  <c r="E33" i="7"/>
  <c r="G33" i="7" s="1"/>
  <c r="E26" i="9"/>
  <c r="E245" i="9"/>
  <c r="E159" i="9"/>
  <c r="E157" i="9"/>
  <c r="E162" i="9"/>
  <c r="E77" i="9"/>
  <c r="E17" i="9"/>
  <c r="E25" i="9"/>
  <c r="E185" i="9"/>
  <c r="E158" i="9"/>
  <c r="E29" i="9"/>
  <c r="E367" i="9"/>
  <c r="E382" i="9"/>
  <c r="E369" i="9"/>
  <c r="E375" i="9"/>
  <c r="E6" i="2"/>
  <c r="E344" i="9"/>
  <c r="E355" i="9"/>
  <c r="E348" i="9"/>
  <c r="E55" i="2"/>
  <c r="E43" i="2"/>
  <c r="E329" i="9"/>
  <c r="E349" i="9"/>
  <c r="E340" i="9"/>
  <c r="E21" i="7"/>
  <c r="E19" i="7"/>
  <c r="E22" i="7"/>
  <c r="G22" i="7" s="1"/>
  <c r="E345" i="9"/>
  <c r="E29" i="7"/>
  <c r="G29" i="7" s="1"/>
  <c r="E35" i="2"/>
  <c r="G35" i="2" s="1"/>
  <c r="G257" i="8" l="1"/>
  <c r="G440" i="8"/>
  <c r="G654" i="8"/>
  <c r="G453" i="8"/>
  <c r="G659" i="8"/>
  <c r="G389" i="8"/>
  <c r="G848" i="8"/>
  <c r="G421" i="8"/>
  <c r="G381" i="8"/>
  <c r="G582" i="8"/>
  <c r="G225" i="8"/>
  <c r="G775" i="8"/>
  <c r="G787" i="8"/>
  <c r="G161" i="8"/>
  <c r="G413" i="8"/>
  <c r="G482" i="8"/>
  <c r="G624" i="8"/>
  <c r="G632" i="8"/>
  <c r="G680" i="8"/>
  <c r="G433" i="8"/>
  <c r="G483" i="8"/>
  <c r="G637" i="8"/>
  <c r="G423" i="8"/>
  <c r="G920" i="8"/>
  <c r="G622" i="8"/>
  <c r="G771" i="8"/>
  <c r="G481" i="8"/>
  <c r="G205" i="8"/>
  <c r="G274" i="8"/>
  <c r="G490" i="8"/>
  <c r="G119" i="8"/>
  <c r="G191" i="8"/>
  <c r="G152" i="8"/>
  <c r="G204" i="8"/>
  <c r="G454" i="8"/>
  <c r="G462" i="8"/>
  <c r="G612" i="8"/>
  <c r="G364" i="8"/>
  <c r="G428" i="8"/>
  <c r="G652" i="8"/>
  <c r="G619" i="8"/>
  <c r="G748" i="8"/>
  <c r="G170" i="8"/>
  <c r="G408" i="8"/>
  <c r="G581" i="8"/>
  <c r="G182" i="8"/>
  <c r="G730" i="8"/>
  <c r="G507" i="8"/>
  <c r="G658" i="8"/>
  <c r="G819" i="8"/>
  <c r="G219" i="8"/>
  <c r="G563" i="8"/>
  <c r="G900" i="8"/>
  <c r="G111" i="8"/>
  <c r="G841" i="8"/>
  <c r="G733" i="8"/>
  <c r="G628" i="8"/>
  <c r="G735" i="8"/>
  <c r="G378" i="8"/>
  <c r="G558" i="8"/>
  <c r="G401" i="8"/>
  <c r="G616" i="8"/>
  <c r="G676" i="8"/>
  <c r="G261" i="8"/>
  <c r="G281" i="8"/>
  <c r="G143" i="8"/>
  <c r="G236" i="8"/>
  <c r="G216" i="8"/>
  <c r="G540" i="8"/>
  <c r="G845" i="8"/>
  <c r="G627" i="8"/>
  <c r="G291" i="8"/>
  <c r="G739" i="8"/>
  <c r="G185" i="8"/>
  <c r="G151" i="8"/>
  <c r="G789" i="8"/>
  <c r="G361" i="8"/>
  <c r="G734" i="8"/>
  <c r="G208" i="8"/>
  <c r="G847" i="8"/>
  <c r="G732" i="8"/>
  <c r="G149" i="8"/>
  <c r="G661" i="8"/>
  <c r="G543" i="8"/>
  <c r="G711" i="8"/>
  <c r="G528" i="8"/>
  <c r="G835" i="8"/>
  <c r="G328" i="8"/>
  <c r="G564" i="8"/>
  <c r="G691" i="8"/>
  <c r="G137" i="8"/>
  <c r="G150" i="8"/>
  <c r="G541" i="8"/>
  <c r="G238" i="8"/>
  <c r="G330" i="8"/>
  <c r="G196" i="8"/>
  <c r="G593" i="8"/>
  <c r="G506" i="8"/>
  <c r="G301" i="8"/>
  <c r="G650" i="8"/>
  <c r="G714" i="8"/>
  <c r="G656" i="8"/>
  <c r="G756" i="8"/>
  <c r="G144" i="8"/>
  <c r="G828" i="8"/>
  <c r="G383" i="8"/>
  <c r="G312" i="8"/>
  <c r="G127" i="8"/>
  <c r="G184" i="8"/>
  <c r="G592" i="8"/>
  <c r="G400" i="8"/>
  <c r="G448" i="8"/>
  <c r="G625" i="8"/>
  <c r="G352" i="8"/>
  <c r="G118" i="8"/>
  <c r="G548" i="8"/>
  <c r="G315" i="8"/>
  <c r="G743" i="8"/>
  <c r="G778" i="8"/>
  <c r="G102" i="8"/>
  <c r="G142" i="8"/>
  <c r="G740" i="8"/>
  <c r="G195" i="8"/>
  <c r="G366" i="8"/>
  <c r="G172" i="8"/>
  <c r="G255" i="8"/>
  <c r="G617" i="8"/>
  <c r="G189" i="8"/>
  <c r="G452" i="8"/>
  <c r="G618" i="8"/>
  <c r="G211" i="8"/>
  <c r="G752" i="8"/>
  <c r="G264" i="8"/>
  <c r="G579" i="8"/>
  <c r="G707" i="8"/>
  <c r="G662" i="8"/>
  <c r="G590" i="8"/>
  <c r="G461" i="8"/>
  <c r="G767" i="8"/>
  <c r="G551" i="8"/>
  <c r="G322" i="8"/>
  <c r="G560" i="8"/>
  <c r="G665" i="8"/>
  <c r="G694" i="8"/>
  <c r="G674" i="8"/>
  <c r="G434" i="8"/>
  <c r="E105" i="9"/>
  <c r="E91" i="9" s="1"/>
  <c r="E6" i="3"/>
  <c r="G6" i="3" s="1"/>
  <c r="E16" i="3"/>
  <c r="G16" i="3" s="1"/>
  <c r="E275" i="9"/>
  <c r="E9" i="5"/>
  <c r="E47" i="2"/>
  <c r="G47" i="2" s="1"/>
  <c r="E35" i="9"/>
  <c r="E57" i="2"/>
  <c r="G57" i="2" s="1"/>
  <c r="E51" i="2"/>
  <c r="G51" i="2" s="1"/>
  <c r="E114" i="9"/>
  <c r="E28" i="3"/>
  <c r="G28" i="3" s="1"/>
  <c r="E41" i="2"/>
  <c r="G41" i="2" s="1"/>
  <c r="E34" i="9"/>
  <c r="E130" i="9"/>
  <c r="E8" i="4"/>
  <c r="G8" i="4" s="1"/>
  <c r="E59" i="6"/>
  <c r="E178" i="9"/>
  <c r="G477" i="8"/>
  <c r="G746" i="8"/>
  <c r="G168" i="8"/>
  <c r="G162" i="8"/>
  <c r="G466" i="8"/>
  <c r="G253" i="8"/>
  <c r="G455" i="8"/>
  <c r="G534" i="8"/>
  <c r="G277" i="8"/>
  <c r="G901" i="8"/>
  <c r="G148" i="8"/>
  <c r="G608" i="8"/>
  <c r="G293" i="8"/>
  <c r="G430" i="8"/>
  <c r="G313" i="8"/>
  <c r="G393" i="8"/>
  <c r="G753" i="8"/>
  <c r="G770" i="8"/>
  <c r="G903" i="8"/>
  <c r="G820" i="8"/>
  <c r="G471" i="8"/>
  <c r="G340" i="8"/>
  <c r="G134" i="8"/>
  <c r="G450" i="8"/>
  <c r="G751" i="8"/>
  <c r="G497" i="8"/>
  <c r="G296" i="8"/>
  <c r="E13" i="6"/>
  <c r="G13" i="6" s="1"/>
  <c r="E11" i="2"/>
  <c r="G11" i="2" s="1"/>
  <c r="E32" i="9"/>
  <c r="E23" i="2"/>
  <c r="G23" i="2" s="1"/>
  <c r="E16" i="22"/>
  <c r="G16" i="22" s="1"/>
  <c r="E12" i="6"/>
  <c r="G12" i="6" s="1"/>
  <c r="E95" i="22"/>
  <c r="E18" i="6"/>
  <c r="G18" i="6" s="1"/>
  <c r="E244" i="9"/>
  <c r="E42" i="2"/>
  <c r="E54" i="2"/>
  <c r="E48" i="2"/>
  <c r="G758" i="8"/>
  <c r="G241" i="8"/>
  <c r="G338" i="8"/>
  <c r="G640" i="8"/>
  <c r="G575" i="8"/>
  <c r="G766" i="8"/>
  <c r="G918" i="8"/>
  <c r="G595" i="8"/>
  <c r="G672" i="8"/>
  <c r="G426" i="8"/>
  <c r="G475" i="8"/>
  <c r="G480" i="8"/>
  <c r="G715" i="8"/>
  <c r="G201" i="8"/>
  <c r="G510" i="8"/>
  <c r="G763" i="8"/>
  <c r="G214" i="8"/>
  <c r="E269" i="9"/>
  <c r="E42" i="5"/>
  <c r="O42" i="5" s="1"/>
  <c r="E33" i="5"/>
  <c r="E51" i="5"/>
  <c r="O51" i="5" s="1"/>
  <c r="E25" i="5"/>
  <c r="O25" i="5" s="1"/>
  <c r="E297" i="9"/>
  <c r="E31" i="3"/>
  <c r="G31" i="3" s="1"/>
  <c r="E9" i="3"/>
  <c r="G9" i="3" s="1"/>
  <c r="E19" i="3"/>
  <c r="G19" i="3" s="1"/>
  <c r="E8" i="2"/>
  <c r="E20" i="2"/>
  <c r="E93" i="9"/>
  <c r="G5" i="3"/>
  <c r="E113" i="9"/>
  <c r="E27" i="3"/>
  <c r="G27" i="3" s="1"/>
  <c r="E82" i="9"/>
  <c r="E80" i="9"/>
  <c r="E44" i="5"/>
  <c r="G44" i="5" s="1"/>
  <c r="E260" i="9"/>
  <c r="E62" i="22"/>
  <c r="E216" i="9"/>
  <c r="E32" i="3"/>
  <c r="G32" i="3" s="1"/>
  <c r="G629" i="8"/>
  <c r="G427" i="8"/>
  <c r="G538" i="8"/>
  <c r="G653" i="8"/>
  <c r="G256" i="8"/>
  <c r="G761" i="8"/>
  <c r="G586" i="8"/>
  <c r="G316" i="8"/>
  <c r="G626" i="8"/>
  <c r="G759" i="8"/>
  <c r="G457" i="8"/>
  <c r="G645" i="8"/>
  <c r="G531" i="8"/>
  <c r="G535" i="8"/>
  <c r="G175" i="8"/>
  <c r="G384" i="8"/>
  <c r="G290" i="8"/>
  <c r="G181" i="8"/>
  <c r="G623" i="8"/>
  <c r="G380" i="8"/>
  <c r="G749" i="8"/>
  <c r="G923" i="8"/>
  <c r="G486" i="8"/>
  <c r="G345" i="8"/>
  <c r="G823" i="8"/>
  <c r="G317" i="8"/>
  <c r="G827" i="8"/>
  <c r="G373" i="8"/>
  <c r="G15" i="5"/>
  <c r="O15" i="5"/>
  <c r="Q15" i="5" s="1"/>
  <c r="G630" i="8"/>
  <c r="G487" i="8"/>
  <c r="G403" i="8"/>
  <c r="G921" i="8"/>
  <c r="G790" i="8"/>
  <c r="G633" i="8"/>
  <c r="G269" i="8"/>
  <c r="G791" i="8"/>
  <c r="G704" i="8"/>
  <c r="E40" i="5"/>
  <c r="O40" i="5" s="1"/>
  <c r="E31" i="5"/>
  <c r="E23" i="5"/>
  <c r="O23" i="5" s="1"/>
  <c r="E267" i="9"/>
  <c r="E49" i="5"/>
  <c r="O49" i="5" s="1"/>
  <c r="E80" i="2"/>
  <c r="G80" i="2" s="1"/>
  <c r="E86" i="9"/>
  <c r="E66" i="2"/>
  <c r="G66" i="2" s="1"/>
  <c r="E94" i="2"/>
  <c r="G94" i="2" s="1"/>
  <c r="E206" i="9"/>
  <c r="E20" i="6"/>
  <c r="G20" i="6" s="1"/>
  <c r="E64" i="6"/>
  <c r="E46" i="6"/>
  <c r="E55" i="6"/>
  <c r="E180" i="9"/>
  <c r="G464" i="8"/>
  <c r="G527" i="8"/>
  <c r="G278" i="8"/>
  <c r="G742" i="8"/>
  <c r="G319" i="8"/>
  <c r="G416" i="8"/>
  <c r="G190" i="8"/>
  <c r="G571" i="8"/>
  <c r="G683" i="8"/>
  <c r="G270" i="8"/>
  <c r="G726" i="8"/>
  <c r="G294" i="8"/>
  <c r="G302" i="8"/>
  <c r="G469" i="8"/>
  <c r="G166" i="8"/>
  <c r="G54" i="22"/>
  <c r="P54" i="22" s="1"/>
  <c r="N54" i="22"/>
  <c r="E30" i="3"/>
  <c r="G30" i="3" s="1"/>
  <c r="E110" i="9"/>
  <c r="E12" i="9"/>
  <c r="E17" i="2"/>
  <c r="G17" i="2" s="1"/>
  <c r="E26" i="22"/>
  <c r="G26" i="22" s="1"/>
  <c r="E50" i="22"/>
  <c r="G50" i="22" s="1"/>
  <c r="E31" i="22"/>
  <c r="G31" i="22" s="1"/>
  <c r="E254" i="9"/>
  <c r="E41" i="22"/>
  <c r="G41" i="22" s="1"/>
  <c r="E20" i="3"/>
  <c r="G20" i="3" s="1"/>
  <c r="E10" i="3"/>
  <c r="G10" i="3" s="1"/>
  <c r="E10" i="6"/>
  <c r="G10" i="6" s="1"/>
  <c r="G115" i="8"/>
  <c r="G358" i="8"/>
  <c r="G479" i="8"/>
  <c r="G660" i="8"/>
  <c r="G620" i="8"/>
  <c r="O27" i="5"/>
  <c r="Q27" i="5" s="1"/>
  <c r="G27" i="5"/>
  <c r="D90" i="9"/>
  <c r="G28" i="5"/>
  <c r="O28" i="5"/>
  <c r="Q28" i="5" s="1"/>
  <c r="G193" i="8"/>
  <c r="E11" i="9"/>
  <c r="E5" i="2"/>
  <c r="G5" i="2" s="1"/>
  <c r="E31" i="7"/>
  <c r="G31" i="7" s="1"/>
  <c r="E55" i="7"/>
  <c r="G55" i="7" s="1"/>
  <c r="E17" i="6"/>
  <c r="G17" i="6" s="1"/>
  <c r="E171" i="9"/>
  <c r="E146" i="9"/>
  <c r="E46" i="5"/>
  <c r="G46" i="5" s="1"/>
  <c r="E21" i="6"/>
  <c r="G21" i="6" s="1"/>
  <c r="E37" i="5"/>
  <c r="G37" i="5" s="1"/>
  <c r="E7" i="2"/>
  <c r="E19" i="2"/>
  <c r="E26" i="3"/>
  <c r="G26" i="3" s="1"/>
  <c r="E112" i="9"/>
  <c r="E69" i="2"/>
  <c r="G69" i="2" s="1"/>
  <c r="E14" i="2"/>
  <c r="G14" i="2" s="1"/>
  <c r="E83" i="2"/>
  <c r="G83" i="2" s="1"/>
  <c r="E26" i="2"/>
  <c r="G26" i="2" s="1"/>
  <c r="E38" i="2"/>
  <c r="G38" i="2" s="1"/>
  <c r="G741" i="8"/>
  <c r="G783" i="8"/>
  <c r="G229" i="8"/>
  <c r="G320" i="8"/>
  <c r="G666" i="8"/>
  <c r="G147" i="8"/>
  <c r="G728" i="8"/>
  <c r="G5" i="8"/>
  <c r="G140" i="8"/>
  <c r="G359" i="8"/>
  <c r="G474" i="8"/>
  <c r="G146" i="8"/>
  <c r="G915" i="8"/>
  <c r="G836" i="8"/>
  <c r="G165" i="8"/>
  <c r="G478" i="8"/>
  <c r="G495" i="8"/>
  <c r="G210" i="8"/>
  <c r="G557" i="8"/>
  <c r="G9" i="8"/>
  <c r="E13" i="3"/>
  <c r="G13" i="3" s="1"/>
  <c r="E23" i="3"/>
  <c r="G23" i="3" s="1"/>
  <c r="E274" i="9"/>
  <c r="E7" i="5"/>
  <c r="G7" i="5" s="1"/>
  <c r="E55" i="5"/>
  <c r="G55" i="5" s="1"/>
  <c r="E290" i="9"/>
  <c r="E30" i="7"/>
  <c r="G30" i="7" s="1"/>
  <c r="E53" i="7"/>
  <c r="G53" i="7" s="1"/>
  <c r="G431" i="8"/>
  <c r="G179" i="8"/>
  <c r="G463" i="8"/>
  <c r="G621" i="8"/>
  <c r="G476" i="8"/>
  <c r="G655" i="8"/>
  <c r="G363" i="8"/>
  <c r="G578" i="8"/>
  <c r="G439" i="8"/>
  <c r="G825" i="8"/>
  <c r="G223" i="8"/>
  <c r="G362" i="8"/>
  <c r="G695" i="8"/>
  <c r="G663" i="8"/>
  <c r="G917" i="8"/>
  <c r="G596" i="8"/>
  <c r="G395" i="8"/>
  <c r="G554" i="8"/>
  <c r="G188" i="8"/>
  <c r="G765" i="8"/>
  <c r="G337" i="8"/>
  <c r="G122" i="8"/>
  <c r="G810" i="8"/>
  <c r="G911" i="8"/>
  <c r="G580" i="8"/>
  <c r="G657" i="8"/>
  <c r="G712" i="8"/>
  <c r="G187" i="8"/>
  <c r="E55" i="9"/>
  <c r="E87" i="2"/>
  <c r="G87" i="2" s="1"/>
  <c r="G259" i="8"/>
  <c r="G112" i="8"/>
  <c r="G642" i="8"/>
  <c r="G786" i="8"/>
  <c r="G227" i="8"/>
  <c r="E39" i="2"/>
  <c r="G39" i="2" s="1"/>
  <c r="G95" i="22" l="1"/>
  <c r="P95" i="22" s="1"/>
  <c r="N95" i="22"/>
  <c r="G47" i="7"/>
  <c r="E90" i="9"/>
  <c r="G491" i="8"/>
  <c r="E361" i="9"/>
  <c r="E18" i="7"/>
  <c r="E50" i="2"/>
  <c r="G50" i="2" s="1"/>
  <c r="E56" i="2"/>
  <c r="G56" i="2" s="1"/>
  <c r="G62" i="22"/>
  <c r="P62" i="22" s="1"/>
  <c r="N62" i="22"/>
  <c r="O9" i="5"/>
  <c r="Q9" i="5" s="1"/>
  <c r="G9" i="5"/>
  <c r="G898" i="8"/>
  <c r="G458" i="8"/>
  <c r="D371" i="9" l="1"/>
  <c r="E7" i="13"/>
  <c r="E371" i="9"/>
  <c r="G7" i="13" l="1"/>
  <c r="P7" i="13" s="1"/>
  <c r="N7" i="13"/>
  <c r="G902" i="8"/>
  <c r="G908" i="8"/>
  <c r="D328" i="9" l="1"/>
  <c r="E17" i="7"/>
  <c r="E328" i="9"/>
  <c r="G899" i="8" l="1"/>
  <c r="G907" i="8"/>
  <c r="G574" i="8" l="1"/>
  <c r="E97" i="14"/>
  <c r="E314" i="9"/>
  <c r="D97" i="14"/>
  <c r="D314" i="9"/>
  <c r="D80" i="14"/>
  <c r="F80" i="14" s="1"/>
  <c r="D81" i="14"/>
  <c r="F81" i="14" s="1"/>
  <c r="D83" i="14"/>
  <c r="F83" i="14" s="1"/>
  <c r="D82" i="14"/>
  <c r="F82" i="14" s="1"/>
  <c r="G912" i="8" l="1"/>
  <c r="E83" i="14"/>
  <c r="E81" i="14"/>
  <c r="E80" i="14"/>
  <c r="E82" i="14"/>
  <c r="E100" i="14"/>
  <c r="E317" i="9"/>
  <c r="D317" i="9"/>
  <c r="D100" i="14"/>
  <c r="E316" i="9"/>
  <c r="E99" i="14"/>
  <c r="D316" i="9"/>
  <c r="D99" i="14"/>
  <c r="G914" i="8"/>
  <c r="E98" i="14"/>
  <c r="E315" i="9"/>
  <c r="D98" i="14"/>
  <c r="D315" i="9"/>
  <c r="G346" i="8"/>
  <c r="G913" i="8"/>
  <c r="G282" i="8"/>
  <c r="E313" i="9"/>
  <c r="E96" i="14"/>
  <c r="G263" i="8"/>
  <c r="D313" i="9"/>
  <c r="D96" i="14"/>
  <c r="G230" i="8"/>
  <c r="G212" i="8"/>
  <c r="D78" i="14" l="1"/>
  <c r="F78" i="14" s="1"/>
  <c r="D76" i="14"/>
  <c r="F76" i="14" s="1"/>
  <c r="D77" i="14"/>
  <c r="F77" i="14" s="1"/>
  <c r="G99" i="8" l="1"/>
  <c r="E78" i="14"/>
  <c r="E76" i="14"/>
  <c r="E77" i="14"/>
  <c r="G100" i="8"/>
  <c r="G101" i="8"/>
  <c r="D7" i="14" l="1"/>
  <c r="F7" i="14" s="1"/>
  <c r="D8" i="14"/>
  <c r="F8" i="14" s="1"/>
  <c r="D9" i="14"/>
  <c r="F9" i="14" s="1"/>
  <c r="G237" i="8" l="1"/>
  <c r="E9" i="14"/>
  <c r="E8" i="14"/>
  <c r="E7" i="14"/>
  <c r="G231" i="8"/>
  <c r="G215" i="8"/>
  <c r="D27" i="14"/>
  <c r="F27" i="14" s="1"/>
  <c r="G577" i="8" l="1"/>
  <c r="E27" i="14"/>
  <c r="D12" i="14" l="1"/>
  <c r="F12" i="14" s="1"/>
  <c r="D74" i="14"/>
  <c r="F74" i="14" s="1"/>
  <c r="D62" i="14"/>
  <c r="F62" i="14" s="1"/>
  <c r="D61" i="14"/>
  <c r="F61" i="14" s="1"/>
  <c r="D73" i="14"/>
  <c r="F73" i="14" s="1"/>
  <c r="D66" i="14"/>
  <c r="F66" i="14" s="1"/>
  <c r="D60" i="14"/>
  <c r="F60" i="14" s="1"/>
  <c r="D70" i="14"/>
  <c r="F70" i="14" s="1"/>
  <c r="D13" i="14"/>
  <c r="F13" i="14" s="1"/>
  <c r="D64" i="14"/>
  <c r="F64" i="14" s="1"/>
  <c r="D69" i="14"/>
  <c r="F69" i="14" s="1"/>
  <c r="D11" i="14"/>
  <c r="F11" i="14" s="1"/>
  <c r="D72" i="14"/>
  <c r="F72" i="14" s="1"/>
  <c r="D65" i="14"/>
  <c r="F65" i="14" s="1"/>
  <c r="D68" i="14"/>
  <c r="F68" i="14" s="1"/>
  <c r="G325" i="8" l="1"/>
  <c r="E12" i="14"/>
  <c r="E73" i="14"/>
  <c r="E64" i="14"/>
  <c r="E68" i="14"/>
  <c r="E69" i="14"/>
  <c r="E65" i="14"/>
  <c r="E11" i="14"/>
  <c r="E60" i="14"/>
  <c r="E61" i="14"/>
  <c r="E13" i="14"/>
  <c r="E70" i="14"/>
  <c r="E62" i="14"/>
  <c r="E72" i="14"/>
  <c r="E74" i="14"/>
  <c r="E66" i="14"/>
  <c r="G243" i="8"/>
  <c r="G266" i="8"/>
  <c r="G94" i="8"/>
  <c r="G333" i="8"/>
  <c r="G299" i="8"/>
  <c r="G472" i="8"/>
  <c r="G311" i="8"/>
  <c r="G308" i="8"/>
  <c r="G271" i="8"/>
  <c r="G321" i="8"/>
  <c r="G287" i="8"/>
  <c r="G95" i="8"/>
  <c r="G93" i="8"/>
  <c r="G924" i="8"/>
  <c r="D21" i="14" l="1"/>
  <c r="F21" i="14" s="1"/>
  <c r="D20" i="14"/>
  <c r="F20" i="14" s="1"/>
  <c r="D19" i="14"/>
  <c r="F19" i="14" s="1"/>
  <c r="E20" i="14" l="1"/>
  <c r="E21" i="14"/>
  <c r="E19" i="14"/>
  <c r="G334" i="8"/>
  <c r="G206" i="8"/>
  <c r="G217" i="8"/>
  <c r="D42" i="14" l="1"/>
  <c r="F42" i="14" s="1"/>
  <c r="D44" i="14"/>
  <c r="F44" i="14" s="1"/>
  <c r="D31" i="14"/>
  <c r="F31" i="14" s="1"/>
  <c r="D43" i="14"/>
  <c r="F43" i="14" s="1"/>
  <c r="D30" i="14"/>
  <c r="F30" i="14" s="1"/>
  <c r="D41" i="14"/>
  <c r="F41" i="14" s="1"/>
  <c r="D53" i="14"/>
  <c r="F53" i="14" s="1"/>
  <c r="D47" i="14"/>
  <c r="F47" i="14" s="1"/>
  <c r="D46" i="14"/>
  <c r="F46" i="14" s="1"/>
  <c r="G124" i="8"/>
  <c r="D57" i="14"/>
  <c r="F57" i="14" s="1"/>
  <c r="D40" i="14"/>
  <c r="F40" i="14" s="1"/>
  <c r="D38" i="14"/>
  <c r="F38" i="14" s="1"/>
  <c r="D48" i="14"/>
  <c r="F48" i="14" s="1"/>
  <c r="D33" i="14"/>
  <c r="F33" i="14" s="1"/>
  <c r="D51" i="14"/>
  <c r="F51" i="14" s="1"/>
  <c r="D32" i="14"/>
  <c r="F32" i="14" s="1"/>
  <c r="D36" i="14"/>
  <c r="F36" i="14" s="1"/>
  <c r="D35" i="14"/>
  <c r="F35" i="14" s="1"/>
  <c r="D52" i="14"/>
  <c r="F52" i="14" s="1"/>
  <c r="D49" i="14"/>
  <c r="F49" i="14" s="1"/>
  <c r="D34" i="14"/>
  <c r="F34" i="14" s="1"/>
  <c r="D39" i="14"/>
  <c r="F39" i="14" s="1"/>
  <c r="G801" i="8"/>
  <c r="D54" i="14"/>
  <c r="F54" i="14" s="1"/>
  <c r="D37" i="14"/>
  <c r="F37" i="14" s="1"/>
  <c r="D56" i="14"/>
  <c r="F56" i="14" s="1"/>
  <c r="D50" i="14"/>
  <c r="F50" i="14" s="1"/>
  <c r="G133" i="8"/>
  <c r="D55" i="14"/>
  <c r="F55" i="14" s="1"/>
  <c r="G96" i="8"/>
  <c r="E33" i="14"/>
  <c r="E51" i="14"/>
  <c r="E32" i="14"/>
  <c r="E48" i="14"/>
  <c r="E36" i="14"/>
  <c r="E44" i="14"/>
  <c r="E52" i="14"/>
  <c r="E43" i="14"/>
  <c r="E35" i="14"/>
  <c r="E31" i="14"/>
  <c r="E30" i="14"/>
  <c r="E41" i="14"/>
  <c r="E49" i="14"/>
  <c r="E50" i="14"/>
  <c r="E53" i="14"/>
  <c r="E39" i="14"/>
  <c r="E54" i="14"/>
  <c r="E42" i="14"/>
  <c r="E46" i="14"/>
  <c r="E56" i="14"/>
  <c r="E55" i="14"/>
  <c r="E34" i="14"/>
  <c r="E47" i="14"/>
  <c r="E37" i="14"/>
  <c r="E57" i="14"/>
  <c r="E40" i="14"/>
  <c r="E38" i="14"/>
  <c r="G799" i="8" l="1"/>
  <c r="G806" i="8"/>
  <c r="G815" i="8"/>
  <c r="G121" i="8"/>
  <c r="G808" i="8"/>
  <c r="G811" i="8"/>
  <c r="G802" i="8"/>
  <c r="G814" i="8"/>
  <c r="G141" i="8"/>
  <c r="G812" i="8"/>
  <c r="G807" i="8"/>
  <c r="G123" i="8"/>
  <c r="G135" i="8"/>
  <c r="G126" i="8"/>
  <c r="G805" i="8"/>
  <c r="G130" i="8"/>
  <c r="G98" i="8"/>
  <c r="G804" i="8"/>
  <c r="G97" i="8"/>
  <c r="G803" i="8"/>
  <c r="G813" i="8"/>
  <c r="G116" i="8"/>
  <c r="G800" i="8"/>
</calcChain>
</file>

<file path=xl/sharedStrings.xml><?xml version="1.0" encoding="utf-8"?>
<sst xmlns="http://schemas.openxmlformats.org/spreadsheetml/2006/main" count="4177" uniqueCount="2267">
  <si>
    <t>Description:</t>
  </si>
  <si>
    <t>Unidad de ordeñe FLO-STAR-Max con válvula automática de corte</t>
  </si>
  <si>
    <t>Unidad de ordeñe FLO-STAR-Max sin válvula automática de corte</t>
  </si>
  <si>
    <t>Dispositivo para lavado de unidad de ordeñe</t>
  </si>
  <si>
    <t>Cantidad de unidades</t>
  </si>
  <si>
    <t>distancia entre bajadas</t>
  </si>
  <si>
    <t>unid</t>
  </si>
  <si>
    <t>metros</t>
  </si>
  <si>
    <t>HOSE,MILK,B/M,5/8 IDX500FT</t>
  </si>
  <si>
    <t>RETAINER,HANGER,CLAW</t>
  </si>
  <si>
    <t>HANGER,FLO-STAR</t>
  </si>
  <si>
    <t>RING,RETENTION,HOSE,1.38</t>
  </si>
  <si>
    <t xml:space="preserve">Unidades de ordeño y Jetters de lavado </t>
  </si>
  <si>
    <t>Módulo de vacío con bomba a lóbulos hasta 2400 litros - BouMatic</t>
  </si>
  <si>
    <t>Módulo de vacío con bomba a lóbulos hasta 4400 litros - BouMatic</t>
  </si>
  <si>
    <t>Módulo de vacío con bomba a lóbulos hasta 6400 litros - BouMatic</t>
  </si>
  <si>
    <t>L000025</t>
  </si>
  <si>
    <t>L000056</t>
  </si>
  <si>
    <t>Módulo de vacío para  2100 L/min - MASPORT</t>
  </si>
  <si>
    <t>L000422</t>
  </si>
  <si>
    <t>L000418</t>
  </si>
  <si>
    <t>L000024</t>
  </si>
  <si>
    <t>L000420</t>
  </si>
  <si>
    <t>L000417</t>
  </si>
  <si>
    <t>L000304</t>
  </si>
  <si>
    <t>L000300</t>
  </si>
  <si>
    <t>L000419</t>
  </si>
  <si>
    <t>Módulo de vacío para  3200 L/min - MASPORT</t>
  </si>
  <si>
    <t>COUPLING ASSY,2-1/2 FLEX</t>
  </si>
  <si>
    <t>SILENCER,2.50</t>
  </si>
  <si>
    <t>OIL,VAC-PUMP, 1 GAL,AIR-STAR</t>
  </si>
  <si>
    <t>VALVE,GATE,3IN.ID</t>
  </si>
  <si>
    <t>STAND,TRIANGULAR</t>
  </si>
  <si>
    <t>BLOWER ASSY DSL200,W/OMTR</t>
  </si>
  <si>
    <t>BLOWER ASSY DSL400,W/OMTR</t>
  </si>
  <si>
    <t>COUPLING ASSY,4 FLEX</t>
  </si>
  <si>
    <t>SILENCER,4.00</t>
  </si>
  <si>
    <t>TRANSDUCER ASSY</t>
  </si>
  <si>
    <t>FILTER KIT,COW ID,3 PHASE, 8GA</t>
  </si>
  <si>
    <t>KNOCKOUT PUNCH,PG29</t>
  </si>
  <si>
    <t>CONT AS,15HP/3PH,7.5HP/1PH,230</t>
  </si>
  <si>
    <t>CONT,15HP/3PH,7.5HP/1PH,230V</t>
  </si>
  <si>
    <t>Cabezal bomba M5</t>
  </si>
  <si>
    <t>Silenciador Bombas vacío entrada y salida 2"</t>
  </si>
  <si>
    <t>Polea mecanizada 2A-200</t>
  </si>
  <si>
    <t>balde trampa 50 l rotomoldeado</t>
  </si>
  <si>
    <t>Base motor y Bomba de vacío regulable c / cubrepolea</t>
  </si>
  <si>
    <t>Niple p/admisión 2" x 150 mm largo</t>
  </si>
  <si>
    <t>Valvula reguladora (orion REGULATOR,VAC,BOUVAC 5000)</t>
  </si>
  <si>
    <t>Vacuometro(GAUGE,VACUUM,3.5 IN,0-30 IN HG)</t>
  </si>
  <si>
    <t>Curva 90 grados galvanizado M-H 2"</t>
  </si>
  <si>
    <t>Aceitera p/ bomba de vacio de 3 picos</t>
  </si>
  <si>
    <t>CHECK VALVE 3" PVC, CANPLAS</t>
  </si>
  <si>
    <t>Te de pegar gris 75 mm</t>
  </si>
  <si>
    <t>Abrazadera 75 x 1/2´H</t>
  </si>
  <si>
    <t>Cabezal bomba M7</t>
  </si>
  <si>
    <t xml:space="preserve">Polea mecanizada 2B-200  </t>
  </si>
  <si>
    <t>Distribuidor</t>
  </si>
  <si>
    <t>Sistema de pulsado BouMatic Hi-Flo EVO</t>
  </si>
  <si>
    <t>Filtro de aire pulsado(FILTER ASSY,PULSATOR)</t>
  </si>
  <si>
    <t>L000044</t>
  </si>
  <si>
    <t>L000067</t>
  </si>
  <si>
    <t>L000095</t>
  </si>
  <si>
    <t>caño de pcv 75 mm x 6 m std</t>
  </si>
  <si>
    <t>Tapas de pvc 3 "</t>
  </si>
  <si>
    <t>Description</t>
  </si>
  <si>
    <t>Presentation</t>
  </si>
  <si>
    <t>Dealer price</t>
  </si>
  <si>
    <t>Valvula reguladora Sentinel(VACUUM CONTROLLER, MARK II SEN)</t>
  </si>
  <si>
    <t>HOSE, MILK, RBBR, 5/8X7/32X50'( manguera de goma)</t>
  </si>
  <si>
    <t>Tipo Surge 10029</t>
  </si>
  <si>
    <t>Tipo surge 10062</t>
  </si>
  <si>
    <t>Bomba de vacio M3(VACUUM PUMP, ASSMB, M3 MASPORT)</t>
  </si>
  <si>
    <t>CHECK VALVE 2" PVC, CANPLAS</t>
  </si>
  <si>
    <t>DIGIMET, SENTINEL, DM3000</t>
  </si>
  <si>
    <t>FLUJOMETRO</t>
  </si>
  <si>
    <t>PICO DE LAVADO PLASTICO AZUL</t>
  </si>
  <si>
    <t>SFTWR,GLACIER GUARD,EG</t>
  </si>
  <si>
    <t>PRINTER, DIGIMET 3000</t>
  </si>
  <si>
    <t>DIGIMET, DM3000, COMPLETE</t>
  </si>
  <si>
    <t>Bomba para tambor de 200 litros(PUMP, DRUM, SAFETY, 2" &amp; 3/4")</t>
  </si>
  <si>
    <t>Aplicador con cepillo recolector (THRIFTY DIPPER, VERTICAL)</t>
  </si>
  <si>
    <t>PLUG,HEX HD,BRASS,1/4</t>
  </si>
  <si>
    <t>CONN,STR-RLF,.20-.35,1/2 NPT</t>
  </si>
  <si>
    <t>WIRE,STRD,18AWG,pick/WHT,1015</t>
  </si>
  <si>
    <t>WIRE,STRD,18AWG,RED/WHT,1015</t>
  </si>
  <si>
    <t>WIRE,STRD,18AWG,black/WHT,1015</t>
  </si>
  <si>
    <t>WIRE,STRD,12AWG,BLK/WHT,1015</t>
  </si>
  <si>
    <t>WIRE,STRD,12AWG,PINK/WHT,1015</t>
  </si>
  <si>
    <t>WIRE,STRD,12AWG,RED/WHT,1015</t>
  </si>
  <si>
    <t>CABLE, 2-COND,22GA,100FT,PRISM</t>
  </si>
  <si>
    <t>CABLE, 2-COND,20GA,328FT</t>
  </si>
  <si>
    <t>CONN,SWL,ELB,1/4 OD X 1/8 NPT</t>
  </si>
  <si>
    <t>HOSE,NYL,NAT,5/32 ODX100FT</t>
  </si>
  <si>
    <t>POWER SUPPLY,12 UNIT</t>
  </si>
  <si>
    <t>CONN,PUSH,5/32 ODX 1/8 NPT</t>
  </si>
  <si>
    <t>HOSE,NYL,RED,5/32 ODX100FT</t>
  </si>
  <si>
    <t>HOSE,NYL,BLK,5/32 ODX100FT</t>
  </si>
  <si>
    <t>HOSE,NYL,GRN,5/32 ODX100FT</t>
  </si>
  <si>
    <t>CONN,SWL,ELB,5/32 ODX 1/8 NPT</t>
  </si>
  <si>
    <t>BRACKET,MTG,2101</t>
  </si>
  <si>
    <t>HOSE,NYL,YEL,5/32 ODX100FT</t>
  </si>
  <si>
    <t>KIT,RS-232,PC INTERFACE</t>
  </si>
  <si>
    <t>METER ASSY,RH,PERFECTION</t>
  </si>
  <si>
    <t>VALVE,SOLENOID,24 VDC</t>
  </si>
  <si>
    <t>ARRESTOR,SECONDARY SURGE</t>
  </si>
  <si>
    <t>JAR,SAMPLER</t>
  </si>
  <si>
    <t>CYLINDER ASSY,VAC.2 IN,SS</t>
  </si>
  <si>
    <t>HOSE,NYL,BLU,5/32 ODX100FT</t>
  </si>
  <si>
    <t>HOSE,NYL,NAT,5/32 ODX500FT</t>
  </si>
  <si>
    <t>METER ASSY,LH,PERFECTION</t>
  </si>
  <si>
    <t>HOSE,SILICONE,.25 X .09 WALL</t>
  </si>
  <si>
    <t>SAMPLER ASSY,BUTTERFAT</t>
  </si>
  <si>
    <t>CABLE, 6-COND,20GA</t>
  </si>
  <si>
    <t>ORIFICE,TEST,PERFECTION</t>
  </si>
  <si>
    <t>KIT,PROGRAMMER,PC</t>
  </si>
  <si>
    <t>KIT,METER MTG,RECESSED</t>
  </si>
  <si>
    <t>KIT,PROGRAMMER,HANDHELD</t>
  </si>
  <si>
    <t>LUBRICANT,SILICONE MOLD REL</t>
  </si>
  <si>
    <t>CONNECTOR ASSY,DETACHER</t>
  </si>
  <si>
    <t>VALVE ASSY,DUAL,AIR</t>
  </si>
  <si>
    <t>DETACHER,4000D,W/CLAMP SENSOR</t>
  </si>
  <si>
    <t>DETACHER,4000D,W/NIPPLE SENSOR</t>
  </si>
  <si>
    <t>BOX,JUNCTION,4 X 4 X 4</t>
  </si>
  <si>
    <t>POWER SUPPLY ASSY,24VDC,2.7A</t>
  </si>
  <si>
    <t>FILTER-FILTER-REGULATOR</t>
  </si>
  <si>
    <t>DETACHER,4400D,HINGE,W/NIP</t>
  </si>
  <si>
    <t>DETACHER,4400D,HINGE,TRI</t>
  </si>
  <si>
    <t>DETACHER,4200D,HINGE,W/NIP</t>
  </si>
  <si>
    <t>DETACHER,4200D,HINGE,CLAMP</t>
  </si>
  <si>
    <t>DETACHER,4600D,W/0 ARM,TRI</t>
  </si>
  <si>
    <t>DETACHER,4600D,W/O ARM,NIP</t>
  </si>
  <si>
    <t>DETACHER,3020M</t>
  </si>
  <si>
    <t>SENSOR ASSY,TRICLAMP</t>
  </si>
  <si>
    <t>LUBRICANT,GREASE,14OZ</t>
  </si>
  <si>
    <t>SHUTOFF ASSY,W/NIPPLE,VAC</t>
  </si>
  <si>
    <t>CONTROL ASSY,SIGNATURE 4300</t>
  </si>
  <si>
    <t>KIT,PARLOR COMPANION,W/MYI</t>
  </si>
  <si>
    <t>DET,PAR CMP,W/MYI,VAC</t>
  </si>
  <si>
    <t>KIT,INDICATOR,HERD COMPANION</t>
  </si>
  <si>
    <t>CABLE,4-COND,24GA,500 FT</t>
  </si>
  <si>
    <t>SHUTOFF ASSY,TRICLAMP,VAC</t>
  </si>
  <si>
    <t>KIT,PAR CMP,W/MYI,VAC/CLMP/VAC</t>
  </si>
  <si>
    <t>COIL, 24VDC</t>
  </si>
  <si>
    <t>CYLINDER PLASTIC GRAY 24 V DC</t>
  </si>
  <si>
    <t>Valve solenoid meter</t>
  </si>
  <si>
    <t>PKG STARTER,REALTIME,US</t>
  </si>
  <si>
    <t>LINE SETS,PRE-CHARGED,30FT</t>
  </si>
  <si>
    <t>VALVE PKG,2 X 2,NY APPV</t>
  </si>
  <si>
    <t>THERMA-STOR III-120-2</t>
  </si>
  <si>
    <t>DARI-KOOL III-120-2</t>
  </si>
  <si>
    <t>RELAY,TIME DELAY</t>
  </si>
  <si>
    <t>DARI-KOOL II-80-1-A</t>
  </si>
  <si>
    <t>THERMA-STOR II-120-2-A</t>
  </si>
  <si>
    <t>DARI-KOOL II-120-2-A</t>
  </si>
  <si>
    <t>VALVE PKG,3 X 3</t>
  </si>
  <si>
    <t>PLATE COOLER,DK,1PSC30</t>
  </si>
  <si>
    <t>PLATE COOLER,DK,1PSC50</t>
  </si>
  <si>
    <t>KIT,4 COMPRESSOR START</t>
  </si>
  <si>
    <t>CHILLER ASSY, 2 PLATE,140</t>
  </si>
  <si>
    <t>CHILLER ASSY, 3 PLATE,140</t>
  </si>
  <si>
    <t>CHILLER ASSY, 4 PLATE,140</t>
  </si>
  <si>
    <t>PLATE COOLER,DK,1PSC40</t>
  </si>
  <si>
    <t>PLATE COOLER,DK,3PDC50</t>
  </si>
  <si>
    <t>PLATE COOLER,DK,3PDC74</t>
  </si>
  <si>
    <t>PLATE COOLER,DK,3PDC98</t>
  </si>
  <si>
    <t>PLATE COOLER,DK,3PSC50</t>
  </si>
  <si>
    <t>PLATE COOLER,DK,3PSC74</t>
  </si>
  <si>
    <t>PLATE COOLER,DK,3PSC98</t>
  </si>
  <si>
    <t>VALVE ASSY,EXPANSION,5 TON</t>
  </si>
  <si>
    <t>Bomba de leche ( Pump, 2 Hp, 115-230V, 1-phase)</t>
  </si>
  <si>
    <t xml:space="preserve"> Bomba de leche (Pump, 2 Hp, 208-230/460V, 3-phase)</t>
  </si>
  <si>
    <t>Bomba de leche ( Pump, 3 Hp, 208-230/460V, 3-phase)</t>
  </si>
  <si>
    <t>CONTROLLER,TEMP,1 PRB/4 RLY</t>
  </si>
  <si>
    <t>SENSOR ASSY,ELEC TEMP CONT</t>
  </si>
  <si>
    <t>CONTROL ASSY,DECO-MATIC 3D</t>
  </si>
  <si>
    <t>KIT,PUMP MOD,COOLER</t>
  </si>
  <si>
    <t>KIT,VALVE/ADAPTER,2"-3"</t>
  </si>
  <si>
    <t>Programador de lavado (WASHER,GLACIER GUARD,W/O VALVE)</t>
  </si>
  <si>
    <t>KIT,GLACIER GUARD,PRINTR/SFTWR</t>
  </si>
  <si>
    <t>COND MOD, 5.0T,AIR,230-1-60</t>
  </si>
  <si>
    <t>COND MOD, 7.5T,AIR,230-1-60</t>
  </si>
  <si>
    <t>COND MOD, 8.0T</t>
  </si>
  <si>
    <t>THERMOMETER,RCDG,W/AL RELAY</t>
  </si>
  <si>
    <t>Variador de velocidad bomba de leche (CONTROL ASSY,208-240V,OPTI-FLO)</t>
  </si>
  <si>
    <t>Variador de velocidad bomba de leche (CONTROL ASSY,208-240V,W/BYPASS)</t>
  </si>
  <si>
    <t>Variador de velocidad bomba de leche (CONTROL ASSY,380/460V,OPTI-FLO)</t>
  </si>
  <si>
    <t>Variador de velocidad bomba de leche (CONTROL ASSY,380/460V,W/BYPASS)</t>
  </si>
  <si>
    <t>Bomba de leche ( Pump, 1.5 Hp, 115-230V, 1-phase)</t>
  </si>
  <si>
    <t>Intercambiador de calor (COOLER,PLATE,N37SC1)</t>
  </si>
  <si>
    <t>Intercambiador de calor (COOLER,PLATE,N81SC1)</t>
  </si>
  <si>
    <t>COND,OUT,7.5HP,380/460V,50/60H</t>
  </si>
  <si>
    <t>COND,OUT,10HP,208/230V,50/60HZ</t>
  </si>
  <si>
    <t>Intercambiador de calor (KIT,COOLER,PLATE,N35SC0.5)</t>
  </si>
  <si>
    <t>Intercambiador de calor (KIT,COOLER,PLATE,N53SC0.5)</t>
  </si>
  <si>
    <t xml:space="preserve"> Tanque de frio (COOLER PKG,DKF  600,W/O CONT)</t>
  </si>
  <si>
    <t>COOLER PKG,DKF  800S,W/O CONT</t>
  </si>
  <si>
    <t>COOLER PKG,DKF 1000D,W/O CONT</t>
  </si>
  <si>
    <t>COOLER PKG,DKF 1250,W/O CONT</t>
  </si>
  <si>
    <t>COOLER PKG,DKF 1500,W/O CONT</t>
  </si>
  <si>
    <t>COOLER PKG,DKF 2000,W/O CONT</t>
  </si>
  <si>
    <t>COOLER PKG,GLCR 2500,W/O CONT</t>
  </si>
  <si>
    <t>COOLER PKG,GLCR 3000,W/O CONT</t>
  </si>
  <si>
    <t>COOLER PKG,GLCR 4000,W/O CONT</t>
  </si>
  <si>
    <t>COOLER PKG,GLCR,5000,W/0 CONT</t>
  </si>
  <si>
    <t>COOLER PKG,GLCR,6000,W/0 CONT</t>
  </si>
  <si>
    <t>COOLER PKG,GLCR,7000,W/0 CONT</t>
  </si>
  <si>
    <t>COOLER PKG,GLCR,8000,W/0 CONT</t>
  </si>
  <si>
    <t>CPRSR,MOD,PKG, 3HP,230-1-60</t>
  </si>
  <si>
    <t>CPRSR,MOD,PKG, 4HP,230-1-60</t>
  </si>
  <si>
    <t>CPRSR,MOD,PKG, 4HP,230-3-60</t>
  </si>
  <si>
    <t>CPRSR,MOD,PKG, 5HP,230-1-60</t>
  </si>
  <si>
    <t>CPRSR,MOD,PKG, 5HP,230-3-60</t>
  </si>
  <si>
    <t>CPRSR,MOD,PKG, 5HP,460-3-60</t>
  </si>
  <si>
    <t>CPRSR,PKG,7.5HP,230V,50/60</t>
  </si>
  <si>
    <t>CPRSR,PKG,7.5HP,380/460V,50/60</t>
  </si>
  <si>
    <t>Aplicador de sellador Ambic (TWINDIPPER,AMBIC,BLUE  )</t>
  </si>
  <si>
    <t>Aplicador de sellador formador de espuma(MULTIFOAMER,AMBIC)</t>
  </si>
  <si>
    <t>AL2U adaptable a 960016-01tipo delaval estriada</t>
  </si>
  <si>
    <t>AL36U adaptable a 960036-01 tipo delaval TF 350</t>
  </si>
  <si>
    <t>AL9U adaptable a 999009-01tipo delavaltipo harmony</t>
  </si>
  <si>
    <t>BOS-IR adaptable a 186644160 tipo Bosio irlanda</t>
  </si>
  <si>
    <t>Codo (ELBOW,90 DEG,SS,CLP,2.5)</t>
  </si>
  <si>
    <t>Codo (ELBOW,90 DEG,SS,CLP,3)</t>
  </si>
  <si>
    <t>Codo (ELBOW,45 DEG,SS,CLP,2.5)</t>
  </si>
  <si>
    <t>TEE,SS,3.0,CLP</t>
  </si>
  <si>
    <t>Ferula expandible(FERRULE,SS,CLP,2.5)</t>
  </si>
  <si>
    <t>Junta de goma ferula(GASKET,TRI-CLAMP,2.5")</t>
  </si>
  <si>
    <t>Codo (ELBOW,45 DEG,SS,CLP,3)</t>
  </si>
  <si>
    <t>Ferula expandible(FERRULE,SS,CLP,3)</t>
  </si>
  <si>
    <t>Junta de goma ferula(GASKET,TRI-CLAMP,3.0")</t>
  </si>
  <si>
    <t>Reductor(REDUCER,CONC,SS,CLP,3 X 2)</t>
  </si>
  <si>
    <t>ferula para soldar(FERRULE,SS,BUTT WELD,1.50)</t>
  </si>
  <si>
    <t>Reductor (REDUCER,CONC,SS,CLP,3 X 2.5)</t>
  </si>
  <si>
    <t>TUBE,RD, 3.00X.065,304,DAIRY</t>
  </si>
  <si>
    <t>Abrazadera(CLAMP,BAND,SS,2-1/2)</t>
  </si>
  <si>
    <t>Filtro de leche (FILTER,IN-LINE, 1.50X36.00,TC)</t>
  </si>
  <si>
    <t>Curva final de caneria(U-BEND,SS,W/FERL,2.0,6CC)</t>
  </si>
  <si>
    <t>Curva final de caneria(U-BEND,SS,W/FERL,2.5,6CC)</t>
  </si>
  <si>
    <t>Curva final de caneria(U-BEND,SS,W/FERL,3.0,6CC)</t>
  </si>
  <si>
    <t>Curva final de caneria(U-BEND,SS,W/FERL,4.0,6CC)</t>
  </si>
  <si>
    <t>Filtro de leche (FILTER ASSY,MILK,2.5X1.5,SIDE)</t>
  </si>
  <si>
    <t>Soporte con Abrazadera (CLAMP,2.0 IN,VINYL-COATED)</t>
  </si>
  <si>
    <t>1A</t>
  </si>
  <si>
    <t>Soporte con abrazadera (CLAMP,2.5 IN,VINYL-COATED)</t>
  </si>
  <si>
    <t>Soporte con abrazadera(CLAMP,3.0 IN,VINYL-COATED)</t>
  </si>
  <si>
    <t>Tapon inox. Final (CAP,END,SS,2-1/2 IN.)</t>
  </si>
  <si>
    <t>Tapon inox. Final (CAP,END,SS,3 IN.)</t>
  </si>
  <si>
    <t>TUBE,RD, 2.50X.065,304,DAIRY</t>
  </si>
  <si>
    <t>Conector (NIPPLE ASSY,STR,PLSTC,2 IN)</t>
  </si>
  <si>
    <t>Conector(NIPPLE ASSY,STR,PLSTC,1.5 IN)</t>
  </si>
  <si>
    <t>Conector (NIPPLE ASSY,STR,PLSTC,2,5 IN)</t>
  </si>
  <si>
    <t>Conector (NIPPLE ASSY,STR,PLSTC,3 IN)</t>
  </si>
  <si>
    <t>TUBE,SS,4.00 X .065W,DAIRY</t>
  </si>
  <si>
    <t>Codo (ELBOW,90 DEG,SS,CLP,4)</t>
  </si>
  <si>
    <t>Codo (ELBOW,45 DEG,SS,CLP,4)</t>
  </si>
  <si>
    <t>T inox.(TEE,SS,4.0,CLP)</t>
  </si>
  <si>
    <t>Reductor (REDUCER,CONC,SS,CLP,4 X 3)</t>
  </si>
  <si>
    <t>Abrazadera(CLAMP,BAND,SS,4 IN)</t>
  </si>
  <si>
    <t>Soporte con abrazadera(CLAMP,4.0 IN,VINYL-COATED)</t>
  </si>
  <si>
    <t>Filtro de leche (FILTER,MILK,4"X2.0",SIDE DISCH)</t>
  </si>
  <si>
    <t>Peso para casquillo(WEIGHT,SHELL,1.62 X 2.00)</t>
  </si>
  <si>
    <t>T inox(TEE,RDCR,SS,3X3X2,CLP)</t>
  </si>
  <si>
    <t>Unidad final de 60 litros (RCVR ASSY,60H)</t>
  </si>
  <si>
    <t>GAUGE,DIGITAL VACUUM</t>
  </si>
  <si>
    <t>Bomba de leche (PUMP,2HP,1PH,CCW,230V,60HZ)</t>
  </si>
  <si>
    <t>KIT,AFM,W/DIGITAL VAC GAUGE</t>
  </si>
  <si>
    <t>HOLDER,PROBE,1-1/2 IN</t>
  </si>
  <si>
    <t>Filtro de leche (FILTER,IN-LINE, 1.50X24.00,TC)</t>
  </si>
  <si>
    <t>Kit de Poleas (KIT,PULLEY,BP-140,5HP MOTOR)</t>
  </si>
  <si>
    <t>Kit de poteals(KIT,PULLEY,BP-200,7.5HP MOTOR</t>
  </si>
  <si>
    <t>Kit de poteals(KIT,PULLEY,VSVP,BP-140,7.5-10</t>
  </si>
  <si>
    <t>Kit de poteals(KIT,PULLEY,VSVP,BP-200,10-15HP</t>
  </si>
  <si>
    <t>Kit de poteals(KIT,PULLEY,VSVP,BP-400,15-20HP)</t>
  </si>
  <si>
    <t>PULLEY,TPL-GRV,8.0 PD</t>
  </si>
  <si>
    <t>KIT,PUMP MOD,PIPELINE</t>
  </si>
  <si>
    <t>Valvula derivadora(VALVE,DIVERTER,230V,50HZ)</t>
  </si>
  <si>
    <t>Ducha de lavado(CUP,JETTER,R/MAG-SERIES)</t>
  </si>
  <si>
    <t>CUP,JETTER,DK-SERIES/RM1</t>
  </si>
  <si>
    <t>VALVE,WATER, .50NPT,220/240VAC</t>
  </si>
  <si>
    <t>VALVE,WATER, .75NPT,220/240VAC</t>
  </si>
  <si>
    <t>SWITCH,REED</t>
  </si>
  <si>
    <t>Injector de Aire(AIR INJ ASSY,CYCLONE 620,FIL)</t>
  </si>
  <si>
    <t>Adaptador injector de aire(ADAPTER,MOUNTING,AIR INJECTOR)</t>
  </si>
  <si>
    <t>FILTER,SOCK, 4.88X17.00, 500CS</t>
  </si>
  <si>
    <t>Soporte caneria(HANGER,1.5",TUBE,PLASTIC,CLAMP)</t>
  </si>
  <si>
    <t>Soporte caneria(HANGER,2.0",TUBE,PLASTIC,CLAMP)</t>
  </si>
  <si>
    <t>Soporte caneria(HANGER,3.0",TUBE,PLASTIC,CLAMP)</t>
  </si>
  <si>
    <t>Soporte caneria(HANGER,3.0",PIPE,PLASTIC,CLAMP)</t>
  </si>
  <si>
    <t>Riel (RAIL,SS,39",HANGER,PIPELINE)</t>
  </si>
  <si>
    <t>NUT,SS,HANGER,PIPELINE</t>
  </si>
  <si>
    <t>Soporte caneria(HANGER,4.0",TUBE,PLASTIC,CLAMP)</t>
  </si>
  <si>
    <t>Soporte caneria(HANGER,2.5",TUBE,PLASTIC,CLAMP)</t>
  </si>
  <si>
    <t>Codo (ELBOW,120 DEG,SS,3)</t>
  </si>
  <si>
    <t>Injector y caja comando(AIR INJECTOR,W/TIMER)</t>
  </si>
  <si>
    <t>VALVULA DESVIACION, 230V/100HZ</t>
  </si>
  <si>
    <t>KIT,GASKET,W/O VALVE,PK OF 10</t>
  </si>
  <si>
    <t>KIT,GASKET,W/VALVE,PK OF 10</t>
  </si>
  <si>
    <t>HOSE,VINYL,.38 X .125W,BLK/WHT</t>
  </si>
  <si>
    <t>Soporte colector a brete(HANGER ASSY,CLAW)</t>
  </si>
  <si>
    <t>Soporte colector a brete( HANGER ASSY,CLAW)</t>
  </si>
  <si>
    <t>CONN,PUSH,5/32 X 1/4 NPT</t>
  </si>
  <si>
    <t>CONN,SWL,ELB,5/32 ODX 1/4 NPT</t>
  </si>
  <si>
    <t>CONN,SWL,ELB,1/4 OD X 1/4 NPT</t>
  </si>
  <si>
    <t>CONN,PUSH,TEE,5/32</t>
  </si>
  <si>
    <t>CONN,PUSH,1/4 X 1/4 NPT</t>
  </si>
  <si>
    <t>Trampa con filtro inox, para bomba a lobulos (Bou-matic- Vac. Filter)</t>
  </si>
  <si>
    <t>CONN,PUSH,TEE,1/4 X 1/4</t>
  </si>
  <si>
    <t>CONN,PUSH,RDCR,5/32 X 1/4 TUBE</t>
  </si>
  <si>
    <t>Reductor (REDUCER,CONC,SS,CLP,4 X 2)</t>
  </si>
  <si>
    <t>GREASE,BEARING,HI-TEMP,CART</t>
  </si>
  <si>
    <t>Bomba de leche (PUMP,2HP,WASHDOWN,3PH,60HZ,CCW)</t>
  </si>
  <si>
    <t>TUBE,RD, 2.00X.065,304,DAIRY</t>
  </si>
  <si>
    <t>Codo (ELBOW,90 DEG,SS,CLP,1.5)</t>
  </si>
  <si>
    <t>Codo(ELBOW,45 DEG,SS,CLP,1.5)</t>
  </si>
  <si>
    <t>Ferula expandible(FERRULE,SS,CLP,1.5)</t>
  </si>
  <si>
    <t>Junta de goma ferula(GASKET,TRI-CLAMP,1.5"</t>
  </si>
  <si>
    <t>Tapon inox. Final (CAP,END,SS 1.5 IN.)</t>
  </si>
  <si>
    <t>Abrazadera(CLAMP,BAND,SS,1-1/2)</t>
  </si>
  <si>
    <t>Abrazadera(CLAMP,BAND,SS,2 IN)</t>
  </si>
  <si>
    <t>CLAMP,HINGED,1.5" HEAVY DUTY</t>
  </si>
  <si>
    <t>Ferula expandible(FERRULE,SS,CLP,2)</t>
  </si>
  <si>
    <t>Junta de goma ferula(GASKET,TRI-CLAMP,2.0")</t>
  </si>
  <si>
    <t>Codo(ELBOW,45 DEG,SS,CLP,2)</t>
  </si>
  <si>
    <t>Codo (ELBOW,90 DEG,SS,CLP,2)</t>
  </si>
  <si>
    <t>Tapon inox. Final (CAP,END,SS,2 IN.)</t>
  </si>
  <si>
    <t xml:space="preserve"> T inox(TEE,SS,2.0,CLP)</t>
  </si>
  <si>
    <t>Abrazadera(CLAMP,BAND,SS,3")</t>
  </si>
  <si>
    <t>TRAP ASSY,SANITARY,3.00 IN</t>
  </si>
  <si>
    <t>BRACE,RECEIVER SUPPORT</t>
  </si>
  <si>
    <t>SUPPORT ASSY,RCVR,13.75 ID</t>
  </si>
  <si>
    <t>PWB&amp;BKT ASSY,MODULE,PRISM</t>
  </si>
  <si>
    <t>CLAMP,TEE,1-1/4 PIPE</t>
  </si>
  <si>
    <t>Caja comando pulsado, 12 unid.(CONTROL ASSY,PULSATION,PC-210)</t>
  </si>
  <si>
    <t>CONTROL PANEL ASSY</t>
  </si>
  <si>
    <t>CLAMP,HOSE,SS, #20, .81-1.75</t>
  </si>
  <si>
    <t>CLAMP,HOSE,SS, #56,2.13-4.00</t>
  </si>
  <si>
    <t>CUP,JETTER,COMPETITIVE</t>
  </si>
  <si>
    <t>Soporte U con abrazaderas inox(U-BRACKET ASSY)</t>
  </si>
  <si>
    <t>Soporte L con abrazadera inox(L-BRACKET ASSY)</t>
  </si>
  <si>
    <t>REGULATOR ASSY,DARI-VAC 159</t>
  </si>
  <si>
    <t>KIT,FILL,GUARDIAN,NORTH AMER</t>
  </si>
  <si>
    <t>Programador de lavado (KIT,GUARDIAN,ECON,0.5)</t>
  </si>
  <si>
    <t>Programador de lavado (KIT,GUARDIAN,ECON,0.75)</t>
  </si>
  <si>
    <t>REGULATOR ASSY,DARI-VAC 106</t>
  </si>
  <si>
    <t>Programador de lavado (KIT,GUARDIAN,ECON,0.5,L/A.I.)</t>
  </si>
  <si>
    <t>Programador de lavado (KIT,GUARDIAN,ECON,0.75,L/A.I.)</t>
  </si>
  <si>
    <t>Conector( NIPPLE ASSY,STR,5/8 ID)</t>
  </si>
  <si>
    <t>STALLCOCK,DIE-CAST,CLAMP-ON</t>
  </si>
  <si>
    <t>Adaptador para filtro de aire(ADAPTER KIT,FRESH AIR)</t>
  </si>
  <si>
    <t>Conector (NIPPLE ASSY,G-NECK,5/8 ID,PRL 4 ")</t>
  </si>
  <si>
    <t>Valvula de drenaje caneria automatica(VALVE ASSY,GOOSENECK DRAIN)</t>
  </si>
  <si>
    <t>RCVR,STD 60L,3.0INL,3/9X12</t>
  </si>
  <si>
    <t xml:space="preserve"> Valvula reguladora 215 (REGULATOR ASSY,VAC,BVR-215)</t>
  </si>
  <si>
    <t>1,5*</t>
  </si>
  <si>
    <t>TUBE,RD, 1.50X.049,304,DAIRY</t>
  </si>
  <si>
    <t>tubo corto (TUBE,7",PULSE,SHORT,CLEAR)</t>
  </si>
  <si>
    <t>Tubo Corto(TUBE,7",PULSE,SHORT,CLR CS/100)</t>
  </si>
  <si>
    <t>Tubo Corto(TUBE,9",PULSE,SHORT,CLR,CS/100)</t>
  </si>
  <si>
    <t>Programador de lavado (KIT,GUARDIAN II,DELUXE,0.5)</t>
  </si>
  <si>
    <t>Programador de lavado (KIT,GUARDIAN II,DELUXE,0.75)</t>
  </si>
  <si>
    <t>ANALYZER ASSY,PT-V</t>
  </si>
  <si>
    <t>TUBE,SS,.624 X .065 X 3.03,SPL</t>
  </si>
  <si>
    <t>Pulsador con filtro de aire(PULSATOR ASSY,FILTERED AIR)</t>
  </si>
  <si>
    <t>CONT,15HP/3PH,500V,ACS550</t>
  </si>
  <si>
    <t>CONT,20HP/3PH,500V,ACS550</t>
  </si>
  <si>
    <t>CONT,30HP/3PH,500V,ACS550</t>
  </si>
  <si>
    <t>Variador de velocidad 10 hp(VSD Controller Assy 10 hp 3 phase,500 V)</t>
  </si>
  <si>
    <t>Variador de velocidad 15 hp(VSD Controller Assy 15 hp 3 phase,500 V)</t>
  </si>
  <si>
    <t>Variador de Velocidad 20 hp(VSD Controller Assy 20 hp 3 phase,500 V)</t>
  </si>
  <si>
    <t>Variador de velocidad 30 hp(VSD Controller Assy 30 hp 3 phase,500 V)</t>
  </si>
  <si>
    <t>Colector con valvula de corte(CLAW ASSY,X/C,F-S,W/VALVE)</t>
  </si>
  <si>
    <t>PLUG,WASH,PLSTC,3.00,PLSTC T</t>
  </si>
  <si>
    <t>PLUG,MILK,PLSTC,3.00,SHRT</t>
  </si>
  <si>
    <t>ANALYZER ASSY,PT-V,W/EXT TRANS</t>
  </si>
  <si>
    <t>Pezonera(LINER,MAG 300MX,CS/100)</t>
  </si>
  <si>
    <t>Pezonera( LINER,MAG 300MX,VENTED,CS/100</t>
  </si>
  <si>
    <t>Pezonera(LINER,MAG 400MX,CS/100)</t>
  </si>
  <si>
    <t>Pezonera(LINER,MAG 400MX,VENTED,CS/100)</t>
  </si>
  <si>
    <t>Pezonera(LINER,MAG 500MX,CS/100)</t>
  </si>
  <si>
    <t>Pezonera(LINER,MAG 500MX,VENTED,CS/100)</t>
  </si>
  <si>
    <t>KIT,DIGITAL AIRFLOW METER</t>
  </si>
  <si>
    <t>Repuesto colector, parte superior(TOP,CLAW,FLO-STAR MAX,FORMED)</t>
  </si>
  <si>
    <t>Colector sin valvula de corte(CLAW ASSY,.63,F-S MAX,FORMED)</t>
  </si>
  <si>
    <t>SELLO ELECTROBOMBA</t>
  </si>
  <si>
    <t>XFMR,230V,24/52V,50/60HZ</t>
  </si>
  <si>
    <t>Espada control de nivel (PROBE ASSY,1.5")</t>
  </si>
  <si>
    <t>PWB ASSY,LIQ LEVEL TIMER</t>
  </si>
  <si>
    <t>PWB ASSY,AIR INJ.TIMER</t>
  </si>
  <si>
    <t>ORIFICE,100 CFM</t>
  </si>
  <si>
    <t>ADAPTER ASSY,100 CFM</t>
  </si>
  <si>
    <t>T plastica para ducha lavado(TEE,PLASTIC,5/8 HOSE)</t>
  </si>
  <si>
    <t>Distribuidor de lavado plastico(DISTRIBUTOR,PLASTIC,JETTER</t>
  </si>
  <si>
    <t>CUP,JETTER,RUBBER</t>
  </si>
  <si>
    <t>Soporte duchas de lavado inox.(JETTER ASSY,W/HOLDER)</t>
  </si>
  <si>
    <t>Distribuidor de lavado inox.(DISTRIBUTOR,SS,JETTER</t>
  </si>
  <si>
    <t>Programador de lavado (WASHER,GUARDIAN II,W-3/4 VALVE)</t>
  </si>
  <si>
    <t>Recibidor de 60 litros(RCVR,STD 60L,2.5INL,3/9X12)</t>
  </si>
  <si>
    <t>RCVR,STD 85L,2-3,3/9X18</t>
  </si>
  <si>
    <t>Valvula flap Electrobomba (VALVE,FLAPPER,RBR,1.5")</t>
  </si>
  <si>
    <t>KIT,BVR-500 REGULATOR &amp; FILTER</t>
  </si>
  <si>
    <t>KIT,BVR-500 W/2 REMOTES</t>
  </si>
  <si>
    <t>KIT,RGLTR &amp; FILTER,BVR-215</t>
  </si>
  <si>
    <t>Coneccion para lavado de bomba a lobulos(PLUG,SIGHT,3/8 NPTF)</t>
  </si>
  <si>
    <t>Bomba de leche (PUMP,1HP,1PH,230V,50HZ,CCW)</t>
  </si>
  <si>
    <t>RCVR ASSY,380V,50HZ,1PH</t>
  </si>
  <si>
    <t>Programador de lavado (WASHER,GUARDIAN II,W-1/2 VALVE)</t>
  </si>
  <si>
    <t>Valvula de zafe de vacio (Vacuum Relief Valve)</t>
  </si>
  <si>
    <t>Bomba de leche (PUMP,MILK,1HP,3PH,380V)</t>
  </si>
  <si>
    <t>Casquillo (SHELL ASSY,STD SS)</t>
  </si>
  <si>
    <t>Tapa transparente recibidor (LID,PLEXIGLASS,RCVR)</t>
  </si>
  <si>
    <t>Kit de T para lavado e injecto con tapones(TEE ASSY,2.00 IN)</t>
  </si>
  <si>
    <t>Kit de T para lavado e injecto con tapones(TEE ASSY,2.50 IN)</t>
  </si>
  <si>
    <t>Kit de T para lavado e injecto con tapones(KIT,TEE ASSY,3.00 IN)</t>
  </si>
  <si>
    <t>RCVR ASSY,L/JAR &amp; TEE,60HZ,1PH</t>
  </si>
  <si>
    <t>Recibidor de 60 litros (RCVR,60L,W/LID &amp; GASKET)</t>
  </si>
  <si>
    <t>1E</t>
  </si>
  <si>
    <t>Recibidor de 85 litros (RCVR,85L,W/LID &amp; GASKET)</t>
  </si>
  <si>
    <t>Recibidor de 85 litros (RCVR,85L,LH,W/LID &amp; GASKET)</t>
  </si>
  <si>
    <t>Recibidor de 60 litros (RCVR,60L,LH,W/LID &amp; GASKET)</t>
  </si>
  <si>
    <t>Conjunto de complementos Recibidor menos bomba de leche(RCVR ASSY,SS,L/MILK PUMP)</t>
  </si>
  <si>
    <t>COUPLING,DRAIN,RUBBER</t>
  </si>
  <si>
    <t>Conjunto Base bomba a lobulos(PUMP ASSY,AIR-STAR,7.5HP)</t>
  </si>
  <si>
    <t>Conjunto Base bomba a lobulos (PUMP ASSY,AIR-STAR,10HP)</t>
  </si>
  <si>
    <t>Conjunto Base Bomba a Lobulos (PUMP ASSY,AIR-STAR,15-20HP)</t>
  </si>
  <si>
    <t>Valvula de drenaje ducha de lavado(VALVE,CHECK,DUCK-BILL,RUB.)</t>
  </si>
  <si>
    <t>HOSE,TWIN,PLSTC,.25 X .12W</t>
  </si>
  <si>
    <t>Restrictor de flujo(ORIFICE,WASH LINE)</t>
  </si>
  <si>
    <t>Kit de Poleas(KIT,PULLEY,BP-140, 7.5 HP)</t>
  </si>
  <si>
    <t>PLUG,MILK,PLSTC,4.00,SHRT</t>
  </si>
  <si>
    <t>Kit de T para lavado e injector con tapones (TEE ASSY,4.00 IN)</t>
  </si>
  <si>
    <t>VALVE,DRAIN,2" ELEC 230V</t>
  </si>
  <si>
    <t xml:space="preserve"> Aplicador marca Boumatic (DIP CUP,NON RETURN, W/BM LO  )</t>
  </si>
  <si>
    <t>Pulsador sin Filtrado(PULSATOR ASSY,W/0 FILTER)</t>
  </si>
  <si>
    <t>Caja comando injector de aire(CONT ASSY,AI,230V,50/60HZ)</t>
  </si>
  <si>
    <t>COUPLING,PVC,SCH-40,2 SXS</t>
  </si>
  <si>
    <t>PROTECTOR,NIPPLE</t>
  </si>
  <si>
    <t>TUBE,NYLON,NAT,.25 OD X .035W</t>
  </si>
  <si>
    <t>Kit de poteals(KIT,PULLEY,BP-200,10 HP</t>
  </si>
  <si>
    <t>Kit de poteals(KIT,PULLEY,BP-400,15 HP)</t>
  </si>
  <si>
    <t>Kit de poteals(KIT,PULLEY,BP-400,20 HP</t>
  </si>
  <si>
    <t>Junta de goma ferula(GASKET,TRI-CLAMP,FLG,4.0"</t>
  </si>
  <si>
    <t>PROPYENE GLYCOL,55 GAL</t>
  </si>
  <si>
    <t xml:space="preserve"> Aplicador con cepillo (DIPPER,THRIFTYMAX  )</t>
  </si>
  <si>
    <t>ALKATAB, 20 LB</t>
  </si>
  <si>
    <t>ALKATAB, 80 LB</t>
  </si>
  <si>
    <t>ACIDTAB, 20 LB</t>
  </si>
  <si>
    <t>ACIDTAB, 100 LB</t>
  </si>
  <si>
    <t>CHLORTAB, 20 LB</t>
  </si>
  <si>
    <t>CHLORTAB, 100 LB</t>
  </si>
  <si>
    <t>ALKACLOR TAB,20 LB</t>
  </si>
  <si>
    <t>ALKACLOR TAB,80 LB</t>
  </si>
  <si>
    <t>CLAMP ASSY,1-5/8 TUBE</t>
  </si>
  <si>
    <t>Ferula para soldar(FERRULE,SS,BUTT WELD,4.00)</t>
  </si>
  <si>
    <t>RCVR ASSY,L/JAR &amp; TEE,60HZ,3PH</t>
  </si>
  <si>
    <t>RCVR,85L,(2)3",PAR,3GX1.5,DFLO</t>
  </si>
  <si>
    <t>BRACKET,MILK PUMP,SWG PLR</t>
  </si>
  <si>
    <t>BRACKET,RECEIVER PANEL,SWG PLR</t>
  </si>
  <si>
    <t>BLOWER ASSY,DSL140,W/OMTR</t>
  </si>
  <si>
    <t>Bomba a lobulos 4400 l/min(Air-Star DSL  BP-200 7.5/10 Hp)</t>
  </si>
  <si>
    <t>Bomba a lobulos de 6000 l/min(Air-Star DSL  BP-400 15/20 Hp)</t>
  </si>
  <si>
    <t>Bomba a Lobulos de 2400 l/min (Air-Star DSL BP-140 5/7.5 Hp)</t>
  </si>
  <si>
    <t>WASHER,GUARDIAN SUPREME,230V</t>
  </si>
  <si>
    <t>PULSATOR ASSY,HIFLO EVO</t>
  </si>
  <si>
    <t>WIRE HARNESS,PULS,12 STALL,30"</t>
  </si>
  <si>
    <t>ROPE,DYNEEMA,1/8"X100'</t>
  </si>
  <si>
    <t>HOSE,MILK,B/M,5/8 IDX140FT</t>
  </si>
  <si>
    <t>500 ft</t>
  </si>
  <si>
    <t>CONN,PUSH,PLUG-IN Y,5/32</t>
  </si>
  <si>
    <t>Tapa plastica recibidor con 2 agujeros (LID,PLEXIGLASS,RCVR,2 HOLE)</t>
  </si>
  <si>
    <t>SENSOR ASSY GM/I(+)</t>
  </si>
  <si>
    <t>Indicador de Produccion GMI(INDICATOR,MILK YIELD,GMI)</t>
  </si>
  <si>
    <t>Indicador de Produccion GMI+(INDICATOR,MILK YIELD,GMI,+SIG)</t>
  </si>
  <si>
    <t>Cabezal Bomba M3</t>
  </si>
  <si>
    <t>14055l</t>
  </si>
  <si>
    <t>Bomba de vacio M5(VACUUM PUMP, ASSMB, M5/5HP  L/)</t>
  </si>
  <si>
    <t>14057l</t>
  </si>
  <si>
    <t>Bomba de vacio M5(VACUUM PUMP, ASSMB, M5/7.5HP L)</t>
  </si>
  <si>
    <t>140710l</t>
  </si>
  <si>
    <t>Bomba de vacio M 7.5(VACUUM PUMP, ASSMB, M7.5/10HP)</t>
  </si>
  <si>
    <t>14077l</t>
  </si>
  <si>
    <t>Bomba de vacio M 7.5(VACUUM PUMP, ASSMB, M7.5/7.5HP)</t>
  </si>
  <si>
    <t>142501B</t>
  </si>
  <si>
    <t>142561B</t>
  </si>
  <si>
    <t>142943B</t>
  </si>
  <si>
    <t>24MT25A</t>
  </si>
  <si>
    <t>251S</t>
  </si>
  <si>
    <t>321125R20</t>
  </si>
  <si>
    <t>32925M</t>
  </si>
  <si>
    <t>32930M</t>
  </si>
  <si>
    <t>D00001</t>
  </si>
  <si>
    <t>D00002</t>
  </si>
  <si>
    <t>D00003</t>
  </si>
  <si>
    <t>D00004</t>
  </si>
  <si>
    <t>D00005</t>
  </si>
  <si>
    <t>D00006</t>
  </si>
  <si>
    <t>D00007</t>
  </si>
  <si>
    <t>D00008</t>
  </si>
  <si>
    <t>Super DX, Detergente alcalino clorado en polvo x 10 kilos</t>
  </si>
  <si>
    <t>D00009</t>
  </si>
  <si>
    <t>D00010</t>
  </si>
  <si>
    <t>D00011</t>
  </si>
  <si>
    <t>D00012</t>
  </si>
  <si>
    <t>D00013</t>
  </si>
  <si>
    <t>D00014</t>
  </si>
  <si>
    <t>D00015</t>
  </si>
  <si>
    <t xml:space="preserve">JABON EN POLVO TIPO SKIP       </t>
  </si>
  <si>
    <t>D00016</t>
  </si>
  <si>
    <t xml:space="preserve">JABON EN POLVO TIPO ALA       </t>
  </si>
  <si>
    <t>D00017</t>
  </si>
  <si>
    <t xml:space="preserve">JABON LIQUIDO PARA ROPA      </t>
  </si>
  <si>
    <t>D00018</t>
  </si>
  <si>
    <t>ANTIGRASA</t>
  </si>
  <si>
    <t>D00019</t>
  </si>
  <si>
    <t xml:space="preserve">JABON PARA MANOS C/ DESINFESTANTE    </t>
  </si>
  <si>
    <t>D00020</t>
  </si>
  <si>
    <t xml:space="preserve">SUAVISANTE </t>
  </si>
  <si>
    <t>D00021</t>
  </si>
  <si>
    <t>LAVAVAJILLA</t>
  </si>
  <si>
    <t>D00022</t>
  </si>
  <si>
    <t xml:space="preserve">LIMPIAVIDRIOS    </t>
  </si>
  <si>
    <t>D00023</t>
  </si>
  <si>
    <t xml:space="preserve">DESODORANTE DE PISO             </t>
  </si>
  <si>
    <t>D00024</t>
  </si>
  <si>
    <t>LAVAVAJILLAS CONCENTRADO</t>
  </si>
  <si>
    <t>D00025</t>
  </si>
  <si>
    <t>D00026</t>
  </si>
  <si>
    <t>D00027</t>
  </si>
  <si>
    <t>D00028</t>
  </si>
  <si>
    <t>D00029</t>
  </si>
  <si>
    <t>D00030</t>
  </si>
  <si>
    <t>D00031</t>
  </si>
  <si>
    <t>D00032</t>
  </si>
  <si>
    <t>D00033</t>
  </si>
  <si>
    <t>D00034</t>
  </si>
  <si>
    <t>D00035</t>
  </si>
  <si>
    <t>D00036</t>
  </si>
  <si>
    <t>D00037</t>
  </si>
  <si>
    <t>D00038</t>
  </si>
  <si>
    <t>D00039</t>
  </si>
  <si>
    <t>D00040</t>
  </si>
  <si>
    <t>D00041</t>
  </si>
  <si>
    <t>D00042</t>
  </si>
  <si>
    <t>D00043</t>
  </si>
  <si>
    <t>D00044</t>
  </si>
  <si>
    <t>D00045</t>
  </si>
  <si>
    <t>Lavavajilla</t>
  </si>
  <si>
    <t>D00047</t>
  </si>
  <si>
    <t>D00048</t>
  </si>
  <si>
    <t>D00049</t>
  </si>
  <si>
    <t>D00050</t>
  </si>
  <si>
    <t>D00051</t>
  </si>
  <si>
    <t>D00052</t>
  </si>
  <si>
    <t>D00053</t>
  </si>
  <si>
    <t>D00054</t>
  </si>
  <si>
    <t>D00055</t>
  </si>
  <si>
    <t>D00056</t>
  </si>
  <si>
    <t>D00057</t>
  </si>
  <si>
    <t>D00058</t>
  </si>
  <si>
    <t>D00059</t>
  </si>
  <si>
    <t>Acid 60</t>
  </si>
  <si>
    <t>D00060</t>
  </si>
  <si>
    <t>Alka DX,  Detergente alcalino clorado liquido  260 kilos</t>
  </si>
  <si>
    <t>D00061</t>
  </si>
  <si>
    <t>Cloro DX por 11,5 kilos</t>
  </si>
  <si>
    <t>D00062</t>
  </si>
  <si>
    <t>Cloro DX por 28,75 kilos</t>
  </si>
  <si>
    <t>D00063</t>
  </si>
  <si>
    <t>Cloro DX por 230 kilos</t>
  </si>
  <si>
    <t>D00064</t>
  </si>
  <si>
    <t>Cloro DX por 1150kilos</t>
  </si>
  <si>
    <t>D00065</t>
  </si>
  <si>
    <t>Alka DX,  Detergente alcalino clorado liquido  1300 kilos</t>
  </si>
  <si>
    <t>D011003/F</t>
  </si>
  <si>
    <t>OPERATION MANUAL RECEIVER ASSE</t>
  </si>
  <si>
    <t>D112494</t>
  </si>
  <si>
    <t>D115111</t>
  </si>
  <si>
    <t>MILK PUMP 0,75KW 3PH 220/380V</t>
  </si>
  <si>
    <t>D115114</t>
  </si>
  <si>
    <t>MILK PUMP 0,37KW 3PH 220/380V</t>
  </si>
  <si>
    <t>D115184</t>
  </si>
  <si>
    <t>RECEIVER ASSEMBLY BASIC 55L DI</t>
  </si>
  <si>
    <t>D115185</t>
  </si>
  <si>
    <t>RECEIVER ASSEMBLY BASIC 100L D</t>
  </si>
  <si>
    <t>D200749</t>
  </si>
  <si>
    <t>D225001</t>
  </si>
  <si>
    <t>D225002</t>
  </si>
  <si>
    <t>D240742</t>
  </si>
  <si>
    <t>D240808</t>
  </si>
  <si>
    <t>D240809</t>
  </si>
  <si>
    <t>D240810</t>
  </si>
  <si>
    <t>D240811</t>
  </si>
  <si>
    <t>D242702</t>
  </si>
  <si>
    <t xml:space="preserve">Anillo sello </t>
  </si>
  <si>
    <t>D242728</t>
  </si>
  <si>
    <t>Aro sello valvulasensor</t>
  </si>
  <si>
    <t>D249746</t>
  </si>
  <si>
    <t>D255187</t>
  </si>
  <si>
    <t>HOSE CLAMP 45-60MM INOX</t>
  </si>
  <si>
    <t>D255531</t>
  </si>
  <si>
    <t>Cordon</t>
  </si>
  <si>
    <t>D255532</t>
  </si>
  <si>
    <t>Extencion cordon</t>
  </si>
  <si>
    <t>D255534</t>
  </si>
  <si>
    <t>Diafragma y sello piston</t>
  </si>
  <si>
    <t>D255536</t>
  </si>
  <si>
    <t>PISTON ASSEMBLY PACK</t>
  </si>
  <si>
    <t>D255541</t>
  </si>
  <si>
    <t>D255647</t>
  </si>
  <si>
    <t>RAM CYLINDER</t>
  </si>
  <si>
    <t>D255654</t>
  </si>
  <si>
    <t>D255660</t>
  </si>
  <si>
    <t>D255667G</t>
  </si>
  <si>
    <t>PACK RAM SUPPORT 1-1/4IN GREY</t>
  </si>
  <si>
    <t>D255682</t>
  </si>
  <si>
    <t>Conector sensor</t>
  </si>
  <si>
    <t>D255685</t>
  </si>
  <si>
    <t>PACK FIXINGS RAM</t>
  </si>
  <si>
    <t>D255691</t>
  </si>
  <si>
    <t>D255719</t>
  </si>
  <si>
    <t>SWITCH ASSEMBLY</t>
  </si>
  <si>
    <t>D255726</t>
  </si>
  <si>
    <t>D262513</t>
  </si>
  <si>
    <t>D262514</t>
  </si>
  <si>
    <t>SOLENOID BRACKET</t>
  </si>
  <si>
    <t>D262608</t>
  </si>
  <si>
    <t>MOTOR CIRCUIT BREAKER 1,6-2,5</t>
  </si>
  <si>
    <t xml:space="preserve">D262623 </t>
  </si>
  <si>
    <t>Fuente (POWER SUPPLY,12A/13V)</t>
  </si>
  <si>
    <t>D316021</t>
  </si>
  <si>
    <t>LID PLAIN</t>
  </si>
  <si>
    <t>D381667</t>
  </si>
  <si>
    <t>D381676</t>
  </si>
  <si>
    <t>Diafragma superior</t>
  </si>
  <si>
    <t>D381677</t>
  </si>
  <si>
    <t>Diafragma inferior</t>
  </si>
  <si>
    <t>D382716</t>
  </si>
  <si>
    <t>SEAL CUP A.C.R. CYLINDER</t>
  </si>
  <si>
    <t>D382760</t>
  </si>
  <si>
    <t>Sello capuchon sensor de leche</t>
  </si>
  <si>
    <t>D382761</t>
  </si>
  <si>
    <t>Sello tapa del sensor</t>
  </si>
  <si>
    <t>D382762</t>
  </si>
  <si>
    <t>Sello eje sensor</t>
  </si>
  <si>
    <t>D382763</t>
  </si>
  <si>
    <t>Sello sensor de vias de aire</t>
  </si>
  <si>
    <t>D382764</t>
  </si>
  <si>
    <t>Sello sensor de las vías  inferiores</t>
  </si>
  <si>
    <t>D382765</t>
  </si>
  <si>
    <t>Sello superior</t>
  </si>
  <si>
    <t>D382873</t>
  </si>
  <si>
    <t>Valvula sensor</t>
  </si>
  <si>
    <t>D385017</t>
  </si>
  <si>
    <t>LID TRANSPARENT PLAIN</t>
  </si>
  <si>
    <t>D385509</t>
  </si>
  <si>
    <t>CONE</t>
  </si>
  <si>
    <t>D385537 x 6</t>
  </si>
  <si>
    <t>Tobera válvula cilindro</t>
  </si>
  <si>
    <t>D385537x6</t>
  </si>
  <si>
    <t>CHIMNEY ASSEMBLY PACK (PER 6)</t>
  </si>
  <si>
    <t>D385596</t>
  </si>
  <si>
    <t>PULLEY HOUSING ISOLOATOR3</t>
  </si>
  <si>
    <t>D385646</t>
  </si>
  <si>
    <t>D385685</t>
  </si>
  <si>
    <t>D385779</t>
  </si>
  <si>
    <t>MILK CHAMBER</t>
  </si>
  <si>
    <t>D385780</t>
  </si>
  <si>
    <t>D385784</t>
  </si>
  <si>
    <t>D385784 x 6</t>
  </si>
  <si>
    <t>Tobera válvula sensor</t>
  </si>
  <si>
    <t>D385785</t>
  </si>
  <si>
    <t>NUT THUMB ISOL 3</t>
  </si>
  <si>
    <t>D385789</t>
  </si>
  <si>
    <t>D385790</t>
  </si>
  <si>
    <t>COLLAR THREADED RAM ACR 3</t>
  </si>
  <si>
    <t>D385791</t>
  </si>
  <si>
    <t>D390666</t>
  </si>
  <si>
    <t>Filtro</t>
  </si>
  <si>
    <t>D391509</t>
  </si>
  <si>
    <t>D433481</t>
  </si>
  <si>
    <t>LID 1 NOZZLE DIA 76 ASSEMBLY</t>
  </si>
  <si>
    <t>D433518</t>
  </si>
  <si>
    <t>LID 2 NOZZLE DIA  76 ASSEMBLY</t>
  </si>
  <si>
    <t>D480019</t>
  </si>
  <si>
    <t>Lubricante</t>
  </si>
  <si>
    <t>D480074</t>
  </si>
  <si>
    <t>Vakvuka de cierre GM</t>
  </si>
  <si>
    <t>D480080</t>
  </si>
  <si>
    <t>DIAPHRAGM-VALVE,DIA17,DV5</t>
  </si>
  <si>
    <t>D480128</t>
  </si>
  <si>
    <t>ISOLATOR 3,ACR RAM ASSY</t>
  </si>
  <si>
    <t>D480128G</t>
  </si>
  <si>
    <t>D480130</t>
  </si>
  <si>
    <t>BODY &amp; SWITCH ASSY ISO3 ACR</t>
  </si>
  <si>
    <t>D480151</t>
  </si>
  <si>
    <t>D480154</t>
  </si>
  <si>
    <t>remote switch and led</t>
  </si>
  <si>
    <t>D480180X1</t>
  </si>
  <si>
    <t>pvc card ( electric card)</t>
  </si>
  <si>
    <t>IFT COMPLETE ISOLATOR XP,F/COW (VASO)</t>
  </si>
  <si>
    <t>D494147</t>
  </si>
  <si>
    <t>Pulsador GM 2 salidas(PULSATOR,LECTRON,TL)</t>
  </si>
  <si>
    <t>D494153</t>
  </si>
  <si>
    <t>D494170</t>
  </si>
  <si>
    <t>ISOLATOR TL ASSEMBLY</t>
  </si>
  <si>
    <t>D494191</t>
  </si>
  <si>
    <t>Pulsador GM 4 Salidas</t>
  </si>
  <si>
    <t>D498794</t>
  </si>
  <si>
    <t>D533496</t>
  </si>
  <si>
    <t>F113621C</t>
  </si>
  <si>
    <t>RCVR 55 L SANI TRAP D 76 W/O</t>
  </si>
  <si>
    <t>F113690C</t>
  </si>
  <si>
    <t>RCVR 100 L 1 TRAP D 76 W/O</t>
  </si>
  <si>
    <t>F140052C</t>
  </si>
  <si>
    <t>Extractor GM completo c/brazo(SWING-OVER-ISOLATOR XP P/UNIT)</t>
  </si>
  <si>
    <t>FF140200C</t>
  </si>
  <si>
    <t>Extractor GM sin brazo (DECRO ISOLATOR XP + VERIN A L')</t>
  </si>
  <si>
    <t>G237004</t>
  </si>
  <si>
    <t>L000001</t>
  </si>
  <si>
    <t>Tubo atóxico 16x26mm 5/8"</t>
  </si>
  <si>
    <t>L000002</t>
  </si>
  <si>
    <t>Tubo atóxico 25x35 mm / 1 "</t>
  </si>
  <si>
    <t>L000003</t>
  </si>
  <si>
    <t>Tubo de pulsado 7x14mm 1/4"</t>
  </si>
  <si>
    <t>L000004</t>
  </si>
  <si>
    <t>Tubo puls simple 9x15 mm 3/8"</t>
  </si>
  <si>
    <t>L000005</t>
  </si>
  <si>
    <t>Manguera expelente 25 mm  1" ( 7 bar)</t>
  </si>
  <si>
    <t>L000006</t>
  </si>
  <si>
    <t>manguera aspirante expelente tricoflex1 '</t>
  </si>
  <si>
    <t>L000007</t>
  </si>
  <si>
    <t>manguera aspirante expelente tricoflex1 1/4 '</t>
  </si>
  <si>
    <t>L000008</t>
  </si>
  <si>
    <t>manguera aspirante expelente tricoflex1 1/2 '</t>
  </si>
  <si>
    <t>L000009</t>
  </si>
  <si>
    <t>manguera aspirante expelente tricoflex1 3/4 '</t>
  </si>
  <si>
    <t>L000010</t>
  </si>
  <si>
    <t>manguera aspirante expelente tricoflex2 '</t>
  </si>
  <si>
    <t>L000011</t>
  </si>
  <si>
    <t>manguera aspirante expelente tricoflex2 1/2 ´</t>
  </si>
  <si>
    <t>L000012</t>
  </si>
  <si>
    <t>manguera aspirante expelente tricoflex2 3/4 '</t>
  </si>
  <si>
    <t>L000013</t>
  </si>
  <si>
    <t>manguera aspirante expelente tricoflex3 ´</t>
  </si>
  <si>
    <t>L000014</t>
  </si>
  <si>
    <t>manguera aspirante expelente tricoflex3 1/2 ´</t>
  </si>
  <si>
    <t>L000015</t>
  </si>
  <si>
    <t>manguera aspirante expelente tricoflex4 ´</t>
  </si>
  <si>
    <t>L000016</t>
  </si>
  <si>
    <t>Conector de leche curvo para caño 38.1 / 50,8 mm.</t>
  </si>
  <si>
    <t>L000017</t>
  </si>
  <si>
    <t>Conector de leche curvo para caño 63.5 / 76.5 mm.</t>
  </si>
  <si>
    <t>L000018</t>
  </si>
  <si>
    <t>Bombas de vacío TM 2 (700)</t>
  </si>
  <si>
    <t>L000019</t>
  </si>
  <si>
    <t>Bombas de vacío TM 3 ( 950)</t>
  </si>
  <si>
    <t>L000020</t>
  </si>
  <si>
    <t>Bombas de vacío TM 1200</t>
  </si>
  <si>
    <t>L000021</t>
  </si>
  <si>
    <t>Bombas de vacío B 1800</t>
  </si>
  <si>
    <t>L000022</t>
  </si>
  <si>
    <t>Silenciador Bombas vacío entrada y salida 1 1/4</t>
  </si>
  <si>
    <t>L000023</t>
  </si>
  <si>
    <t xml:space="preserve">Polea mecanizada A-150  </t>
  </si>
  <si>
    <t>L000026</t>
  </si>
  <si>
    <t>Niple p/admisión 1 1/4" x 150 mm Largo</t>
  </si>
  <si>
    <t>L000027</t>
  </si>
  <si>
    <t>Abrazadera 63 x 1" H</t>
  </si>
  <si>
    <t>L000028</t>
  </si>
  <si>
    <t>Abrazadera 63 x 1" M</t>
  </si>
  <si>
    <t>L000029</t>
  </si>
  <si>
    <t>Abrazadera 63 x 1/2" H</t>
  </si>
  <si>
    <t>L000030</t>
  </si>
  <si>
    <t>Abrazadera 63 x 1/4" H</t>
  </si>
  <si>
    <t>L000031</t>
  </si>
  <si>
    <t>Abrazadera 63 x 3/4" H</t>
  </si>
  <si>
    <t>L000032</t>
  </si>
  <si>
    <t>Caño de acero inoxidable por 25.4 mm, 1.2 mm de pared</t>
  </si>
  <si>
    <t>L000033</t>
  </si>
  <si>
    <t>Caño de acero inoxidable por 31.7 mm, 1.2 mm de pared</t>
  </si>
  <si>
    <t>L000034</t>
  </si>
  <si>
    <t>Caño de acero inoxidable por 38.1 mm, 1.2 mm de pared</t>
  </si>
  <si>
    <t>L000035</t>
  </si>
  <si>
    <t>Caño de acero inoxidable por 50.8 mm, 1.2 mm de pared</t>
  </si>
  <si>
    <t>L000036</t>
  </si>
  <si>
    <t>Caño de acero inoxidable por 63.1 mm, 1.2 mm de pared</t>
  </si>
  <si>
    <t>L000037</t>
  </si>
  <si>
    <t>Caño de acero inoxidable por 76.2 mm, 1.2 mm de pared</t>
  </si>
  <si>
    <t>L000038</t>
  </si>
  <si>
    <t>Caño de acero inoxidable por 101.6 mm, 1.2 mm de pared</t>
  </si>
  <si>
    <t>L000039</t>
  </si>
  <si>
    <t>Unión doble completa 38</t>
  </si>
  <si>
    <t>L000040</t>
  </si>
  <si>
    <t>Unión doble completa 51</t>
  </si>
  <si>
    <t>L000041</t>
  </si>
  <si>
    <t>Unión doble completa 63</t>
  </si>
  <si>
    <t>L000042</t>
  </si>
  <si>
    <t>caño de pcv 50 mm x 6 m std</t>
  </si>
  <si>
    <t>L000043</t>
  </si>
  <si>
    <t>caño de pcv 63 mm x 6 m std</t>
  </si>
  <si>
    <t>L000045</t>
  </si>
  <si>
    <t>caño de pcv 110 mm x 6 m std</t>
  </si>
  <si>
    <t>L000046</t>
  </si>
  <si>
    <t>codo de pegar gris 50 mm</t>
  </si>
  <si>
    <t>L000047</t>
  </si>
  <si>
    <t>codo de pegar gris 63 mm</t>
  </si>
  <si>
    <t>L000048</t>
  </si>
  <si>
    <t>codo de pegar gris 75 mm</t>
  </si>
  <si>
    <t>L000049</t>
  </si>
  <si>
    <t>codo de pegar gris 110 mm</t>
  </si>
  <si>
    <t>L000050</t>
  </si>
  <si>
    <t>curva 90°de pegar gris 50 mm</t>
  </si>
  <si>
    <t>L000051</t>
  </si>
  <si>
    <t>curva 90°de pegar gris 63 mm</t>
  </si>
  <si>
    <t>L000052</t>
  </si>
  <si>
    <t>curva 90°de pegar gris 75 mm</t>
  </si>
  <si>
    <t>L000053</t>
  </si>
  <si>
    <t>curva 90°de pegar gris 110 mm</t>
  </si>
  <si>
    <t>L000054</t>
  </si>
  <si>
    <t>Te de pegar gris 50 mm</t>
  </si>
  <si>
    <t>L000055</t>
  </si>
  <si>
    <t>Te de pegar gris 63 mm</t>
  </si>
  <si>
    <t>L000057</t>
  </si>
  <si>
    <t>Te de pegar gris 110 mm</t>
  </si>
  <si>
    <t>L000058</t>
  </si>
  <si>
    <t>llave esférica 2 " plástica</t>
  </si>
  <si>
    <t>L000059</t>
  </si>
  <si>
    <t>llave esférica 2 " bronce</t>
  </si>
  <si>
    <t>L000060</t>
  </si>
  <si>
    <t>llave esférica 2,5 " plástica</t>
  </si>
  <si>
    <t>L000061</t>
  </si>
  <si>
    <t>llave esférica 3 " bronce</t>
  </si>
  <si>
    <t>L000062</t>
  </si>
  <si>
    <t>llave esférica 4 " bronce</t>
  </si>
  <si>
    <t>L000063</t>
  </si>
  <si>
    <t>reducción reforzada de pvc de 4 a 3 "</t>
  </si>
  <si>
    <t>L000064</t>
  </si>
  <si>
    <t>reducción reforzada de pvc de 3 a 2.5 "</t>
  </si>
  <si>
    <t>L000065</t>
  </si>
  <si>
    <t>reducción reforzada de pvc de 2,5 a 2 "</t>
  </si>
  <si>
    <t>L000066</t>
  </si>
  <si>
    <t>cupla de 50 SD</t>
  </si>
  <si>
    <t>cupla de 63 SD</t>
  </si>
  <si>
    <t>L000068</t>
  </si>
  <si>
    <t>cupla de 75 SD</t>
  </si>
  <si>
    <t>L000069</t>
  </si>
  <si>
    <t>cupla de 110 SD</t>
  </si>
  <si>
    <t>L000070</t>
  </si>
  <si>
    <t>Cupla caneria 25 MM goma</t>
  </si>
  <si>
    <t>L000071</t>
  </si>
  <si>
    <t>Cupla caneria 32 MM goma</t>
  </si>
  <si>
    <t>L000072</t>
  </si>
  <si>
    <t>Cupla caneria 38 MM goma</t>
  </si>
  <si>
    <t>L000073</t>
  </si>
  <si>
    <t>Cupla caneria 42 MM goma</t>
  </si>
  <si>
    <t>L000074</t>
  </si>
  <si>
    <t>Cupla caneria 48 MM goma</t>
  </si>
  <si>
    <t>L000075</t>
  </si>
  <si>
    <t>Cupla caneria 63 MM goma</t>
  </si>
  <si>
    <t>L000076</t>
  </si>
  <si>
    <t>Cupla caneria 75 MM goma</t>
  </si>
  <si>
    <t>L000077</t>
  </si>
  <si>
    <t>Cupla conica 38 MM C/S goma</t>
  </si>
  <si>
    <t>L000078</t>
  </si>
  <si>
    <t>Cupla conica 38 MM S/S goma</t>
  </si>
  <si>
    <t>L000079</t>
  </si>
  <si>
    <t>Cupla conica 51 MM goma</t>
  </si>
  <si>
    <t>L000080</t>
  </si>
  <si>
    <t>Cupla conica 51 MM C/S goma</t>
  </si>
  <si>
    <t>L000081</t>
  </si>
  <si>
    <t>Cupla conica 63 MM goma</t>
  </si>
  <si>
    <t>L000082</t>
  </si>
  <si>
    <t>Cupla reduccion 38 MM a 25 MM goma</t>
  </si>
  <si>
    <t>L000083</t>
  </si>
  <si>
    <t>Cupla reduccion 50 MM a 38 MM goma</t>
  </si>
  <si>
    <t>L000084</t>
  </si>
  <si>
    <t>Cupla reducción 63 MM a 50 MM goma</t>
  </si>
  <si>
    <t>L000085</t>
  </si>
  <si>
    <t>Cupla reduccion 75 MM a 50 MM goma</t>
  </si>
  <si>
    <t>L000086</t>
  </si>
  <si>
    <t>Intercabiador a Placas 800 l/hs 16 placas</t>
  </si>
  <si>
    <t>L000087</t>
  </si>
  <si>
    <t>Intercabiador a Placas 1100 l/hs 22 placas</t>
  </si>
  <si>
    <t>L000088</t>
  </si>
  <si>
    <t>Intercabiador a Placas 1300 l/hs 26 placas</t>
  </si>
  <si>
    <t>L000089</t>
  </si>
  <si>
    <t>Intercabiador a Placas 1800 l/hs 36 placas</t>
  </si>
  <si>
    <t>L000090</t>
  </si>
  <si>
    <t>Intercabiador a Placas 2000 l/hs 40 placas</t>
  </si>
  <si>
    <t>L000091</t>
  </si>
  <si>
    <t>Intercabiador a Placas 2500 l/hs 54 placas</t>
  </si>
  <si>
    <t>L000092</t>
  </si>
  <si>
    <t>Placa con junta</t>
  </si>
  <si>
    <t>L000093</t>
  </si>
  <si>
    <t>Tapas de pvc 2 "</t>
  </si>
  <si>
    <t>L000094</t>
  </si>
  <si>
    <t>Tapas de pvc 2,5 "</t>
  </si>
  <si>
    <t>L000096</t>
  </si>
  <si>
    <t>Tapas de pvc 4 "</t>
  </si>
  <si>
    <t>L000097</t>
  </si>
  <si>
    <t>Swing arm W/brackets</t>
  </si>
  <si>
    <t>L000098</t>
  </si>
  <si>
    <t>Grifo paso de leche</t>
  </si>
  <si>
    <t>L000099</t>
  </si>
  <si>
    <t>Manguera de pulsado doble</t>
  </si>
  <si>
    <t>L000100</t>
  </si>
  <si>
    <t>Intercabiador a Placas 800 l/hs 16 placas SS</t>
  </si>
  <si>
    <t>L000101</t>
  </si>
  <si>
    <t>Intercabiador a Placas 1100 l/hs 22 placas SS</t>
  </si>
  <si>
    <t>L000102</t>
  </si>
  <si>
    <t>Intercabiador a Placas 1300 l/hs 26 placas SS</t>
  </si>
  <si>
    <t>L000103</t>
  </si>
  <si>
    <t>Intercabiador a Placas 1800 l/hs 36 placas SS</t>
  </si>
  <si>
    <t>L000104</t>
  </si>
  <si>
    <t>Intercabiador a Placas 2000 l/hs 40 placas SS</t>
  </si>
  <si>
    <t>L000105</t>
  </si>
  <si>
    <t>Intercabiador a Placas 2500 l/hs 54 placas SS</t>
  </si>
  <si>
    <t>L000106</t>
  </si>
  <si>
    <t>Curva180 ° 50.8 mm pulido interno y externo sanitario</t>
  </si>
  <si>
    <t>L000107</t>
  </si>
  <si>
    <t>Curva180 ° 63.5 mm pulido interno y externo sanitario</t>
  </si>
  <si>
    <t>L000108</t>
  </si>
  <si>
    <t>Curva180 ° 76.2.8 mm pulido interno y externo sanitario</t>
  </si>
  <si>
    <t>L000109</t>
  </si>
  <si>
    <t>Curva180 ° 101.6 mm pulido interno y externo sanitario</t>
  </si>
  <si>
    <t>L000110</t>
  </si>
  <si>
    <t>llave mariposa sanitaria de 38.1</t>
  </si>
  <si>
    <t>L000111</t>
  </si>
  <si>
    <t>llave mariposa sanitaria de 50.8</t>
  </si>
  <si>
    <t>L000112</t>
  </si>
  <si>
    <t>llave mariposa sanitaria de 63.5</t>
  </si>
  <si>
    <t>L000113</t>
  </si>
  <si>
    <t>llave mariposa sanitaria de 76.2</t>
  </si>
  <si>
    <t>L000114</t>
  </si>
  <si>
    <t>llave mariposa sanitaria de 101.6</t>
  </si>
  <si>
    <t>L000115</t>
  </si>
  <si>
    <t>soporte rectangular inoxidable con guías laterales para cañería doble de  2 " de dimámetro</t>
  </si>
  <si>
    <t>L000116</t>
  </si>
  <si>
    <t>soporte rectangular inoxidable con guías laterales para cañería doble de  2,5 " de dimámetro</t>
  </si>
  <si>
    <t>L000117</t>
  </si>
  <si>
    <t>soporte rectangular inoxidable con guías laterales para cañería doble de  3 " de dimámetro</t>
  </si>
  <si>
    <t>L000118</t>
  </si>
  <si>
    <t>soporte rectangular inoxidable con guías laterales para cañería doble de  4 " de dimámetro</t>
  </si>
  <si>
    <t>L000119</t>
  </si>
  <si>
    <t>unión caños inox. Con abrazadera inox y cupla para 1,5 "</t>
  </si>
  <si>
    <t>L000120</t>
  </si>
  <si>
    <t>unión caños inox. Con abrazadera inox y cupla para 2 "</t>
  </si>
  <si>
    <t>L000121</t>
  </si>
  <si>
    <t>unión caños inox. Con abrazadera inox y cupla para 2,5 "</t>
  </si>
  <si>
    <t>L000122</t>
  </si>
  <si>
    <t>unión caños inox. Con abrazadera inox y cupla para 3 "</t>
  </si>
  <si>
    <t>L000123</t>
  </si>
  <si>
    <t>unión caños inox. Con abrazadera inox y cupla para 4 "</t>
  </si>
  <si>
    <t>L000124</t>
  </si>
  <si>
    <t>ACCESORIO PLASTICO DE 1/2"H CON ABRAZADERA ACERO             </t>
  </si>
  <si>
    <t>L000125</t>
  </si>
  <si>
    <t>Filtro pre-placa construído en acero inox, de 2 " de diámetro</t>
  </si>
  <si>
    <t>L000126</t>
  </si>
  <si>
    <t>Filtro pre-placa construído en acero inox, de 2,5 " de diámetro</t>
  </si>
  <si>
    <t>L000127</t>
  </si>
  <si>
    <t>cupla con llave de 38 mm</t>
  </si>
  <si>
    <t>L000128</t>
  </si>
  <si>
    <t>cupla con llave de 51 mm</t>
  </si>
  <si>
    <t>L000129</t>
  </si>
  <si>
    <t>Aceite para ordeñadora por 5 litros</t>
  </si>
  <si>
    <t>L000130</t>
  </si>
  <si>
    <t>Aceite para ordeñadoras por 10 litros</t>
  </si>
  <si>
    <t>L000131</t>
  </si>
  <si>
    <t xml:space="preserve">SURGE 3070 9.5 X56                 </t>
  </si>
  <si>
    <t>L000132</t>
  </si>
  <si>
    <t xml:space="preserve">FILTRO ALFA LAVAL 4" 15.5X62       </t>
  </si>
  <si>
    <t>L000133</t>
  </si>
  <si>
    <t xml:space="preserve">FILTRO ALFA LAVAL LARGO6.5 X62     </t>
  </si>
  <si>
    <t>L000134</t>
  </si>
  <si>
    <t xml:space="preserve">FILTRO BOSIO MER.8,5 X66           </t>
  </si>
  <si>
    <t>L000135</t>
  </si>
  <si>
    <t xml:space="preserve">FILTRO BOSIO 2 1/2 11X81           </t>
  </si>
  <si>
    <t>L000136</t>
  </si>
  <si>
    <t xml:space="preserve">FILTRO BOSIO 2 1/2 11X81  sintetico    </t>
  </si>
  <si>
    <t>L000137</t>
  </si>
  <si>
    <t>manguera de leche 16 x 27 mm Boumatic</t>
  </si>
  <si>
    <t>L000138</t>
  </si>
  <si>
    <t>manguera de pulsado doble 2x7X12 Boumatic</t>
  </si>
  <si>
    <t>L000139</t>
  </si>
  <si>
    <t>Silenciador Bombas vacío entrada y salida 1 1/2</t>
  </si>
  <si>
    <t>L000140</t>
  </si>
  <si>
    <t>Niple p/admisión 1 1/2" x 150 mm Largo</t>
  </si>
  <si>
    <t>L000141</t>
  </si>
  <si>
    <t>Bomba de vacío rotativa a paleta de 600/900 l/min de capacidad</t>
  </si>
  <si>
    <t>L000142</t>
  </si>
  <si>
    <t>TRAMPA COMPLETA PARA EQUIPOS AL TARRO</t>
  </si>
  <si>
    <t>L000143</t>
  </si>
  <si>
    <t>Tapa para tacho de 2 picos con guarnición</t>
  </si>
  <si>
    <t>L000144</t>
  </si>
  <si>
    <t xml:space="preserve">Extra Fuerte #86 - CAJA 16cm x 22cm Caja x 50pq x 3u </t>
  </si>
  <si>
    <t>L000145</t>
  </si>
  <si>
    <t>Extra Fuerte #86 - ROLLO 16cm x 20m c/u</t>
  </si>
  <si>
    <t>L000146</t>
  </si>
  <si>
    <t>Normal # 96 - Espesor 9mm - CAJA 16cm x 22cm Caja x 50pq x 3u</t>
  </si>
  <si>
    <t>L000147</t>
  </si>
  <si>
    <t>Normal # 96 - Espesor 9mm - CAJA 12cm x 16cm c/u 1500 unidades</t>
  </si>
  <si>
    <t>L000148</t>
  </si>
  <si>
    <t>Normal # 96 - Espesor 9mm - ROLLO 16cm x 20m Rollo</t>
  </si>
  <si>
    <t>L000149</t>
  </si>
  <si>
    <t xml:space="preserve">30347 Fibra Parrillera # 88 - CAJA 12cm x 16cm Paquete x 12u </t>
  </si>
  <si>
    <t>L000150</t>
  </si>
  <si>
    <t xml:space="preserve">30091 Azul Extrafuerte # 2001 12cm x 16cm caja x 20 </t>
  </si>
  <si>
    <t>L000151</t>
  </si>
  <si>
    <t xml:space="preserve">19653 Blanca # 9030 p/ teflon Espesor 20mm 9cm x 12,5cm caja x 40 </t>
  </si>
  <si>
    <t>L000152</t>
  </si>
  <si>
    <t xml:space="preserve">42503 Blanca # 98 p/ teflon 16cm x 20m cu </t>
  </si>
  <si>
    <t>L000153</t>
  </si>
  <si>
    <t xml:space="preserve">47717 Fibra Purple Pad #2020 2,8cm x 4,5cm c/u </t>
  </si>
  <si>
    <t>L000154</t>
  </si>
  <si>
    <t>Normal # 96 - Espesor 9mm - 16cm x 22cm Caja x 50pq x 3u</t>
  </si>
  <si>
    <t>L000155</t>
  </si>
  <si>
    <t xml:space="preserve">Extra Fuerte #86 - 16cm x 22cm x 3u </t>
  </si>
  <si>
    <t>L000156</t>
  </si>
  <si>
    <t xml:space="preserve">Steel Cleaner Aerosol 600 grs </t>
  </si>
  <si>
    <t>L000157</t>
  </si>
  <si>
    <t>CODO 38 MM</t>
  </si>
  <si>
    <t>L000158</t>
  </si>
  <si>
    <t>Abrazadera inoxidable 32/50 mm</t>
  </si>
  <si>
    <t>L000159</t>
  </si>
  <si>
    <t>Soldar entradas al recibidor DX  de 60 y 85 litros</t>
  </si>
  <si>
    <t>L000160</t>
  </si>
  <si>
    <t>Armado caja comando DX</t>
  </si>
  <si>
    <t>L000161</t>
  </si>
  <si>
    <t>Tablero comando equipo de ordeñe  DX</t>
  </si>
  <si>
    <t>L000162</t>
  </si>
  <si>
    <t>buje corto 63/50</t>
  </si>
  <si>
    <t>L000163</t>
  </si>
  <si>
    <t>buje corto 75/63</t>
  </si>
  <si>
    <t>L000164</t>
  </si>
  <si>
    <t>buje corto 110/75</t>
  </si>
  <si>
    <t>L000165</t>
  </si>
  <si>
    <t>Aplicador de sellador</t>
  </si>
  <si>
    <t>L000166</t>
  </si>
  <si>
    <t>Ducha de lavado</t>
  </si>
  <si>
    <t>L000167</t>
  </si>
  <si>
    <t>DELANTAL</t>
  </si>
  <si>
    <t>L000168</t>
  </si>
  <si>
    <t>Tapon de pezoneras</t>
  </si>
  <si>
    <t>L000169</t>
  </si>
  <si>
    <t>Y de adaptacion de pulsado</t>
  </si>
  <si>
    <t>L000170</t>
  </si>
  <si>
    <t>Lava ubre</t>
  </si>
  <si>
    <t>L000171</t>
  </si>
  <si>
    <t>jarra de fondo oscuro</t>
  </si>
  <si>
    <t>L000172</t>
  </si>
  <si>
    <t>DIAFRAGMA BOMBA LECHE</t>
  </si>
  <si>
    <t>L000173</t>
  </si>
  <si>
    <t>DIAFRAGMA LAVADOR PULSOMETRO</t>
  </si>
  <si>
    <t>L000174</t>
  </si>
  <si>
    <t>DIAFRAGMA MR2</t>
  </si>
  <si>
    <t>L000175</t>
  </si>
  <si>
    <t>DIAFRAGMA MR4</t>
  </si>
  <si>
    <t>L000176</t>
  </si>
  <si>
    <t>LAVADOR PEZONERA IRLANDA</t>
  </si>
  <si>
    <t>L000177</t>
  </si>
  <si>
    <t>GUARNICION MR2</t>
  </si>
  <si>
    <t>L000178</t>
  </si>
  <si>
    <t>GUARNICION MR4</t>
  </si>
  <si>
    <t>L000179</t>
  </si>
  <si>
    <t>TOPE MR4</t>
  </si>
  <si>
    <t>L000180</t>
  </si>
  <si>
    <t>TOPES MR2</t>
  </si>
  <si>
    <t>L000181</t>
  </si>
  <si>
    <t>Colector de leche tipo HCC-150.</t>
  </si>
  <si>
    <t>L000182</t>
  </si>
  <si>
    <t>Colector de leche tipo Irl. Polic</t>
  </si>
  <si>
    <t>L000183</t>
  </si>
  <si>
    <t xml:space="preserve">Colector de leche tipo M. Nuevo polic. </t>
  </si>
  <si>
    <t>L000184</t>
  </si>
  <si>
    <t>Colector de leche tipo T.F.</t>
  </si>
  <si>
    <t>L000185</t>
  </si>
  <si>
    <t xml:space="preserve">Copa central tipo TF. </t>
  </si>
  <si>
    <t>L000186</t>
  </si>
  <si>
    <t>Ducha de lavado Laval.</t>
  </si>
  <si>
    <t>L000187</t>
  </si>
  <si>
    <t xml:space="preserve">Grifo paso de leche. </t>
  </si>
  <si>
    <t>L000188</t>
  </si>
  <si>
    <t xml:space="preserve">Lava ubre. </t>
  </si>
  <si>
    <t>L000189</t>
  </si>
  <si>
    <t>Trampa completa.</t>
  </si>
  <si>
    <t>L000190</t>
  </si>
  <si>
    <t>Y para pulsado</t>
  </si>
  <si>
    <t>L000191</t>
  </si>
  <si>
    <t>ACC. DE GOMA MOD. NVO.</t>
  </si>
  <si>
    <t>L000192</t>
  </si>
  <si>
    <t>ACC. GOMA P/COLECT. HCC</t>
  </si>
  <si>
    <t>L000193</t>
  </si>
  <si>
    <t>ACC. GOMA P/COLECT.IRLANDA.</t>
  </si>
  <si>
    <t>L000194</t>
  </si>
  <si>
    <t xml:space="preserve">ACC. GOMA P/COLECTOR TF. </t>
  </si>
  <si>
    <t>L000195</t>
  </si>
  <si>
    <t>KIT DE GOMAS DE MR2</t>
  </si>
  <si>
    <t>L000196</t>
  </si>
  <si>
    <t>4 bobinas de papel de doble hoja, precortadas de 680 toallad de 24x24 cm</t>
  </si>
  <si>
    <t>L000197</t>
  </si>
  <si>
    <t>TO ELITE INT 6P SH BEIGE x 2500 usos</t>
  </si>
  <si>
    <t>L000198</t>
  </si>
  <si>
    <t>TO ELITE INT 6P SH EXT BCA x 2500 usos</t>
  </si>
  <si>
    <t>L000199</t>
  </si>
  <si>
    <t>TO ELITE INT 6P SH BLANCA x  2500 usos</t>
  </si>
  <si>
    <t>L000200</t>
  </si>
  <si>
    <t>TO ELITE INT 4P SH EXT BCA x 2500 usos</t>
  </si>
  <si>
    <t>L000201</t>
  </si>
  <si>
    <t>TO ELITE INT 4P SH BLANCA x 2500 usos</t>
  </si>
  <si>
    <t>L000202</t>
  </si>
  <si>
    <t>TO ELITE INT 4P SH BEIGE x 2500 usos</t>
  </si>
  <si>
    <t>L000203</t>
  </si>
  <si>
    <t>TO ELITE INT 4P SH BEIGE ECON x 2500 usos</t>
  </si>
  <si>
    <t>L000204</t>
  </si>
  <si>
    <t>TO ELITE INT 3P SH EXT BCA x  2500 usos</t>
  </si>
  <si>
    <t>L000205</t>
  </si>
  <si>
    <t>TO ELITE INT 3P SH TOP x 2500 usos</t>
  </si>
  <si>
    <t>L000206</t>
  </si>
  <si>
    <t>TO ELITE INT 3P SH BCA x 2500 usos</t>
  </si>
  <si>
    <t>L000207</t>
  </si>
  <si>
    <t>BP ELITE BOB INDUST 400M DH EXT BCA x 2</t>
  </si>
  <si>
    <t>L000208</t>
  </si>
  <si>
    <t>BP ELITE BOB INDUST 400M SH BEIGE x 2</t>
  </si>
  <si>
    <t>L000209</t>
  </si>
  <si>
    <t>TO ELITE ATMOS 150 Mts DH PREMIUM X 2</t>
  </si>
  <si>
    <t>L000210</t>
  </si>
  <si>
    <t>TO ELITE ATMOS 310 Mts SH PREMIUM X 2</t>
  </si>
  <si>
    <t>L000211</t>
  </si>
  <si>
    <t>inyector de lavado DX</t>
  </si>
  <si>
    <t>L000212</t>
  </si>
  <si>
    <t>T de lavado y T inyector DX</t>
  </si>
  <si>
    <t>L000213</t>
  </si>
  <si>
    <t>tapon lavado ordene DX 2,5 "</t>
  </si>
  <si>
    <t>L000214</t>
  </si>
  <si>
    <t>tapon lavado ordene DX 3 "</t>
  </si>
  <si>
    <t>L000215</t>
  </si>
  <si>
    <t>Electrobomba DX trifasica</t>
  </si>
  <si>
    <t>L000216</t>
  </si>
  <si>
    <t>Electrobomba DX monofasica</t>
  </si>
  <si>
    <t>L000217</t>
  </si>
  <si>
    <t>soporte electrobomba DX</t>
  </si>
  <si>
    <t>L000218</t>
  </si>
  <si>
    <t>curva final de caneria DX 2,5 "</t>
  </si>
  <si>
    <t>L000219</t>
  </si>
  <si>
    <t>curva final de caneria DX 3 "</t>
  </si>
  <si>
    <t>L000220</t>
  </si>
  <si>
    <t>recibidor 55 litros con trampa DX</t>
  </si>
  <si>
    <t>L000221</t>
  </si>
  <si>
    <t>Paños reutilizables lava/seca ubre</t>
  </si>
  <si>
    <t>L000222</t>
  </si>
  <si>
    <t>ALKATAB, 4,5 kgrs</t>
  </si>
  <si>
    <t>L000223</t>
  </si>
  <si>
    <t>ACIDTAB, 3 kgrs</t>
  </si>
  <si>
    <t>L000224</t>
  </si>
  <si>
    <t>CHLORTAB, 3 kgrs LB</t>
  </si>
  <si>
    <t>L000225</t>
  </si>
  <si>
    <t>ALKACLOR TAB, 4,5 kgrs</t>
  </si>
  <si>
    <t>L000226</t>
  </si>
  <si>
    <t>Surge 3194 6,5 X 62</t>
  </si>
  <si>
    <t>L000227</t>
  </si>
  <si>
    <t>FILTRO SURGE 5" 13 X 92</t>
  </si>
  <si>
    <t>L000228</t>
  </si>
  <si>
    <t>N/Pulse 9,5 X 62</t>
  </si>
  <si>
    <t>L000229</t>
  </si>
  <si>
    <t>FILTRO WESTFALIA  80  8,5 X 80</t>
  </si>
  <si>
    <t>L000230</t>
  </si>
  <si>
    <t>WAIKATO CORTO 8,5 X 45</t>
  </si>
  <si>
    <t>L000231</t>
  </si>
  <si>
    <t>Filtro especial 12,5x 85</t>
  </si>
  <si>
    <t>L000232</t>
  </si>
  <si>
    <t>Westfalia corto  6,5x45</t>
  </si>
  <si>
    <t>L000233</t>
  </si>
  <si>
    <t>Filtro Jumbo 15x61</t>
  </si>
  <si>
    <t>L000234</t>
  </si>
  <si>
    <t>Rodeg 9,5 x 66</t>
  </si>
  <si>
    <t>L000235</t>
  </si>
  <si>
    <t>WAIKATO  LARGO 8,5 X 62</t>
  </si>
  <si>
    <t>L000236</t>
  </si>
  <si>
    <t>Boumatic 4 " RODEG ESPECIAL 15,5 X 106</t>
  </si>
  <si>
    <t>L000237</t>
  </si>
  <si>
    <t>cano galvanizado por 1 metro</t>
  </si>
  <si>
    <t>L000238</t>
  </si>
  <si>
    <t>pasador en cruz para 1,5 "</t>
  </si>
  <si>
    <t>L000239</t>
  </si>
  <si>
    <t>abrazadera inoxidable 63/75 mm</t>
  </si>
  <si>
    <t>L000240</t>
  </si>
  <si>
    <t>soporte de acero inox de 2,5 "</t>
  </si>
  <si>
    <t>L000241</t>
  </si>
  <si>
    <t>soporte de acero inox de 3 "</t>
  </si>
  <si>
    <t>L000242</t>
  </si>
  <si>
    <t>Trombon para equipo unilinea de 2,5 "</t>
  </si>
  <si>
    <t>L000243</t>
  </si>
  <si>
    <t>Trombon para equipo unilinea de 3 "</t>
  </si>
  <si>
    <t>L000244</t>
  </si>
  <si>
    <t>T de lavado para tapones e injector DX 2,5 "</t>
  </si>
  <si>
    <t>L000245</t>
  </si>
  <si>
    <t>T de lavado para tapones e injector DX 3 "</t>
  </si>
  <si>
    <t>L000246</t>
  </si>
  <si>
    <t>cepillo lava colector</t>
  </si>
  <si>
    <t>L000247</t>
  </si>
  <si>
    <t>cepillo lava pezonera</t>
  </si>
  <si>
    <t>L000248</t>
  </si>
  <si>
    <t>cepillo lava pezonera reforzado</t>
  </si>
  <si>
    <t>L000249</t>
  </si>
  <si>
    <t>cepillo lava manguera (baqueta) 25 mm x 2,5 m</t>
  </si>
  <si>
    <t>L000250</t>
  </si>
  <si>
    <t>cepillo lava manguera x 7 m</t>
  </si>
  <si>
    <t>L000251</t>
  </si>
  <si>
    <t>cepillo lava tarro con mango</t>
  </si>
  <si>
    <t>L000252</t>
  </si>
  <si>
    <t>cepillo lava tarro plano</t>
  </si>
  <si>
    <t>L000253</t>
  </si>
  <si>
    <t>cepillo barrendero</t>
  </si>
  <si>
    <t>L000254</t>
  </si>
  <si>
    <t>baqueta de 51 mm x 7m lava caneria</t>
  </si>
  <si>
    <t>L000255</t>
  </si>
  <si>
    <t>cepillo para boca de tanque</t>
  </si>
  <si>
    <t>L000256</t>
  </si>
  <si>
    <t>Plaqueta de control electrobomba temporizada retardada con control de sensibilidad.</t>
  </si>
  <si>
    <t>L000257</t>
  </si>
  <si>
    <t>Plaqueta de control de inyección de aire</t>
  </si>
  <si>
    <t>L000258</t>
  </si>
  <si>
    <t>Temporizador cíclico</t>
  </si>
  <si>
    <t>L000259</t>
  </si>
  <si>
    <t>Retardador de arranque</t>
  </si>
  <si>
    <t>L000260</t>
  </si>
  <si>
    <t>Plaqueta pulsador 4 canales Master</t>
  </si>
  <si>
    <t>L000261</t>
  </si>
  <si>
    <t>Plaqueta pulsador 4 canales Esclavo</t>
  </si>
  <si>
    <t>L000262</t>
  </si>
  <si>
    <t>Plaqueta pulsador 2Ch / Iny Aire</t>
  </si>
  <si>
    <t>L000263</t>
  </si>
  <si>
    <t>Control electrobomba monofásico convertible trifásico, s/relevo térmico</t>
  </si>
  <si>
    <t>L000264</t>
  </si>
  <si>
    <t>Control electrobomba trifásica 1HP c/variador alim 220Vca SIEMENS</t>
  </si>
  <si>
    <t>L000265</t>
  </si>
  <si>
    <t>Control electrobomba trifásica 2HP c/variador alim 220Vca SIEMENS</t>
  </si>
  <si>
    <t>L000266</t>
  </si>
  <si>
    <t>Panel BOP SIEMENS SINAMICS P/G110 (BOP-S)(6SL3255-0AA00-4BA1)</t>
  </si>
  <si>
    <t>L000267</t>
  </si>
  <si>
    <t>Control de inyección de aire</t>
  </si>
  <si>
    <t>L000268</t>
  </si>
  <si>
    <t>Pulsador 4 canales para 4 master (1 por canal)</t>
  </si>
  <si>
    <t>L000269</t>
  </si>
  <si>
    <t>Pulsador 4 canales para 12 master (3 por canal)</t>
  </si>
  <si>
    <t>L000270</t>
  </si>
  <si>
    <t>Fuente 12Vcc 20A</t>
  </si>
  <si>
    <t>L000271</t>
  </si>
  <si>
    <t>Fuente 12Vcc 1A</t>
  </si>
  <si>
    <t>L000272</t>
  </si>
  <si>
    <t>Control de Racionado analógico-trifásico</t>
  </si>
  <si>
    <t>L000273</t>
  </si>
  <si>
    <t>FILTRO ALFA LAVAL 6" 15,5 X 92</t>
  </si>
  <si>
    <t>L000274</t>
  </si>
  <si>
    <t>FILTRO ALFA LAVAL CORTO 6,5X35</t>
  </si>
  <si>
    <t>L000275</t>
  </si>
  <si>
    <t>L000276</t>
  </si>
  <si>
    <t>FILTRO SURGE 3" 9,5X56</t>
  </si>
  <si>
    <t>L000277</t>
  </si>
  <si>
    <t>SURGE 3195 15,5X85 (igual boumatic)</t>
  </si>
  <si>
    <t>L000278</t>
  </si>
  <si>
    <t>CEPILLO LAVA MANGUERA 25MM</t>
  </si>
  <si>
    <t>L000279</t>
  </si>
  <si>
    <t>CEPILLO LAVA CAÑERIAS 38MM X 2,5ML</t>
  </si>
  <si>
    <t>L000280</t>
  </si>
  <si>
    <t>CEPILLO LAVA CAÑERIAS 51MM X 2,5ML</t>
  </si>
  <si>
    <t>L000281</t>
  </si>
  <si>
    <t>CEPILLO LAVA CAÑERIAS 51MM X 7ML</t>
  </si>
  <si>
    <t>L000282</t>
  </si>
  <si>
    <t>CEPILLO LAVA CAÑERIAS 73MM X 5ML</t>
  </si>
  <si>
    <t>L000283</t>
  </si>
  <si>
    <t>CEPILLO LAVA CAÑERIAS 73MM X 2,50ML</t>
  </si>
  <si>
    <t>L000284</t>
  </si>
  <si>
    <t>CEPILLO BARRENDERO 0,30CM (base de PVC)</t>
  </si>
  <si>
    <t>L000285</t>
  </si>
  <si>
    <t>CABOS PARA ESCOBAS</t>
  </si>
  <si>
    <t>L000286</t>
  </si>
  <si>
    <t>CABOS PARA BARRENDEROS</t>
  </si>
  <si>
    <t>L000287</t>
  </si>
  <si>
    <t>TAPON DE GOMA 38MM</t>
  </si>
  <si>
    <t>L000288</t>
  </si>
  <si>
    <t>TAPON DE GOMA 75MM</t>
  </si>
  <si>
    <t>L000289</t>
  </si>
  <si>
    <t>CODO DE GOMA DE 38MM</t>
  </si>
  <si>
    <t>L000290</t>
  </si>
  <si>
    <t>CODO DE GOMA DE 75MM</t>
  </si>
  <si>
    <t>L000291</t>
  </si>
  <si>
    <t>Abrazadera 32 x 1/2" M.</t>
  </si>
  <si>
    <t>L000292</t>
  </si>
  <si>
    <t>Abrazadera 50 rosca Otha</t>
  </si>
  <si>
    <t>L000293</t>
  </si>
  <si>
    <t>Abrazadera 50 x 1" H</t>
  </si>
  <si>
    <t>L000294</t>
  </si>
  <si>
    <t>Abrazadera 50 x 1" M.</t>
  </si>
  <si>
    <t>L000295</t>
  </si>
  <si>
    <t>Abrazadera 50 x 1/2" H</t>
  </si>
  <si>
    <t>L000296</t>
  </si>
  <si>
    <t>Abrazadera 50 x 1/4" H</t>
  </si>
  <si>
    <t>L000297</t>
  </si>
  <si>
    <t>Abrazadera 50 x 3/4" H</t>
  </si>
  <si>
    <t>L000298</t>
  </si>
  <si>
    <t>Abrazadera 50 x 3/4" M</t>
  </si>
  <si>
    <t>L000299</t>
  </si>
  <si>
    <t>Abrazadera 63 rosca Otha</t>
  </si>
  <si>
    <t>L000301</t>
  </si>
  <si>
    <t>Abrazadera 75 x 1¨ H</t>
  </si>
  <si>
    <t>L000302</t>
  </si>
  <si>
    <t>Abrazadera manguera 15 x 24</t>
  </si>
  <si>
    <t>L000303</t>
  </si>
  <si>
    <t>Abrazadera p/ caño de lavado</t>
  </si>
  <si>
    <t>L000305</t>
  </si>
  <si>
    <t>Aceitero p/bomba de vacío</t>
  </si>
  <si>
    <t>L000306</t>
  </si>
  <si>
    <t>Acople con rosca OTHA</t>
  </si>
  <si>
    <t>L000307</t>
  </si>
  <si>
    <t>Acople interpuls</t>
  </si>
  <si>
    <t>L000308</t>
  </si>
  <si>
    <t>Aireador TF</t>
  </si>
  <si>
    <t>L000309</t>
  </si>
  <si>
    <t>Alambre Acero TF</t>
  </si>
  <si>
    <t>L000310</t>
  </si>
  <si>
    <t>Base aceitero con bronces</t>
  </si>
  <si>
    <t>L000311</t>
  </si>
  <si>
    <t>Base Casquillo Agri de Policarbonato</t>
  </si>
  <si>
    <t>L000312</t>
  </si>
  <si>
    <t>Base Casquillo Irlanda de Policarbonato</t>
  </si>
  <si>
    <t>L000313</t>
  </si>
  <si>
    <t>Base Casquillo Ovalado de Policarbonato</t>
  </si>
  <si>
    <t>L000314</t>
  </si>
  <si>
    <t>Base casquillo</t>
  </si>
  <si>
    <t>L000315</t>
  </si>
  <si>
    <t>Cabezal trampa</t>
  </si>
  <si>
    <t>L000316</t>
  </si>
  <si>
    <t>Casquillo Agri</t>
  </si>
  <si>
    <t>L000317</t>
  </si>
  <si>
    <t>Casquillo de Acero Agri</t>
  </si>
  <si>
    <t>L000318</t>
  </si>
  <si>
    <t>Casquillo de Acero Irlanda</t>
  </si>
  <si>
    <t>L000319</t>
  </si>
  <si>
    <t>Casquillo de Acero Ovalado</t>
  </si>
  <si>
    <t>L000320</t>
  </si>
  <si>
    <t>Codo p/manguera rosca 1/2'</t>
  </si>
  <si>
    <t>L000321</t>
  </si>
  <si>
    <t>Colector C-300 c/ 3 trabas completos</t>
  </si>
  <si>
    <t>L000322</t>
  </si>
  <si>
    <t>Colector C-300 c/ rosca Irlanda completo</t>
  </si>
  <si>
    <t>L000323</t>
  </si>
  <si>
    <t>Cono reductor p/bomba de leche 38 x 1"</t>
  </si>
  <si>
    <t>L000324</t>
  </si>
  <si>
    <t>Contrapeso plomo p/garra</t>
  </si>
  <si>
    <t>L000325</t>
  </si>
  <si>
    <t>Distribuidor completo bosio irlanda</t>
  </si>
  <si>
    <t>L000326</t>
  </si>
  <si>
    <t>Distribuidor de lavado laval completo</t>
  </si>
  <si>
    <t>L000327</t>
  </si>
  <si>
    <t>L000328</t>
  </si>
  <si>
    <t>Distribuidor de lavado</t>
  </si>
  <si>
    <t>L000329</t>
  </si>
  <si>
    <t>Distribuidor de paso alternado pc</t>
  </si>
  <si>
    <t>L000330</t>
  </si>
  <si>
    <t>Distribuidor de paso simultáneo pc</t>
  </si>
  <si>
    <t>L000331</t>
  </si>
  <si>
    <t>Distribuidor tipo bosio Irlanda</t>
  </si>
  <si>
    <t>L000332</t>
  </si>
  <si>
    <t>Doble T</t>
  </si>
  <si>
    <t>L000333</t>
  </si>
  <si>
    <t>L000334</t>
  </si>
  <si>
    <t>Frasco trampa acrílico</t>
  </si>
  <si>
    <t>L000335</t>
  </si>
  <si>
    <t>Garra completa de Pc. Alternada</t>
  </si>
  <si>
    <t>L000336</t>
  </si>
  <si>
    <t>Garra completa de Pc. Simultanea</t>
  </si>
  <si>
    <t>L000337</t>
  </si>
  <si>
    <t>Garra completa TF 360</t>
  </si>
  <si>
    <t>L000338</t>
  </si>
  <si>
    <t>Invertidor p/bomba doble neum</t>
  </si>
  <si>
    <t>L000339</t>
  </si>
  <si>
    <t>Inyector de aire</t>
  </si>
  <si>
    <t>L000340</t>
  </si>
  <si>
    <t>Parte superior de garra alter. Polic</t>
  </si>
  <si>
    <t>L000341</t>
  </si>
  <si>
    <t>Parte superior de garra sim. Polic</t>
  </si>
  <si>
    <t>L000342</t>
  </si>
  <si>
    <t>Pezón Artificial</t>
  </si>
  <si>
    <t>L000343</t>
  </si>
  <si>
    <t>Pulsador 50-50 c/registro</t>
  </si>
  <si>
    <t>L000344</t>
  </si>
  <si>
    <t>Pulsador 50-50 s/registro</t>
  </si>
  <si>
    <t>L000345</t>
  </si>
  <si>
    <t>Pulsador 60-40 de ordeñe Neum</t>
  </si>
  <si>
    <t>L000346</t>
  </si>
  <si>
    <t>Pulsador descarga 11 Puls</t>
  </si>
  <si>
    <t>L000347</t>
  </si>
  <si>
    <t>Repetidor p/ordeñe doble</t>
  </si>
  <si>
    <t>L000348</t>
  </si>
  <si>
    <t>Repetidor simple p/descarga</t>
  </si>
  <si>
    <t>L000349</t>
  </si>
  <si>
    <t>Repetidor tipo MR2 de plastico</t>
  </si>
  <si>
    <t>L000350</t>
  </si>
  <si>
    <t>Robinete de vacío</t>
  </si>
  <si>
    <t>L000351</t>
  </si>
  <si>
    <t>Soporte p/ caños de 63x63x40 con cupla de 50mm</t>
  </si>
  <si>
    <t>L000352</t>
  </si>
  <si>
    <t>Soporte simple p/ caño de 38mm</t>
  </si>
  <si>
    <t>L000353</t>
  </si>
  <si>
    <t>Soporte simple p/ caño de 50mm</t>
  </si>
  <si>
    <t>L000354</t>
  </si>
  <si>
    <t>Tapa Acero TF</t>
  </si>
  <si>
    <t>L000355</t>
  </si>
  <si>
    <t>Unión doble 38 mm</t>
  </si>
  <si>
    <t>L000356</t>
  </si>
  <si>
    <t>Unión doble 38 mm. c/cupla</t>
  </si>
  <si>
    <t>L000357</t>
  </si>
  <si>
    <t>Unión doble 50 mm</t>
  </si>
  <si>
    <t>L000358</t>
  </si>
  <si>
    <t>Unión doble 50 mm. c/cupla</t>
  </si>
  <si>
    <t>L000359</t>
  </si>
  <si>
    <t>Vacuómetro 100 mm. rosca infer.de 1/2¨</t>
  </si>
  <si>
    <t>L000360</t>
  </si>
  <si>
    <t xml:space="preserve">Vacuómetro 63 mm. rosca infer.de 1/4¨ </t>
  </si>
  <si>
    <t>L000361</t>
  </si>
  <si>
    <t>Válvula reguladora hasta 800 lts</t>
  </si>
  <si>
    <t>L000362</t>
  </si>
  <si>
    <t>Válvula reguladora servo 3500 lts</t>
  </si>
  <si>
    <t>L000363</t>
  </si>
  <si>
    <t>Vaso Aplicador</t>
  </si>
  <si>
    <t>L000364</t>
  </si>
  <si>
    <t>ALAMBRE P/ FRASCO TRAMPA</t>
  </si>
  <si>
    <t>L000365</t>
  </si>
  <si>
    <t>CONO VALVULA SERVO</t>
  </si>
  <si>
    <t>L000366</t>
  </si>
  <si>
    <t>CORREA TF-350</t>
  </si>
  <si>
    <t>L000367</t>
  </si>
  <si>
    <t>CORREA TF-360</t>
  </si>
  <si>
    <t>L000368</t>
  </si>
  <si>
    <t>CUERPO DE PULSADOR</t>
  </si>
  <si>
    <t>L000369</t>
  </si>
  <si>
    <t>CUERPO REPETIDOR</t>
  </si>
  <si>
    <t>L000370</t>
  </si>
  <si>
    <t>EJE DE PULSADOR 50-50</t>
  </si>
  <si>
    <t>L000371</t>
  </si>
  <si>
    <t>EJE DE PULSADOR 60-40</t>
  </si>
  <si>
    <t>L000372</t>
  </si>
  <si>
    <t>EJE DE REPETIDOR</t>
  </si>
  <si>
    <t>L000373</t>
  </si>
  <si>
    <t>EJE REPETIDOR COMPLETO</t>
  </si>
  <si>
    <t>L000374</t>
  </si>
  <si>
    <t>FILTRO PULSADOR</t>
  </si>
  <si>
    <t>L000375</t>
  </si>
  <si>
    <t>FILTRO VÁLVULA SERVO</t>
  </si>
  <si>
    <t>L000376</t>
  </si>
  <si>
    <t>REDUCCIONES</t>
  </si>
  <si>
    <t>L000377</t>
  </si>
  <si>
    <t>REGISTRO DE VASO CON O´RING</t>
  </si>
  <si>
    <t>L000378</t>
  </si>
  <si>
    <t>TORNILLO BRONCE P/ VALV. SERVO</t>
  </si>
  <si>
    <t>L000379</t>
  </si>
  <si>
    <t>TRABA P/ABRAZADERA</t>
  </si>
  <si>
    <t>L000380</t>
  </si>
  <si>
    <t>VASO DE PULSADOR 60-40</t>
  </si>
  <si>
    <t>L000381</t>
  </si>
  <si>
    <t>VASO PULSADOR DESC. LARGO</t>
  </si>
  <si>
    <t>L000382</t>
  </si>
  <si>
    <t>RESORTE GRANDE VALVULA SERVO</t>
  </si>
  <si>
    <t>L000383</t>
  </si>
  <si>
    <t>ACC. DE GOMA P/ C-300</t>
  </si>
  <si>
    <t>L000384</t>
  </si>
  <si>
    <t>ACC. FRASCO SANITARIO</t>
  </si>
  <si>
    <t>L000385</t>
  </si>
  <si>
    <t>ACC. GOMA P/COLECT. N.PULSE</t>
  </si>
  <si>
    <t>L000386</t>
  </si>
  <si>
    <t>CUPLA CÓNICA PARA UNIONES DE 38 mm</t>
  </si>
  <si>
    <t>L000387</t>
  </si>
  <si>
    <t>CUPLA CÓNICA PARA UNIONES DE 50 mm</t>
  </si>
  <si>
    <t>L000388</t>
  </si>
  <si>
    <t>DIAFRAGMA CHICO VÁLVULA SERVO</t>
  </si>
  <si>
    <t>L000389</t>
  </si>
  <si>
    <t>DIAFRAGMA GRANDE  VÁLVULA SERVO</t>
  </si>
  <si>
    <t>L000390</t>
  </si>
  <si>
    <t>DIAFRAGMA PULSADOR</t>
  </si>
  <si>
    <t>L000391</t>
  </si>
  <si>
    <t>GOMITAS PARA EJE</t>
  </si>
  <si>
    <t>L000392</t>
  </si>
  <si>
    <t>GUARNICIÓN CABEZAL TRAMPA</t>
  </si>
  <si>
    <t>L000393</t>
  </si>
  <si>
    <t>GUARNICIÓN GARRA C-300</t>
  </si>
  <si>
    <t>L000394</t>
  </si>
  <si>
    <t>GUARNICION GARRA HCC</t>
  </si>
  <si>
    <t>L000395</t>
  </si>
  <si>
    <t>GUARNICIÓN GARRA IRLANDA</t>
  </si>
  <si>
    <t>L000396</t>
  </si>
  <si>
    <t>GUARNICIÓN GARRA MODELO NUEVO</t>
  </si>
  <si>
    <t>L000397</t>
  </si>
  <si>
    <t>GUARNICIÓN TF EXTERIOR</t>
  </si>
  <si>
    <t>L000398</t>
  </si>
  <si>
    <t>GUARNICIÓN TF INTERIOR</t>
  </si>
  <si>
    <t>L000399</t>
  </si>
  <si>
    <t>GUARNIXION GARRA N. PULSE</t>
  </si>
  <si>
    <t>L000400</t>
  </si>
  <si>
    <t>KIT DE REPARACIÓN INTERPULS</t>
  </si>
  <si>
    <t>L000401</t>
  </si>
  <si>
    <t>KIT DE REPARACIÓN VALVULA SERVO</t>
  </si>
  <si>
    <t>L000402</t>
  </si>
  <si>
    <t>TAPON COLECTOR HCC y N. PULSE</t>
  </si>
  <si>
    <t>L000403</t>
  </si>
  <si>
    <t>TAPON COLECTOR IRLANDA</t>
  </si>
  <si>
    <t>L000404</t>
  </si>
  <si>
    <t>TAPON FINAL DE CAÑERIA 1 1/2´</t>
  </si>
  <si>
    <t>L000405</t>
  </si>
  <si>
    <t>TAPON FINAL DE CAÑERIA 2´.</t>
  </si>
  <si>
    <t>L000406</t>
  </si>
  <si>
    <t>TAPON FINAL DE CAÑERIA 75 mm</t>
  </si>
  <si>
    <t>L000407</t>
  </si>
  <si>
    <t>TRABA CIERRE GARRA  IRLANDA - N.PULSE</t>
  </si>
  <si>
    <t>L000408</t>
  </si>
  <si>
    <t>TRABA CIERRE GARRA T.F-HCC</t>
  </si>
  <si>
    <t>L000409</t>
  </si>
  <si>
    <t>VALVULA C/SOPAPA DE 25 mm</t>
  </si>
  <si>
    <t>L000410</t>
  </si>
  <si>
    <t>VALVULA C/SOPAPA DE 38 mm</t>
  </si>
  <si>
    <t>L000411</t>
  </si>
  <si>
    <t>VALVULA C/SOPAPA DE 51 mm</t>
  </si>
  <si>
    <t>L000412</t>
  </si>
  <si>
    <t>VÁLVULA CIERRE DE GARRA N.PULSE</t>
  </si>
  <si>
    <t>L000413</t>
  </si>
  <si>
    <t>VALVULA CIERRE DE GARRA T.F.-HCC</t>
  </si>
  <si>
    <t>L000414</t>
  </si>
  <si>
    <t>VÁLVULA CIERRE GARRA IRLANDA</t>
  </si>
  <si>
    <t>L000415</t>
  </si>
  <si>
    <t>VALVULA DE DRENAJE DE 1/2</t>
  </si>
  <si>
    <t>L000416</t>
  </si>
  <si>
    <t>Curva 90 grados galvanizado M-H 1 1/2"</t>
  </si>
  <si>
    <t>L000421</t>
  </si>
  <si>
    <t>Curva 90 grados galvanizado M-H 1 1/4"</t>
  </si>
  <si>
    <t>L000423</t>
  </si>
  <si>
    <t>Polea mecanizada 2A-180</t>
  </si>
  <si>
    <t>L000424</t>
  </si>
  <si>
    <t>Niple plastico 1/2" x 2 1/2"largo</t>
  </si>
  <si>
    <t>L000425</t>
  </si>
  <si>
    <t>Soporte caño galvanizado 1 1/2" c/buje</t>
  </si>
  <si>
    <t>L000426</t>
  </si>
  <si>
    <t>Arandela traba grillón</t>
  </si>
  <si>
    <t>L000427</t>
  </si>
  <si>
    <t>Caño soporte retirador inox. 2" - Zig-Zag</t>
  </si>
  <si>
    <t>L000428</t>
  </si>
  <si>
    <t>Plegado apoyo cilindro GM</t>
  </si>
  <si>
    <t>L000429</t>
  </si>
  <si>
    <t>Caño galvanizado 1,5" diametro (por metro)</t>
  </si>
  <si>
    <t>L000430</t>
  </si>
  <si>
    <t>Abrazadera inoxidable 50/63 mm</t>
  </si>
  <si>
    <t>L000431</t>
  </si>
  <si>
    <t>Tablero control electrobomba DX monofásico 1HP</t>
  </si>
  <si>
    <t>L000432</t>
  </si>
  <si>
    <t>Tablero control electrobomba DX trifásico 1HP</t>
  </si>
  <si>
    <t>L000433</t>
  </si>
  <si>
    <t>Delaval Sr ( 67 X 11)</t>
  </si>
  <si>
    <t>L000434</t>
  </si>
  <si>
    <t>Filtro Boumatic (15X85)</t>
  </si>
  <si>
    <t>L000435</t>
  </si>
  <si>
    <t xml:space="preserve"> 6 Bovinas  toalla de papel centerpull doble/hoja (20X22 , 300 metros (1300 toallas por rollo) </t>
  </si>
  <si>
    <t>L000436</t>
  </si>
  <si>
    <t xml:space="preserve"> 6 Bovinas  toalla de papel  doble/hoja(20X22,5 , 150 metros (600 toallas por rollo) </t>
  </si>
  <si>
    <t>L000437</t>
  </si>
  <si>
    <t>Repetidor doble Gascoigne Melotte TL</t>
  </si>
  <si>
    <t>L000438</t>
  </si>
  <si>
    <t>Inyector de aire DX con control y fuente</t>
  </si>
  <si>
    <t>L000439</t>
  </si>
  <si>
    <t>Sensor de nivel para recibidor - DX</t>
  </si>
  <si>
    <t>L000440</t>
  </si>
  <si>
    <t>Recibidor 85 Lts DX</t>
  </si>
  <si>
    <t>L000441</t>
  </si>
  <si>
    <t>Recibidor 60 Lts DX</t>
  </si>
  <si>
    <t>L000442</t>
  </si>
  <si>
    <t>Tubo corto pulsado 210</t>
  </si>
  <si>
    <t>l000928</t>
  </si>
  <si>
    <t>toalla 2500 , 21x37 6 pliegues beige</t>
  </si>
  <si>
    <t>l000932</t>
  </si>
  <si>
    <t>toalla 2500 , 21x25 4 pliegues beige</t>
  </si>
  <si>
    <t>xxx</t>
  </si>
  <si>
    <t>BRACKETS, PVC TANK SUPPORT</t>
  </si>
  <si>
    <t>CHECK VALVE, VACUUM SWING, 2"</t>
  </si>
  <si>
    <t>PULLEY, MOTOR, 2B5.4, 2 GROOVE</t>
  </si>
  <si>
    <t>PULLEY, PUMP, SDS X 6.6PD, 2 G</t>
  </si>
  <si>
    <t>PULLEY, PUMP, 2B9.4, 2 GROOVE</t>
  </si>
  <si>
    <t>ELBOW, DRAIN, 1.5", W/FRLS, 7/</t>
  </si>
  <si>
    <t>STAND, VERT., FLOOR MIZER  W/B</t>
  </si>
  <si>
    <t>HANGER, MILKMASTER, 1.5" S.S.,</t>
  </si>
  <si>
    <t>HANGER, MILKMASTER, 2" S.S., B</t>
  </si>
  <si>
    <t>HANGER, MILKMASTER, 3", S.S.,</t>
  </si>
  <si>
    <t>CAP, SOLID END, 4", (16AMP)</t>
  </si>
  <si>
    <t>CSCR,HXH,5/16-18X1      ZP</t>
  </si>
  <si>
    <t>RECLAIMER, TUBEMIZER, 2" MASPO</t>
  </si>
  <si>
    <t>GASKET, NIPPLE, CLAMP-ON, 9/16</t>
  </si>
  <si>
    <t>VALVE,SOL,N/C,1/8 NPT,24 DC</t>
  </si>
  <si>
    <t>BODY,METER</t>
  </si>
  <si>
    <t>BAFFLE,METER</t>
  </si>
  <si>
    <t>PLUG,SAMPLER</t>
  </si>
  <si>
    <t>KIT,SERVICE,PERF 3000,MM</t>
  </si>
  <si>
    <t>DIAPHRAGM ASSY,METER REPL</t>
  </si>
  <si>
    <t>POWER SUPPLY,24VDC,4.0A,DIN</t>
  </si>
  <si>
    <t>SWITCH,DOOR,DETACHER,SS</t>
  </si>
  <si>
    <t>TAG,ID,EAR,ALLFLEX</t>
  </si>
  <si>
    <t>INDICATOR,HERD COMPANION</t>
  </si>
  <si>
    <t>PACKED PARTS,PAR CMP,W/MYI,VAC</t>
  </si>
  <si>
    <t>ENCLOSURE ASSY,PWR/COMM,MYI</t>
  </si>
  <si>
    <t>RETAINER,TEE,PULSATOR</t>
  </si>
  <si>
    <t>PLATE ASSY,POWER SUPPLY</t>
  </si>
  <si>
    <t>ENCLOSURE,HINGED,10X8X6,W/LABL</t>
  </si>
  <si>
    <t>CABLE,2-COND,18GA,BLU/WHT,500'</t>
  </si>
  <si>
    <t>CONNECTOR PKG,DETACHER</t>
  </si>
  <si>
    <t>ANTENNA,HDPE,60X100,ISO ID</t>
  </si>
  <si>
    <t>OUTLET ASSY,METER,SERV.</t>
  </si>
  <si>
    <t>MODULE,POWER SUPPLY,24V,ISO</t>
  </si>
  <si>
    <t>DIAPHRAGM ,VACUUM,PK OF 10</t>
  </si>
  <si>
    <t>CABLE,2-COND,16GA,500'</t>
  </si>
  <si>
    <t>SWITCH ASSY,VACUUM,5" HG</t>
  </si>
  <si>
    <t>CONTROL,TOUCHPOINT</t>
  </si>
  <si>
    <t>SWING ARM ASSY,W/CYLINDER</t>
  </si>
  <si>
    <t>CABLE ASSY,DC POWR,W/CAP,M,50'</t>
  </si>
  <si>
    <t>ENCLOSURE ASSY,DFLO,T-PNT</t>
  </si>
  <si>
    <t>GASKET,MANHOLE COVER</t>
  </si>
  <si>
    <t>TIMER,7-CAM,230/60</t>
  </si>
  <si>
    <t>CONTROL ASSY,DECO-MATIC III</t>
  </si>
  <si>
    <t>GEARMOTOR,AGIT,NORD,220V,50HZ</t>
  </si>
  <si>
    <t>PUMP,CHILLER,5HP,60HZ,230V,3PH</t>
  </si>
  <si>
    <t>PUMP PKG,WSHR,1.5HP,3-4000,50H</t>
  </si>
  <si>
    <t>THERMOSTAT ASSY,W/O CORD</t>
  </si>
  <si>
    <t>THERMOMETER,DIAL,3"</t>
  </si>
  <si>
    <t>THERMOWEL,TRI-CLAMP,THERMO</t>
  </si>
  <si>
    <t>KIT,CABLE,EMI,OPTI-FLO</t>
  </si>
  <si>
    <t>PACKED PARTS,GLCR 2500-4000</t>
  </si>
  <si>
    <t>WIRE HARNESS,MODULAR FAN UNIT</t>
  </si>
  <si>
    <t>THERMOWELL,CLAMP,2 IN.</t>
  </si>
  <si>
    <t>COOLER,PLATE,N35SC0.5</t>
  </si>
  <si>
    <t>BRACKET,WALL,N-SERIES PH</t>
  </si>
  <si>
    <t>VALVE,ACCESS,.25</t>
  </si>
  <si>
    <t>VALVE,EEV,7.5 TO 20HP,CAREL</t>
  </si>
  <si>
    <t>THERMA-STOR II-80-2</t>
  </si>
  <si>
    <t>COND UNIT,5HP,460/380,3PH,507</t>
  </si>
  <si>
    <t>CONTROL ASSY,CHILLGUARD</t>
  </si>
  <si>
    <t>VANE SET,MASPORT,M3,4/PK</t>
  </si>
  <si>
    <t>VANE SET,MASPORT,M5,4/PK</t>
  </si>
  <si>
    <t>VANE SET,MASPORT,M7.5,4/PK</t>
  </si>
  <si>
    <t>KIT,REPAIR,DV STYLE,NEW VER</t>
  </si>
  <si>
    <t>TEE,SS,2.5,CLP</t>
  </si>
  <si>
    <t>O-RING,0.239 X .070,BUNA-N</t>
  </si>
  <si>
    <t>SENSOR,IR,16</t>
  </si>
  <si>
    <t>VALVE ASSY,DRAIN</t>
  </si>
  <si>
    <t>FITTING,CLEANOUT,PVC,3",W/PLUG</t>
  </si>
  <si>
    <t>SOLENOID,DIVERTER,50HZ,230V</t>
  </si>
  <si>
    <t>VALVE,WATER,1.50NPT,220/240VAC</t>
  </si>
  <si>
    <t>VALVE,DRAIN,VACUUM,3/8 HOSE</t>
  </si>
  <si>
    <t>PULLEY,DBL-GRV, 7.0 PD</t>
  </si>
  <si>
    <t>SLEEVE,RBR,3.03/3.49,SS ELBOW</t>
  </si>
  <si>
    <t>SLEEVE,RBR,3.53/4.00,PVC VAC</t>
  </si>
  <si>
    <t>HANDLE,VALVE</t>
  </si>
  <si>
    <t>SLEEVE,VALVE,CLAW</t>
  </si>
  <si>
    <t>CYLINDER,AIR,2.00 X 12.00</t>
  </si>
  <si>
    <t>VALVE,4-WAY,5-PORT,2 POS</t>
  </si>
  <si>
    <t>BUSHING,NYLON,1.25X.50X.88 LG</t>
  </si>
  <si>
    <t>VALVE,GATE,4 IN,PVC</t>
  </si>
  <si>
    <t>HOSE,MILK,PLASTIC, .56 ID</t>
  </si>
  <si>
    <t>HOSE,U,GUARDIAN PUMP</t>
  </si>
  <si>
    <t>PUMP,CHEMICAL,GUARDIAN</t>
  </si>
  <si>
    <t>ADAPTER,2.00TRI-CLPX2.0NPT</t>
  </si>
  <si>
    <t>FILTER,MAIN,MARK II</t>
  </si>
  <si>
    <t>TANK,DIST,40 GAL,HORIZ,4"/6"</t>
  </si>
  <si>
    <t>CLAMP,SS,VALVE ASSY,1.5X3</t>
  </si>
  <si>
    <t>CLAMP,TUBE</t>
  </si>
  <si>
    <t>MOUNT ASSY,HOSE SUPPORT</t>
  </si>
  <si>
    <t>VALVE ASSY,PUSHBUTTON,3-WAY</t>
  </si>
  <si>
    <t>VALVE,EXHAUST CHK,2 IN,RUBBER</t>
  </si>
  <si>
    <t>PLUG ASSY,W/PULLEY,ROPE DETR</t>
  </si>
  <si>
    <t>DIAPHRAGM,DRAIN VALVE</t>
  </si>
  <si>
    <t>BOTTOM,CLAW,62,FLO-STAR X</t>
  </si>
  <si>
    <t>BUMPER &amp; STUD ASSY,FLO-STAR X</t>
  </si>
  <si>
    <t>SEAL,MILK PUMP,2 OR 3 HP</t>
  </si>
  <si>
    <t>COIL KIT,PULS,HIGH FLOW</t>
  </si>
  <si>
    <t>CONT,10HP/3PH,500V,ACS550</t>
  </si>
  <si>
    <t>ADAPTER,1/4HOSE X 1/4NPT</t>
  </si>
  <si>
    <t>PLUG,MILK,PLSTC,2.50,SHRT</t>
  </si>
  <si>
    <t>PLUG,WASH,PLSTC,2.50,LG</t>
  </si>
  <si>
    <t>PROBE ASSY,3"</t>
  </si>
  <si>
    <t>PUMP,CHEMICAL</t>
  </si>
  <si>
    <t>BUMPER &amp; STUD ASSY,1/4-28</t>
  </si>
  <si>
    <t>KIT,BOU-VAC FILTER</t>
  </si>
  <si>
    <t>ADAPTER,PVC,SPXM,1-1/2 X 1-1/4</t>
  </si>
  <si>
    <t>BUSHING,FLUSH,PVC,2 X 1-1/2</t>
  </si>
  <si>
    <t>ELBOW,90 DEG,PVC,SCH-40,2" ST</t>
  </si>
  <si>
    <t>SWITCH,TOGGLE,DPDT,VDE</t>
  </si>
  <si>
    <t>SWITCH,PB,SPST,MOM</t>
  </si>
  <si>
    <t>RCVR,60L,3E,1.5" OUTLET,BLANK</t>
  </si>
  <si>
    <t>RCVR,60L,BLANK,3A X 1.5</t>
  </si>
  <si>
    <t>BOTTOM,CLAW,.63,W/VALVE,WHT</t>
  </si>
  <si>
    <t>SWITCH,PRES,FILL</t>
  </si>
  <si>
    <t>CONT ASSY,LLC,230/380V,50/60HZ</t>
  </si>
  <si>
    <t>COUPLING,PVC,SCH-40,3   SXS</t>
  </si>
  <si>
    <t>TEE,PVC,SCH-40,3,SANIT   SXSXS</t>
  </si>
  <si>
    <t>LID,ACRYLIC,10</t>
  </si>
  <si>
    <t>GASKET,LID,10</t>
  </si>
  <si>
    <t>KIT,REPAIR,ELEC PLSR,SGL</t>
  </si>
  <si>
    <t>STAND,VERTICAL DIST TANK</t>
  </si>
  <si>
    <t>CLAMP, HINGED, 4", HVY DUTY</t>
  </si>
  <si>
    <t>CLEVIS ASSY,ROD</t>
  </si>
  <si>
    <t>KIT,REPAIR,AIR CYL,8.00,(F)</t>
  </si>
  <si>
    <t>VALVE,EXHAUST</t>
  </si>
  <si>
    <t>REGULATOR VALVE W/GAUGE,1/4NPT</t>
  </si>
  <si>
    <t>CYLINDER,GAS,SWG PLR</t>
  </si>
  <si>
    <t>BEND,DOGLEG,RCVR,CNTR MNT</t>
  </si>
  <si>
    <t>VALVE ASSY,MAIN AIR,90LX</t>
  </si>
  <si>
    <t>CYLINDER,LIFT,COMPLETE,90LX</t>
  </si>
  <si>
    <t>KIT,REPAIR,CYLINDER,90LX</t>
  </si>
  <si>
    <t>RESERVOIR,OIL,W/FILTER,90LX</t>
  </si>
  <si>
    <t>CLEVIS,CYLINDER ROD,90LX</t>
  </si>
  <si>
    <t>AIR BAG ASSY,INDEXING,90LX</t>
  </si>
  <si>
    <t>ROLLER,POST</t>
  </si>
  <si>
    <t>GUIDE,POST,SLIDER</t>
  </si>
  <si>
    <t>HOSE,RUBBER,1",90LX</t>
  </si>
  <si>
    <t>VALVE ASSY,DIVERTER,SS,3"</t>
  </si>
  <si>
    <t>PUMP,PAINTED,BP200,5H,DSL</t>
  </si>
  <si>
    <t>PUMP,PAINTED,BP400,5M,DSL</t>
  </si>
  <si>
    <t>KIT,REPAIR,HI-FLO PULSATOR</t>
  </si>
  <si>
    <t>SUPPORT ASSY,HOSE,5/8",XCAL360</t>
  </si>
  <si>
    <t>TEE ASSY,ADAPTER,AIR INJ,3"</t>
  </si>
  <si>
    <t>FILTER,FOAM,WITH SOLID CAP</t>
  </si>
  <si>
    <t>KIT,REBUILD,MIN,BV5000 REG,BM</t>
  </si>
  <si>
    <t>KIT,HEATSEEKER II,NECK</t>
  </si>
  <si>
    <t>SENSOR,PROXIMITY,INDUCTIVE</t>
  </si>
  <si>
    <t>PACKED PARTS,DUALFLO,COVERS,TP</t>
  </si>
  <si>
    <t>GASKET,LID,RECEIVER</t>
  </si>
  <si>
    <t>COUPLING,CU,7/8</t>
  </si>
  <si>
    <t>VACUUM PUMP, M-3 MASPORT, DBL</t>
  </si>
  <si>
    <t>BUSHING, PULLEY, 1-1/8", 5.0PD</t>
  </si>
  <si>
    <t>BUSHING, PULLEY, 1 3/8" SDS</t>
  </si>
  <si>
    <t>BUSHING, PULLEY, SK X 30mm</t>
  </si>
  <si>
    <t>VACUUM GAUGE, 2-1/2", GLYCERIN</t>
  </si>
  <si>
    <t>TANK, HORZ, 15" X 36", 30 GAL,</t>
  </si>
  <si>
    <t>TEE, REDUCING, 2.5" X 2.0", TC</t>
  </si>
  <si>
    <t>U-BEND,SS,MITER,W/FERL,2.5,6CC</t>
  </si>
  <si>
    <t>U-BEND,SS,MITER,W/FERL,3.0,6CC</t>
  </si>
  <si>
    <t>guard 100 x 13 kgrs</t>
  </si>
  <si>
    <t>guard 100 x 30 kgrs</t>
  </si>
  <si>
    <t>Acido Desincrustante DX x 13 kgrs</t>
  </si>
  <si>
    <t>Sellador 5000 ppm DX no drip x 25 kgrs</t>
  </si>
  <si>
    <t>Udder Blend G5 x 25</t>
  </si>
  <si>
    <t>blue max</t>
  </si>
  <si>
    <t>Alka DX,  Detergente alcalino clorado liquido 30 kilos</t>
  </si>
  <si>
    <t>Acido Desincrustante DX F x 24 kgrs</t>
  </si>
  <si>
    <t>PREVIUS (sellador 2500) X 25 LTS</t>
  </si>
  <si>
    <t>Udder Blend B5 (sellador barrera 5000 x 25 lts)</t>
  </si>
  <si>
    <t>UDDER BLEND B10 (sellador Barrera 10000 X 25 LTS)</t>
  </si>
  <si>
    <t>Blue Max no drip</t>
  </si>
  <si>
    <t>Blue Max Barrier</t>
  </si>
  <si>
    <t>Udder Blend G5 x 200</t>
  </si>
  <si>
    <t>Udder Blend G5 x 1000</t>
  </si>
  <si>
    <t>Udder Blend B5 (sellador barrera 5000 x 200 lts)</t>
  </si>
  <si>
    <t>Udder Blend B5 (sellador Barrera 5000 x 1000 LTS)</t>
  </si>
  <si>
    <t>UDDER BLEND B10 (sellador Barrera 10000 X 200 LTS)</t>
  </si>
  <si>
    <t>UDDER BLEND B10 (SELLADOR BARRERA 10000 X 1000 LTS</t>
  </si>
  <si>
    <t>GUARD 100 X 260 LTS</t>
  </si>
  <si>
    <t>GUARD 100 X 1300 LTS</t>
  </si>
  <si>
    <t>ACIDO DESINCRUSTANTE DX X 260 kilos</t>
  </si>
  <si>
    <t>ACIDO DESINCRUSTANTE DX  X 1300 kilos</t>
  </si>
  <si>
    <t>Sellador 5000 ppm DX no drip x 200 kgrs</t>
  </si>
  <si>
    <t>Sellador 5000 ppm DX no drip x 1000 kgrs</t>
  </si>
  <si>
    <t>BLUE MAX X 200 LTS</t>
  </si>
  <si>
    <t>BLUE MAX X 1000 LTS</t>
  </si>
  <si>
    <t>PREVIUS (sellador 2500) X 200 LTS</t>
  </si>
  <si>
    <t>PREVIUS (sellador 2500) X 1000 LTS</t>
  </si>
  <si>
    <t>BLUE MAX Supreme (no drip) X 200 LTS</t>
  </si>
  <si>
    <t>BLUE MAX Supreme (no drip) x 1000 LTS</t>
  </si>
  <si>
    <t>BLUE MAX Barrera X 200 LTS</t>
  </si>
  <si>
    <t>BLUE MAX Barrera X 1000 LTS</t>
  </si>
  <si>
    <t>Sellador 2500 ppm DX x 25 kgrs</t>
  </si>
  <si>
    <t>Sellador 2500 ppm DX x 200 kgrs</t>
  </si>
  <si>
    <t>Sellador 2500 ppm DX x 1000 kgrs</t>
  </si>
  <si>
    <t>Sellador 5000 ppmDX Barrier x 25 kgrs</t>
  </si>
  <si>
    <t>Sellador 5000 ppmDX Barrier x 200 kgrs</t>
  </si>
  <si>
    <t>Sellador 5000 ppmDX Barrier x 1000 kgrs</t>
  </si>
  <si>
    <t>Brilliance</t>
  </si>
  <si>
    <t>Kleenline</t>
  </si>
  <si>
    <t>UDDER BLEND G10 (bajo goteo 10000 X 25 LTS)</t>
  </si>
  <si>
    <t>UDDER BLEND G10 (bajo goteo  10000 X 200 LTS)</t>
  </si>
  <si>
    <t>UDDER BLEND G10 (bajo goteo  10000 X 1000 LTS)</t>
  </si>
  <si>
    <t>Acido Desincrustante DX  x 30 kgrs</t>
  </si>
  <si>
    <t>BEND MILK PUMP OUTLET MANUAL</t>
  </si>
  <si>
    <t>SCREW PAN HD SLT M4 X 40 STN S</t>
  </si>
  <si>
    <t>SEAL DUPAX 3/4 SHAFT MILK PUMP</t>
  </si>
  <si>
    <t>SEAL FACE CERAMIC MILK PUMP</t>
  </si>
  <si>
    <t>CLIP PIPE DIA51 PLASTIC</t>
  </si>
  <si>
    <t>CLAMP,PIPE,DIA63,PLASTIC</t>
  </si>
  <si>
    <t>CLAMP,PIPE,DIA75,PLASTIC</t>
  </si>
  <si>
    <t>CLIP PIPE DIA90 PLASTIC</t>
  </si>
  <si>
    <t>END TIP DIA7MM BLACK SR 1501 T</t>
  </si>
  <si>
    <t>PACK CARBINE HOOK (5)</t>
  </si>
  <si>
    <t>PACK DIAPHRAGM TYPE C</t>
  </si>
  <si>
    <t>PACK PIPELINE SEAL &amp; SUPPORT (</t>
  </si>
  <si>
    <t>KIT GUIDE CORD</t>
  </si>
  <si>
    <t>KIT,PULLEY &amp; FIXINGS,ACR RAM</t>
  </si>
  <si>
    <t>S0LENOID 7745160</t>
  </si>
  <si>
    <t>DIAPHRAGM,ISS M</t>
  </si>
  <si>
    <t>PIPELINE CLAMP</t>
  </si>
  <si>
    <t>GASKET FILTER HOUSING LECTRON</t>
  </si>
  <si>
    <t>BRACKET ISOLATOR 3</t>
  </si>
  <si>
    <t>CHEMINEE POUR ISOLATOR 3</t>
  </si>
  <si>
    <t>CAP LOWER RAM ISOLATOR 3</t>
  </si>
  <si>
    <t>LOCKING RING RAM ISOL 3</t>
  </si>
  <si>
    <t>DIAPHRAGM PISTON ASSEMBLY ISSU</t>
  </si>
  <si>
    <t>ISOLATOR 3 ACR RAM ASSY Grey</t>
  </si>
  <si>
    <t>BODY ASSEMBLY TWIN LECTRON</t>
  </si>
  <si>
    <t>VALVE ASSEMBLY SELF DRAINING</t>
  </si>
  <si>
    <t>Intercambiadores a placas</t>
  </si>
  <si>
    <t>Filtros de leche</t>
  </si>
  <si>
    <t>GUARDIAN SUPREME, valvulas agua 1/2", sin inyector de aire</t>
  </si>
  <si>
    <t>GUARDIAN SUPREME, valvulas agua 3/4", sin inyector de aire</t>
  </si>
  <si>
    <t>GUARDIAN SUPREME, valvulas agua 1/2", con inyector de aire</t>
  </si>
  <si>
    <t>GUARDIAN SUPREME, valvulas agua 3/4", con inyector de aire</t>
  </si>
  <si>
    <t>Lavadoras</t>
  </si>
  <si>
    <t>VALVE,RELIEF,250 CFM</t>
  </si>
  <si>
    <t>REGULATOR,VAC,BOUVAC 10000</t>
  </si>
  <si>
    <t>CONT AS,10HP/3PH,5HP/1PH,203V</t>
  </si>
  <si>
    <t>FILTER KIT,COW ID,3 PHASE, 4GA</t>
  </si>
  <si>
    <t>KNOCKOUT PUNCH,PG36</t>
  </si>
  <si>
    <t>CONT AS,20HP/3PH,10HP/1PH,230V</t>
  </si>
  <si>
    <t>Módulo de vacío para  900 a 1500 L/min - MASPORT</t>
  </si>
  <si>
    <t>Bombas de Vacio</t>
  </si>
  <si>
    <t>Recuperadores de Calor</t>
  </si>
  <si>
    <t>Elegir Cantidad</t>
  </si>
  <si>
    <t>LINER,MAG 400MX,VENTED,CS/100</t>
  </si>
  <si>
    <t>Descripcion</t>
  </si>
  <si>
    <t>P</t>
  </si>
  <si>
    <t>P. unitario</t>
  </si>
  <si>
    <t>cant</t>
  </si>
  <si>
    <t>Total</t>
  </si>
  <si>
    <t>Codigo</t>
  </si>
  <si>
    <t>Presentacion</t>
  </si>
  <si>
    <t>cant.</t>
  </si>
  <si>
    <t>.</t>
  </si>
  <si>
    <t xml:space="preserve">Mód. Code: </t>
  </si>
  <si>
    <t>M000xxx</t>
  </si>
  <si>
    <t>Unidad Final 85 Lts DualFlo con Inyector de aire Ciclone</t>
  </si>
  <si>
    <t>Part number</t>
  </si>
  <si>
    <t>Retail Price</t>
  </si>
  <si>
    <t>Quantities</t>
  </si>
  <si>
    <t>Sub Total</t>
  </si>
  <si>
    <t>M000027</t>
  </si>
  <si>
    <t>Curva final de cañería 3"</t>
  </si>
  <si>
    <t>Kit Recibidor 55L GM (Rcvr, milk pump, sani trap)</t>
  </si>
  <si>
    <t>Kit Recibidor 100L GM (Rcvr, milk pump, sani trap)</t>
  </si>
  <si>
    <t>Bomba monofásica BouMatic 1HP (1x220 Vca, 50Hz)</t>
  </si>
  <si>
    <t>Bomba trifásica BouMatic 1HP (3x380 Vca, 50Hz)</t>
  </si>
  <si>
    <t>Bomba trifásica BouMatic 2HP (60Hz)</t>
  </si>
  <si>
    <t>Bomba trifásica Gascoigne-Melotte 0,5HP</t>
  </si>
  <si>
    <t>Bomba trifásica Gascoigne-Melotte 1HP</t>
  </si>
  <si>
    <t>M000028</t>
  </si>
  <si>
    <t>Curva final de cañería 4"</t>
  </si>
  <si>
    <t>M000031</t>
  </si>
  <si>
    <t>T para lavado/ordeñe 3"</t>
  </si>
  <si>
    <t>M000032</t>
  </si>
  <si>
    <t>T para lavado/ordeñe 4"</t>
  </si>
  <si>
    <t>Unidad Final</t>
  </si>
  <si>
    <t>Gascoigne-Melotte Isolator XP Detacher</t>
  </si>
  <si>
    <t>Modulo Brazo de soporte</t>
  </si>
  <si>
    <t>cilindro</t>
  </si>
  <si>
    <t>comando a distancia</t>
  </si>
  <si>
    <t>modulo brazo</t>
  </si>
  <si>
    <t>soporte con buje</t>
  </si>
  <si>
    <t>grampa cruz</t>
  </si>
  <si>
    <t>brazo</t>
  </si>
  <si>
    <t>traba</t>
  </si>
  <si>
    <t>asiento cilindro</t>
  </si>
  <si>
    <t>abrazaderas para el cilindro</t>
  </si>
  <si>
    <t>abrazaderas para el asiento</t>
  </si>
  <si>
    <t>5450 - Cilindro PVC Quickstart, Shutoff vacio</t>
  </si>
  <si>
    <t>fuente</t>
  </si>
  <si>
    <t>ID ISO para entrada de sala - 2 lados</t>
  </si>
  <si>
    <t>Single Sort Gate con ISO ID</t>
  </si>
  <si>
    <t>linea media</t>
  </si>
  <si>
    <t>linea baja</t>
  </si>
  <si>
    <t>Presupuesto</t>
  </si>
  <si>
    <t>CONTROL ASSY,S-DAIRY,W/O SOFTW</t>
  </si>
  <si>
    <t>Controlador y software</t>
  </si>
  <si>
    <t>Dual Sort Gate con ISO ID</t>
  </si>
  <si>
    <t>LISTA DE PRECIOS</t>
  </si>
  <si>
    <t>DAIRY SOLUTIONS SRL</t>
  </si>
  <si>
    <t>Bombas de vacio lobulares + accesorios</t>
  </si>
  <si>
    <t>Pres.</t>
  </si>
  <si>
    <t>P.D Usd</t>
  </si>
  <si>
    <t>P.P Usd</t>
  </si>
  <si>
    <t>Incluye bomba, base, silenciador, cubre poleas y admision bomba. NO INCLUYE MOTOR</t>
  </si>
  <si>
    <t>Incluye base, silenciador, cubre poleas, admision. NO INCLUYE MOTOR</t>
  </si>
  <si>
    <t>Kit poleas bomba</t>
  </si>
  <si>
    <t>Kit poleas motor</t>
  </si>
  <si>
    <t>Aceite para bomba Lobular</t>
  </si>
  <si>
    <t>Bombas a paletas Masport + accesorios</t>
  </si>
  <si>
    <t>Bomba de vacio M3(VACUUM PUMP, ASSMB, M3 MASPORT) 900-1500L</t>
  </si>
  <si>
    <t>Bomba de vacio M5(VACUUM PUMP, ASSMB, M5/5HP  L/) 1450 L</t>
  </si>
  <si>
    <t>Bomba de vacio M5(VACUUM PUMP, ASSMB, M5/7.5HP L) 2100 L</t>
  </si>
  <si>
    <t>Bomba de vacio M 7.5(VACUUM PUMP, ASSMB, M7.5/10HP) 3000 L</t>
  </si>
  <si>
    <t>Bomba de vacio M 7.5(VACUUM PUMP, ASSMB, M7.5/7.5HP) 2400 L</t>
  </si>
  <si>
    <t>Incluye bomba, base, poleas, recuperador de aceite, valvula antiretorno y correas.</t>
  </si>
  <si>
    <t>Cabezal Bomba M3 (Solo cabezal)</t>
  </si>
  <si>
    <t>Cabezal bomba M5  (Solo cabezal)</t>
  </si>
  <si>
    <t>Cabezal bomba M7  (Solo cabezal)</t>
  </si>
  <si>
    <t>Paletas (Juego) bomba Masport 5</t>
  </si>
  <si>
    <t>Paletas (Juego) bomba Masport 7</t>
  </si>
  <si>
    <t>Paletas (Juego) bomba Masport 3</t>
  </si>
  <si>
    <t>Aceite para bombas Masport</t>
  </si>
  <si>
    <t xml:space="preserve">Aceite para bombas Masport </t>
  </si>
  <si>
    <t>Valvula reguladora de vacio + accesorios</t>
  </si>
  <si>
    <t>5000 L/M</t>
  </si>
  <si>
    <t>120 185 CFM 3500 A 5250 L/M</t>
  </si>
  <si>
    <t>0-85 CFM (Max 125 CFM) MAX 3500 L/M</t>
  </si>
  <si>
    <t>Valvula reguladora (Orion REGULATOR, VA, BOUVAC 1500)</t>
  </si>
  <si>
    <t>Filtros B1500-5000 (Pack x 6)</t>
  </si>
  <si>
    <t>Kit 1500 (Filtros, diafragmas)</t>
  </si>
  <si>
    <t>Kit 5000 (Filtros, diafragmas)</t>
  </si>
  <si>
    <t>Unidad de ordeño Boumatic, dispositivo de lavado + accesorios</t>
  </si>
  <si>
    <t>M000001</t>
  </si>
  <si>
    <t>Unidad de ordeño c/ corte sin soporte sin mangueras</t>
  </si>
  <si>
    <t>M000002</t>
  </si>
  <si>
    <t>Unidad de ordeño s/ corte sin soporte sin mangueras</t>
  </si>
  <si>
    <t xml:space="preserve">Kit reparacion unidad c/ corte (Para 10 unidades) </t>
  </si>
  <si>
    <t>Corte (Flechita Blanca-Handle Valve)</t>
  </si>
  <si>
    <t>Parte inferior colector con corte</t>
  </si>
  <si>
    <t xml:space="preserve">Kit reparacion unidad s/ corte (Para 10 unidades) </t>
  </si>
  <si>
    <t>Parte inferior colector sin corte</t>
  </si>
  <si>
    <t>Repuesto colector (Parte superior) Igual para ambos colectores</t>
  </si>
  <si>
    <t>Pulsadores Boumatic y Gascoignet + accesorios</t>
  </si>
  <si>
    <t>Protector Goma (Niple)</t>
  </si>
  <si>
    <t>Bovina p/ Pulsador C/S Filtrado</t>
  </si>
  <si>
    <t>Pulsador HiFlo Evolutions (NUEVO)</t>
  </si>
  <si>
    <t>Bovina Pulsador HiFlo Evolutions (NUEVO)</t>
  </si>
  <si>
    <t>Kit Reparacion Pulsador HiFlo Evolutions (NUEVO)</t>
  </si>
  <si>
    <t xml:space="preserve">Filtro </t>
  </si>
  <si>
    <t>Pulsador Gascoigne (2 SALIDAS)</t>
  </si>
  <si>
    <t>Pulsador Gascoigne (4 SALIDAS)</t>
  </si>
  <si>
    <t>Repetidor Gascoigne</t>
  </si>
  <si>
    <t>Kit reparacion pulsador Gm</t>
  </si>
  <si>
    <t>D385659</t>
  </si>
  <si>
    <t>Diafragma pulsador Gm</t>
  </si>
  <si>
    <t>Inyector de aire + accesorios</t>
  </si>
  <si>
    <t>Injector de Aire Bomatic (AIR INJ ASSY,CYCLONE 620,FIL)</t>
  </si>
  <si>
    <t>L000443</t>
  </si>
  <si>
    <t>Caja para Inyector nacional (Plaqueta importada)</t>
  </si>
  <si>
    <t>Plaqueta importada de inyector de aire</t>
  </si>
  <si>
    <t>Filtro de inyector</t>
  </si>
  <si>
    <t>Diafragma inyector de aire</t>
  </si>
  <si>
    <t>Transferencia de leche + accesorios</t>
  </si>
  <si>
    <t>Recibidor de leche</t>
  </si>
  <si>
    <t>Trampa sanitaria (3 IN)</t>
  </si>
  <si>
    <t xml:space="preserve">Bombas de leche </t>
  </si>
  <si>
    <t>Bomba de leche (PUMP,1HP,1PH,230V,50HZ,CCW) MONOFASICA</t>
  </si>
  <si>
    <t>Bomba de leche (PUMP,1HP,1PH,230V,50HZ,CCW) TRIFASICA</t>
  </si>
  <si>
    <t>Bomba de leche (0,75KW 3HP 220/380V) TRIFASICA</t>
  </si>
  <si>
    <t>Flap Bomba de leche Americana 1HP</t>
  </si>
  <si>
    <t>Sello Bomba de leche Americana 1HP</t>
  </si>
  <si>
    <t>Sello Bomba de leche Europea 1</t>
  </si>
  <si>
    <t>Sello Bomba de leche Europea 2</t>
  </si>
  <si>
    <t>D381473</t>
  </si>
  <si>
    <t xml:space="preserve">Accesorios cañeria de inoxidable </t>
  </si>
  <si>
    <t>Programadores de lavado automatico</t>
  </si>
  <si>
    <t>SOLENOIDE VALVULA DRENAJE</t>
  </si>
  <si>
    <t>Placas de enfriamiento</t>
  </si>
  <si>
    <t>GASKET,N 1,51MM,FRAME</t>
  </si>
  <si>
    <t>GASKET,N 1,PHX</t>
  </si>
  <si>
    <t>GASKET,N 1,SPECIAL,END</t>
  </si>
  <si>
    <t>PLATE,N 1,ALL OPEN</t>
  </si>
  <si>
    <t>PLATE,N 1,ALL BLOCKED</t>
  </si>
  <si>
    <t>Recuperador de calor</t>
  </si>
  <si>
    <t>ACCESORIOS VARIOS</t>
  </si>
  <si>
    <t>Tubos leche y vacio</t>
  </si>
  <si>
    <t>Manguera de leche 5/8 importada</t>
  </si>
  <si>
    <t>Tubo Corto(TUBE,7",PULSE,SHORT,CLR CS/100) TRANSPARENTE</t>
  </si>
  <si>
    <t>manguera de pulsado doble 2x7X12 Boumatic Nac.</t>
  </si>
  <si>
    <t>manguera de leche 16 x 27 mm Boumatic Nac.</t>
  </si>
  <si>
    <t>Pezoneras Boumatic, pezoneras Impotadas p/ otros modelos</t>
  </si>
  <si>
    <t>LINER,MAG FLEX 40,VENT,CS/100</t>
  </si>
  <si>
    <t>LINER,MAG FLEX 50,VENT,CS/100</t>
  </si>
  <si>
    <t>Aplicadores de sellador Boumatic</t>
  </si>
  <si>
    <t xml:space="preserve">Aplicador de sellador formador de espuma (MULTIFOAMER,AMBIC) </t>
  </si>
  <si>
    <t>Aplicador de sellador Nacional</t>
  </si>
  <si>
    <t>EXTRACTORES + REPUESTOS</t>
  </si>
  <si>
    <t>AMI 5450</t>
  </si>
  <si>
    <t>Control AMI 5450</t>
  </si>
  <si>
    <t>Frente AMI 5450 (Botonera)</t>
  </si>
  <si>
    <t>Sensor</t>
  </si>
  <si>
    <t>Bovina 24v</t>
  </si>
  <si>
    <t>Diafragma valvula de corte vacio</t>
  </si>
  <si>
    <t>TouchPoint</t>
  </si>
  <si>
    <t>Control touchpoint (Frente)</t>
  </si>
  <si>
    <t xml:space="preserve"> ViewPoint</t>
  </si>
  <si>
    <t>Switch (Boton)</t>
  </si>
  <si>
    <t>LED Rojo</t>
  </si>
  <si>
    <t>LED Rojo/Verde</t>
  </si>
  <si>
    <t>Control 4300</t>
  </si>
  <si>
    <t>LED Amarillo</t>
  </si>
  <si>
    <t xml:space="preserve">Medicion de leche </t>
  </si>
  <si>
    <t>Medidor LH</t>
  </si>
  <si>
    <t>Medidor RH</t>
  </si>
  <si>
    <t>Kit reparacion medidor (Oring, valvula, diafragma)</t>
  </si>
  <si>
    <t>Diafragma</t>
  </si>
  <si>
    <t>Plaqueta</t>
  </si>
  <si>
    <t>Valvula Solenoide</t>
  </si>
  <si>
    <t>VALVE, SHUT OFF, DELRIN, 3/4"</t>
  </si>
  <si>
    <t>Diafragma para ambas valvulas</t>
  </si>
  <si>
    <t>Shut off (Valvula vacio)</t>
  </si>
  <si>
    <t xml:space="preserve">Repuestos cilindro Boumatic, Gascoignet + vaso G </t>
  </si>
  <si>
    <t>Cilindro completo GM</t>
  </si>
  <si>
    <t>Cilindro completo BM</t>
  </si>
  <si>
    <t>Vaso completo isolator XP</t>
  </si>
  <si>
    <t>D480180x1</t>
  </si>
  <si>
    <t>Plaqueta vaso isolator XP</t>
  </si>
  <si>
    <t>Parte inferior (Entrada y salida)</t>
  </si>
  <si>
    <t>Milk seal</t>
  </si>
  <si>
    <t>Seal</t>
  </si>
  <si>
    <t>Valve</t>
  </si>
  <si>
    <t>Diafragma Lower</t>
  </si>
  <si>
    <t>Pack seal</t>
  </si>
  <si>
    <t>D382779</t>
  </si>
  <si>
    <t>Seal suitable</t>
  </si>
  <si>
    <t>Boton AutoStar</t>
  </si>
  <si>
    <t>Diafragma uper</t>
  </si>
  <si>
    <t xml:space="preserve">Cordon </t>
  </si>
  <si>
    <t>Piston completo con cordon</t>
  </si>
  <si>
    <t>Diafragma tela</t>
  </si>
  <si>
    <t>Cono plastico</t>
  </si>
  <si>
    <t>Diafragma goma</t>
  </si>
  <si>
    <t>Rosca cilindro</t>
  </si>
  <si>
    <t>Kit pole plastico</t>
  </si>
  <si>
    <t>Cap lower</t>
  </si>
  <si>
    <t>Solenoide 12v (Cilindro GM)</t>
  </si>
  <si>
    <t>Solenoide 24v (Cilindro BM)</t>
  </si>
  <si>
    <t>PKG,AMI5450,PVC CYLINDER</t>
  </si>
  <si>
    <t>DETACHER ASSY,5450</t>
  </si>
  <si>
    <t>CYLINDER ASSY,XP,BLU,4WIRE,24V</t>
  </si>
  <si>
    <t>KIT,HDW,5450,CYL MT</t>
  </si>
  <si>
    <t>ENCLOSURE ASSY,VALVE,5/32"-VAC</t>
  </si>
  <si>
    <t>PACKED PARTS,PARA/HERR,5450</t>
  </si>
  <si>
    <t>CABLE,4-COND,22GA,WYGBRN,328ft</t>
  </si>
  <si>
    <t>COMM. ASSY,PRISM-ONE DETACHER</t>
  </si>
  <si>
    <t>SDAIRY,PC SFTWR SUITE</t>
  </si>
  <si>
    <t>KIT,ID CONTL,ISOEID - 2 SIDES</t>
  </si>
  <si>
    <t>MODULE,CONTROL,ANT,ISO</t>
  </si>
  <si>
    <t>SHEET,POLYP,.75 X 37.50X 48.00</t>
  </si>
  <si>
    <t>MODULE,PAR,SORT,MOUNTING,ISO</t>
  </si>
  <si>
    <t>MODULE,SWITCH,PNEUMATIC,ISO</t>
  </si>
  <si>
    <t>CONT,10HP/3PH,5HP/1PH,230V,ACS</t>
  </si>
  <si>
    <t>CONT,20HP/3PH,10HP/1PH,230V</t>
  </si>
  <si>
    <t>Present.</t>
  </si>
  <si>
    <t>precio publico</t>
  </si>
  <si>
    <t>Costo por kgrs</t>
  </si>
  <si>
    <t>D00066</t>
  </si>
  <si>
    <t>Brilliance x 230 kgrs</t>
  </si>
  <si>
    <t>D00067</t>
  </si>
  <si>
    <t>Brilliance x 1150 kgrs</t>
  </si>
  <si>
    <t>Kleenline x 30 kgrs</t>
  </si>
  <si>
    <t>D00068</t>
  </si>
  <si>
    <t>Kleenline x 260 kgrs</t>
  </si>
  <si>
    <t>D00069</t>
  </si>
  <si>
    <t>Kleenline x 1300 kgrs</t>
  </si>
  <si>
    <t>Acid 60 x 30 Kgrs</t>
  </si>
  <si>
    <t>D00070</t>
  </si>
  <si>
    <t>Acid 60 x 260 kgrs</t>
  </si>
  <si>
    <t>D00071</t>
  </si>
  <si>
    <t>Acid 60 x 1300 kgrs</t>
  </si>
  <si>
    <t>Selladores</t>
  </si>
  <si>
    <t>PEZONERAS</t>
  </si>
  <si>
    <t>Pezonera venteada (flex 40)</t>
  </si>
  <si>
    <t>Pezonera venteada (flex 50)</t>
  </si>
  <si>
    <t>Brilliance x 260 kgrs</t>
  </si>
  <si>
    <t>SD BUNDLE HERD  1501 +</t>
  </si>
  <si>
    <t>SD BUNDLE HERD  1001-1500</t>
  </si>
  <si>
    <t>SD BUNDLE HERD  501-1000</t>
  </si>
  <si>
    <t>SD BUNDLE HERD  201-500</t>
  </si>
  <si>
    <t>SD BUNDLE HERD 1-200</t>
  </si>
  <si>
    <t>Extractores e indicadores</t>
  </si>
  <si>
    <t>CABLE,PROX SENSOR</t>
  </si>
  <si>
    <t>ISO ID, Sort Gate</t>
  </si>
  <si>
    <t>PUMP ASSY,AIR-STAR,7.5HP,DSL</t>
  </si>
  <si>
    <t>PUMP ASSY,AIR-STAR,10HP,DSL</t>
  </si>
  <si>
    <t>PUMP ASSY,AIR-STAR,15-20HP</t>
  </si>
  <si>
    <t>Código</t>
  </si>
  <si>
    <t>Intercambiador a placas N35, cunstruido en acero inoxidable, hasta 24 unidades, relacion 3:1</t>
  </si>
  <si>
    <t>Intercambiador a placas N37, cunstruido en acero inoxidable, hasta 50 unidades, relacion 3:1, placa itermedia que alarga la superficie de intercambio</t>
  </si>
  <si>
    <t>filtro de leche de 2,5 pulgadas de diametros hasta 24 unidades</t>
  </si>
  <si>
    <t>filtro de leche de 4 pulgadas de diametros hasta 24 unidades</t>
  </si>
  <si>
    <t>Programador de lavado Guardian , 2 valvulas de agua de 0,5 pulgada, valvula derivadora,valvula de bajo pileta</t>
  </si>
  <si>
    <t>Programador de lavado Suprime , 2 valvulas de agua de 0,75 pulgada, valvula derivadora,valvula de bajo pileta</t>
  </si>
  <si>
    <t>Programador de lavado Suprime , 2 valvulas de agua de 0,75 pulgada, valvula derivadora,valvula de bajo pileta, con inyector de aire</t>
  </si>
  <si>
    <t>Programador de lavado Suprime , 2 valvulas de agua de 0,5 pulgada, valvula derivadora,valvula de bajo pileta, con injector de aire</t>
  </si>
  <si>
    <t>recuperador de calor de 300 litros de capacidad  de un solo circuito para hsta 10 hp</t>
  </si>
  <si>
    <t>recuperador de calor de 450 litros de capacidad  de un dos circuito para hsta 10 hp</t>
  </si>
  <si>
    <t>recuperador de calor de 450 litros de capacidad  de un dos circuito para hsta 10 hp y resistencia electrica de 2000 volts</t>
  </si>
  <si>
    <t/>
  </si>
  <si>
    <t>010100100A</t>
  </si>
  <si>
    <t>010300100A</t>
  </si>
  <si>
    <t>060400200A</t>
  </si>
  <si>
    <t>060400300A</t>
  </si>
  <si>
    <t>060200500A</t>
  </si>
  <si>
    <t>060200600A</t>
  </si>
  <si>
    <t>060200625A</t>
  </si>
  <si>
    <t>050500100A</t>
  </si>
  <si>
    <t>050200500A</t>
  </si>
  <si>
    <t>060200650A</t>
  </si>
  <si>
    <t>060200655A</t>
  </si>
  <si>
    <t>050200220A</t>
  </si>
  <si>
    <t>050200203A</t>
  </si>
  <si>
    <t>050200202A</t>
  </si>
  <si>
    <t>050200800A</t>
  </si>
  <si>
    <t>050200230B</t>
  </si>
  <si>
    <t>050200113A</t>
  </si>
  <si>
    <t>050200110A</t>
  </si>
  <si>
    <t>040400210A</t>
  </si>
  <si>
    <t>060100155A</t>
  </si>
  <si>
    <t xml:space="preserve">050400205A    </t>
  </si>
  <si>
    <t>050200300A</t>
  </si>
  <si>
    <t xml:space="preserve">050200310A </t>
  </si>
  <si>
    <t>070700500A</t>
  </si>
  <si>
    <t>Robots y Opcionales</t>
  </si>
  <si>
    <t>Robots y Opcionales ( PRECIO EN EUROS)</t>
  </si>
  <si>
    <t>D00097</t>
  </si>
  <si>
    <t>D00097A</t>
  </si>
  <si>
    <t>D00097B</t>
  </si>
  <si>
    <t>D00072</t>
  </si>
  <si>
    <t>D00073</t>
  </si>
  <si>
    <t>D00074</t>
  </si>
  <si>
    <t>Sellador 10000 ppmDX Barrier x 25 kgrs</t>
  </si>
  <si>
    <t>Sellador 10000 ppmDX Barrier x 200 kgrs</t>
  </si>
  <si>
    <t>Sellador 10000 ppmDX Barrier x 1000 kgrs</t>
  </si>
  <si>
    <t>D00075</t>
  </si>
  <si>
    <t>D00076</t>
  </si>
  <si>
    <t>D00077</t>
  </si>
  <si>
    <t>OXIPRE x 25 kgrs</t>
  </si>
  <si>
    <t>OXIPRE x 200 kgrs</t>
  </si>
  <si>
    <t>OXIPRE x 1000 kgrs</t>
  </si>
  <si>
    <t>Soporte cañería con doble U plastificada</t>
  </si>
  <si>
    <t>Picos de leche</t>
  </si>
  <si>
    <t>Picos de lavado</t>
  </si>
  <si>
    <t>Unión 1,5" con cupla de goma</t>
  </si>
  <si>
    <t>Unión 3" con cupla de goma</t>
  </si>
  <si>
    <t>Unión 1,5" con férulas</t>
  </si>
  <si>
    <t>Unión 3" con férulas</t>
  </si>
  <si>
    <t>ELBOW,90 DEG,SS,CLP,2</t>
  </si>
  <si>
    <t>modulo basico de tuberia de vacio para la bomba de vacio y trampa</t>
  </si>
  <si>
    <t>L-BRACKET ASSY</t>
  </si>
  <si>
    <t>Uniones reforzadas pvc 3 "</t>
  </si>
  <si>
    <t xml:space="preserve">modulo tuberia de lavado de 2 " </t>
  </si>
  <si>
    <t>DBL linea de leche 3"</t>
  </si>
  <si>
    <t>modulo transferencia de tuberia de leche  y lavado 2 ", 12  cada una</t>
  </si>
  <si>
    <t>Modulo tuberia de vacio y pulsado de 3 " por 6 metros</t>
  </si>
  <si>
    <t>Caneria</t>
  </si>
  <si>
    <t>Alka DX,  Detergente alcalino clorado liquido  220 kilos</t>
  </si>
  <si>
    <t>Kleenline x 220 kgrs</t>
  </si>
  <si>
    <t>ACIDO DESINCRUSTANTE DX X 220 kilos</t>
  </si>
  <si>
    <t xml:space="preserve">FILTRO BOSIO MERIEL 8,5 X 66 </t>
  </si>
  <si>
    <t xml:space="preserve">FILTRO BOSIO 2 1/2 11 X 81 </t>
  </si>
  <si>
    <t xml:space="preserve">RODEG ESPECIAL 15,5 X 106 </t>
  </si>
  <si>
    <t>Boumatic 15,5 X 80</t>
  </si>
  <si>
    <t>Detergente Manual DS x 10 kgrs</t>
  </si>
  <si>
    <t>Detergente Manual DS x 200 kgrs</t>
  </si>
  <si>
    <t>Detergente Manual DS x 1000 kgrs</t>
  </si>
  <si>
    <t>REGULATOR,VAC,BOUVAC 1500</t>
  </si>
  <si>
    <t>Filtro (FILTER,AIR, 6,50 DIA X 3,00)injector</t>
  </si>
  <si>
    <t>Caja injector Nacional (plaqueta importada)</t>
  </si>
  <si>
    <t>FLAP-VALVE,MILK PUMP</t>
  </si>
  <si>
    <t>CONTROL ASSY,5450</t>
  </si>
  <si>
    <t>1</t>
  </si>
  <si>
    <t>COVER ASSY,5450</t>
  </si>
  <si>
    <t>KIT,5450,SENSOR MOUNTING</t>
  </si>
  <si>
    <t>LED INDICATOR ASSY,RED, 6"</t>
  </si>
  <si>
    <t>LED INDICATOR ASSY,RED/GRN</t>
  </si>
  <si>
    <t>LED INDICATOR ASSY,YELLOW, 4"</t>
  </si>
  <si>
    <t>LED INDICATOR ASSY,RED, 4"</t>
  </si>
  <si>
    <t>METER ASSY,LH,AIR</t>
  </si>
  <si>
    <t>METER ASSY,RH,AIR</t>
  </si>
  <si>
    <t>PWB ASSY,SMARTCONTROL</t>
  </si>
  <si>
    <t>SEAL CAP</t>
  </si>
  <si>
    <t>MR-S1 Stainless Basis (1 feed solid included)</t>
  </si>
  <si>
    <t>MR-D1 Stainless Basis (1 feed solid included)</t>
  </si>
  <si>
    <t xml:space="preserve">Extra feed type Robot/aliment supplementaire  </t>
  </si>
  <si>
    <t xml:space="preserve">Liquid feed pump / aliment liquide </t>
  </si>
  <si>
    <t>1 Bucket milk separation unit/ separation lait dans 1 direction  (par robot )</t>
  </si>
  <si>
    <t>4 Bucket milk separation unit/separation lait dans 4 directions  (par stalle))</t>
  </si>
  <si>
    <t>4 Bucket milk separation unit "de luxe"/separation du lait de luxe (tout inox)</t>
  </si>
  <si>
    <t>out-of Robot feed station including 1 feed/station d'alim supple 1alim.</t>
  </si>
  <si>
    <t>Extra feed type feed station/ aliment supplementaire par box</t>
  </si>
  <si>
    <t>SA twin filter MR S1</t>
  </si>
  <si>
    <t>SA twin filter MR d1</t>
  </si>
  <si>
    <t>one-way gate at exit milking robot/porte anti retour sortie robot</t>
  </si>
  <si>
    <t>2-way grazing gate Base Lift/porte pature 2 directions gauche</t>
  </si>
  <si>
    <t>2-way grazing gate Base right/ porte pature 2 directions doite</t>
  </si>
  <si>
    <t xml:space="preserve">Selection sensor (straw pack sensor) / detecteur de selection </t>
  </si>
  <si>
    <t>Extraselection door at exit milkingrobot/ porte de selection sortie robot (2 way sort gate robot)</t>
  </si>
  <si>
    <t>Sampling shuttle (rack 60 X 32,5 - Spoon 30cc)</t>
  </si>
  <si>
    <t>Sampling shuttle DE</t>
  </si>
  <si>
    <t xml:space="preserve">Farmer starter set EU/kit de demarrage farmer </t>
  </si>
  <si>
    <t>Stainless-steel entrance and exit gates/portes d'entree et sortie inox</t>
  </si>
  <si>
    <t>Infra Red Heater EU120V/ chauffage infra rouge EU 120V</t>
  </si>
  <si>
    <t>Milk Truck driver control box/camion ramassage contrôle box FR</t>
  </si>
  <si>
    <t>Milk Truck driver control box/camion ramassage contrôle box CSA</t>
  </si>
  <si>
    <t>Cell counter</t>
  </si>
  <si>
    <t>KIT,SINGLE,SORTING,ISO,EID</t>
  </si>
  <si>
    <t>GATE ASSY,57.00,SORTING</t>
  </si>
  <si>
    <t>MODULE,SORT,AUTO,ISO</t>
  </si>
  <si>
    <t>KIT,DUAL,SORTING,ISO,EID</t>
  </si>
  <si>
    <t>Unión 2" con férulas</t>
  </si>
  <si>
    <t>dif</t>
  </si>
  <si>
    <t>Cloro DX por 10 kilos</t>
  </si>
  <si>
    <t>Cloro DX por 25 kilos</t>
  </si>
  <si>
    <t>Cloro DX por 200 kilos</t>
  </si>
  <si>
    <t>Cloro DX por 1000kilos</t>
  </si>
  <si>
    <t>Variador de velocidad 10 HP 3 x 500Vca</t>
  </si>
  <si>
    <t>Variador de velocidad 15 HP 3 x 500Vca</t>
  </si>
  <si>
    <t>Variador de velocidad 20 HP 3 x 500Vca</t>
  </si>
  <si>
    <t>pesos</t>
  </si>
  <si>
    <t>D480197G</t>
  </si>
  <si>
    <t>D480197g</t>
  </si>
  <si>
    <t>CAJA,CONTROL,SMARTLITE</t>
  </si>
  <si>
    <t>SMARTLITE BTN KIT, PIPE, MOUNT</t>
  </si>
  <si>
    <t>SMARTCONNECT,CONTROLLER</t>
  </si>
  <si>
    <t>I4 CAJA CONJUNTO</t>
  </si>
  <si>
    <t>CABLE PS/NW, SMARTLITE 3T 15M</t>
  </si>
  <si>
    <t>PULSO MD NTWRK MOD INICIACN</t>
  </si>
  <si>
    <t>LUBRICANTE,GRASA,14OZ</t>
  </si>
  <si>
    <t>SUMINISTRO ELÉCTRICO CC,240W,24V</t>
  </si>
  <si>
    <t>MANGUERA,NYL,NAT,5/32 ODX100 PIES</t>
  </si>
  <si>
    <t>CONJUNTO DE CILINDRO,XP,AZU,3ALAMBRES,24V</t>
  </si>
  <si>
    <t>CONJUNTO DE SENSOR,CON BOQUILLA</t>
  </si>
  <si>
    <t>SOPORTE,RETIRADOR, MONTAJE CIL</t>
  </si>
  <si>
    <t>MANGUERA,SILICONA,0,25X0,09</t>
  </si>
  <si>
    <t>ABRAZADERA,MANGUERA,ACERO INOX., #44,1,38-3,25</t>
  </si>
  <si>
    <t>ABRAZADERA,MANGUERA,ACERO INOX., #36,1,80-2,75</t>
  </si>
  <si>
    <t>CSCR,HXH,ACERO INOX.,1/4-20 X 3/4</t>
  </si>
  <si>
    <t>TUERCA,HEX,ACERO INOX.,1/4-20</t>
  </si>
  <si>
    <t>ADAPTADOR,1/4MANGUERA X 1/4NPT</t>
  </si>
  <si>
    <t>CON,PULSADOR,1/4 X 1/4 NPT</t>
  </si>
  <si>
    <t>VÁLVULA,CONTROL,SMARTLITE,2X NO</t>
  </si>
  <si>
    <t>ARRESTOR,SURGE SECUNDARIO</t>
  </si>
  <si>
    <t>CONJUNTO DE INTERRUPTOR,VACÍO,5" HG</t>
  </si>
  <si>
    <t>PWR/COMM CABLE FEMALE 10M/30'</t>
  </si>
  <si>
    <t>POWER/COMM CAB MALE 10M/30'</t>
  </si>
  <si>
    <t>BOX,CONTROL,SMARTLITE</t>
  </si>
  <si>
    <t>I4 BOX ASSEMBLY</t>
  </si>
  <si>
    <t>TERM, PULSE MD, NTWRK</t>
  </si>
  <si>
    <t>DC POWER SUPPLY,240W,24V</t>
  </si>
  <si>
    <t>SENSOR ASSY,W/NIPPLE</t>
  </si>
  <si>
    <t>BRACKET,DETACHER, CYL MOUNT</t>
  </si>
  <si>
    <t>CLAMP,HOSE,SS, #44,1.38-3.25</t>
  </si>
  <si>
    <t>CLAMP,HOSE,SS, #36,1.80-2.75</t>
  </si>
  <si>
    <t>CSCR,HXH,SS,1/4-20 X 3/4</t>
  </si>
  <si>
    <t>NUT,HEX,SS,1/4-20</t>
  </si>
  <si>
    <t>VALVE,CONTROL,SMARTLITE,2X NO</t>
  </si>
  <si>
    <t>Extractor Smart Lite</t>
  </si>
  <si>
    <t>Costo</t>
  </si>
  <si>
    <t>GASKET,N 0.5,PHX</t>
  </si>
  <si>
    <t>GASKET,N 0.5,38MM,FRAME</t>
  </si>
  <si>
    <t>GASKET,N 0.5,PHX (35)</t>
  </si>
  <si>
    <t>GASKET,N 0.5,38MM,FRAME(4)</t>
  </si>
  <si>
    <t>GASKET,N 1,PHX(36)</t>
  </si>
  <si>
    <t>GASKET,N 1,SPECIAL,END(1)</t>
  </si>
  <si>
    <t>total</t>
  </si>
  <si>
    <t>Extractores e indicadores de produccion</t>
  </si>
  <si>
    <t>*pulsator</t>
  </si>
  <si>
    <t>Programador de lavado, placas y recuperadores</t>
  </si>
  <si>
    <t>Pulsado y filtros</t>
  </si>
  <si>
    <t>Brilliance x 30 kgrss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</si>
</sst>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 &quot;$&quot;\ * #,##0.00_ ;_ &quot;$&quot;\ * \-#,##0.00_ ;_ &quot;$&quot;\ * &quot;-&quot;??_ ;_ @_ 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-&quot;$&quot;\ * #,##0.00_-;\-&quot;$&quot;\ * #,##0.00_-;_-&quot;$&quot;\ * &quot;-&quot;??_-;_-@_-"/>
    <numFmt numFmtId="167" formatCode="_-* #,##0.00_-;\-* #,##0.00_-;_-* &quot;-&quot;??_-;_-@_-"/>
    <numFmt numFmtId="168" formatCode="_ [$$-2C0A]\ * #,##0.00_ ;_ [$$-2C0A]\ * \-#,##0.00_ ;_ [$$-2C0A]\ * &quot;-&quot;_ ;_ @_ "/>
    <numFmt numFmtId="169" formatCode="[$$-2C0A]\ #,##0.00"/>
    <numFmt numFmtId="170" formatCode="_([$€]* #,##0.00_);_([$€]* \(#,##0.00\);_([$€]* &quot;-&quot;??_);_(@_)"/>
  </numFmts>
  <fonts count="6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Verdana"/>
      <family val="2"/>
    </font>
    <font>
      <sz val="9"/>
      <color rgb="FFFF0000"/>
      <name val="Calibri"/>
      <family val="2"/>
      <scheme val="minor"/>
    </font>
    <font>
      <sz val="10"/>
      <color indexed="8"/>
      <name val="MS Sans Serif"/>
      <family val="2"/>
    </font>
    <font>
      <sz val="9"/>
      <color indexed="18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8"/>
      <color rgb="FF00000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8"/>
      <name val="Arial"/>
      <family val="2"/>
    </font>
    <font>
      <b/>
      <i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b/>
      <sz val="12"/>
      <name val="Arial"/>
      <family val="2"/>
    </font>
    <font>
      <b/>
      <sz val="9"/>
      <color theme="5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u/>
      <sz val="20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Verdana"/>
      <family val="2"/>
    </font>
  </fonts>
  <fills count="41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70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9" fillId="0" borderId="0"/>
    <xf numFmtId="0" fontId="1" fillId="0" borderId="0"/>
    <xf numFmtId="0" fontId="9" fillId="0" borderId="0">
      <alignment vertical="center"/>
    </xf>
    <xf numFmtId="0" fontId="9" fillId="0" borderId="0"/>
    <xf numFmtId="0" fontId="12" fillId="0" borderId="0"/>
    <xf numFmtId="0" fontId="15" fillId="0" borderId="0"/>
    <xf numFmtId="0" fontId="9" fillId="0" borderId="0"/>
    <xf numFmtId="0" fontId="15" fillId="0" borderId="0"/>
    <xf numFmtId="0" fontId="15" fillId="0" borderId="0"/>
    <xf numFmtId="170" fontId="1" fillId="0" borderId="0"/>
    <xf numFmtId="44" fontId="1" fillId="0" borderId="0" applyFont="0" applyFill="0" applyBorder="0" applyAlignment="0" applyProtection="0"/>
    <xf numFmtId="170" fontId="9" fillId="0" borderId="0"/>
    <xf numFmtId="170" fontId="19" fillId="0" borderId="0"/>
    <xf numFmtId="170" fontId="24" fillId="12" borderId="0" applyNumberFormat="0" applyBorder="0" applyAlignment="0" applyProtection="0"/>
    <xf numFmtId="170" fontId="24" fillId="13" borderId="0" applyNumberFormat="0" applyBorder="0" applyAlignment="0" applyProtection="0"/>
    <xf numFmtId="170" fontId="24" fillId="14" borderId="0" applyNumberFormat="0" applyBorder="0" applyAlignment="0" applyProtection="0"/>
    <xf numFmtId="170" fontId="24" fillId="15" borderId="0" applyNumberFormat="0" applyBorder="0" applyAlignment="0" applyProtection="0"/>
    <xf numFmtId="170" fontId="24" fillId="16" borderId="0" applyNumberFormat="0" applyBorder="0" applyAlignment="0" applyProtection="0"/>
    <xf numFmtId="170" fontId="24" fillId="17" borderId="0" applyNumberFormat="0" applyBorder="0" applyAlignment="0" applyProtection="0"/>
    <xf numFmtId="170" fontId="24" fillId="18" borderId="0" applyNumberFormat="0" applyBorder="0" applyAlignment="0" applyProtection="0"/>
    <xf numFmtId="170" fontId="24" fillId="19" borderId="0" applyNumberFormat="0" applyBorder="0" applyAlignment="0" applyProtection="0"/>
    <xf numFmtId="170" fontId="24" fillId="20" borderId="0" applyNumberFormat="0" applyBorder="0" applyAlignment="0" applyProtection="0"/>
    <xf numFmtId="170" fontId="24" fillId="15" borderId="0" applyNumberFormat="0" applyBorder="0" applyAlignment="0" applyProtection="0"/>
    <xf numFmtId="170" fontId="24" fillId="18" borderId="0" applyNumberFormat="0" applyBorder="0" applyAlignment="0" applyProtection="0"/>
    <xf numFmtId="170" fontId="24" fillId="21" borderId="0" applyNumberFormat="0" applyBorder="0" applyAlignment="0" applyProtection="0"/>
    <xf numFmtId="170" fontId="25" fillId="22" borderId="0" applyNumberFormat="0" applyBorder="0" applyAlignment="0" applyProtection="0"/>
    <xf numFmtId="170" fontId="25" fillId="19" borderId="0" applyNumberFormat="0" applyBorder="0" applyAlignment="0" applyProtection="0"/>
    <xf numFmtId="170" fontId="25" fillId="20" borderId="0" applyNumberFormat="0" applyBorder="0" applyAlignment="0" applyProtection="0"/>
    <xf numFmtId="170" fontId="25" fillId="23" borderId="0" applyNumberFormat="0" applyBorder="0" applyAlignment="0" applyProtection="0"/>
    <xf numFmtId="170" fontId="25" fillId="24" borderId="0" applyNumberFormat="0" applyBorder="0" applyAlignment="0" applyProtection="0"/>
    <xf numFmtId="170" fontId="25" fillId="25" borderId="0" applyNumberFormat="0" applyBorder="0" applyAlignment="0" applyProtection="0"/>
    <xf numFmtId="170" fontId="25" fillId="26" borderId="0" applyNumberFormat="0" applyBorder="0" applyAlignment="0" applyProtection="0"/>
    <xf numFmtId="170" fontId="25" fillId="27" borderId="0" applyNumberFormat="0" applyBorder="0" applyAlignment="0" applyProtection="0"/>
    <xf numFmtId="170" fontId="25" fillId="28" borderId="0" applyNumberFormat="0" applyBorder="0" applyAlignment="0" applyProtection="0"/>
    <xf numFmtId="170" fontId="25" fillId="23" borderId="0" applyNumberFormat="0" applyBorder="0" applyAlignment="0" applyProtection="0"/>
    <xf numFmtId="170" fontId="25" fillId="24" borderId="0" applyNumberFormat="0" applyBorder="0" applyAlignment="0" applyProtection="0"/>
    <xf numFmtId="170" fontId="25" fillId="29" borderId="0" applyNumberFormat="0" applyBorder="0" applyAlignment="0" applyProtection="0"/>
    <xf numFmtId="170" fontId="26" fillId="13" borderId="0" applyNumberFormat="0" applyBorder="0" applyAlignment="0" applyProtection="0"/>
    <xf numFmtId="170" fontId="27" fillId="30" borderId="31" applyNumberFormat="0" applyAlignment="0" applyProtection="0"/>
    <xf numFmtId="170" fontId="28" fillId="31" borderId="32" applyNumberFormat="0" applyAlignment="0" applyProtection="0"/>
    <xf numFmtId="164" fontId="24" fillId="0" borderId="0" applyFont="0" applyFill="0" applyBorder="0" applyAlignment="0" applyProtection="0"/>
    <xf numFmtId="49" fontId="22" fillId="32" borderId="8">
      <alignment horizontal="left" vertical="center"/>
    </xf>
    <xf numFmtId="170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170" fontId="29" fillId="0" borderId="0" applyNumberFormat="0" applyFill="0" applyBorder="0" applyAlignment="0" applyProtection="0"/>
    <xf numFmtId="170" fontId="30" fillId="14" borderId="0" applyNumberFormat="0" applyBorder="0" applyAlignment="0" applyProtection="0"/>
    <xf numFmtId="170" fontId="31" fillId="0" borderId="33" applyNumberFormat="0" applyFill="0" applyAlignment="0" applyProtection="0"/>
    <xf numFmtId="170" fontId="32" fillId="0" borderId="34" applyNumberFormat="0" applyFill="0" applyAlignment="0" applyProtection="0"/>
    <xf numFmtId="170" fontId="33" fillId="0" borderId="35" applyNumberFormat="0" applyFill="0" applyAlignment="0" applyProtection="0"/>
    <xf numFmtId="170" fontId="33" fillId="0" borderId="0" applyNumberFormat="0" applyFill="0" applyBorder="0" applyAlignment="0" applyProtection="0"/>
    <xf numFmtId="170" fontId="34" fillId="17" borderId="31" applyNumberFormat="0" applyAlignment="0" applyProtection="0"/>
    <xf numFmtId="170" fontId="35" fillId="0" borderId="36" applyNumberFormat="0" applyFill="0" applyAlignment="0" applyProtection="0"/>
    <xf numFmtId="170" fontId="36" fillId="33" borderId="0" applyNumberFormat="0" applyBorder="0" applyAlignment="0" applyProtection="0"/>
    <xf numFmtId="170" fontId="9" fillId="34" borderId="37" applyNumberFormat="0" applyFont="0" applyAlignment="0" applyProtection="0"/>
    <xf numFmtId="170" fontId="22" fillId="0" borderId="8" applyFill="0">
      <alignment horizontal="center" vertical="center"/>
    </xf>
    <xf numFmtId="170" fontId="22" fillId="0" borderId="11" applyBorder="0">
      <alignment horizontal="center" vertical="center" wrapText="1"/>
    </xf>
    <xf numFmtId="170" fontId="37" fillId="30" borderId="38" applyNumberFormat="0" applyAlignment="0" applyProtection="0"/>
    <xf numFmtId="170" fontId="23" fillId="35" borderId="8">
      <alignment horizontal="center" vertical="center"/>
    </xf>
    <xf numFmtId="170" fontId="38" fillId="0" borderId="0" applyNumberFormat="0" applyFill="0" applyBorder="0" applyAlignment="0" applyProtection="0"/>
    <xf numFmtId="170" fontId="39" fillId="0" borderId="39" applyNumberFormat="0" applyFill="0" applyAlignment="0" applyProtection="0"/>
    <xf numFmtId="170" fontId="40" fillId="0" borderId="0" applyNumberFormat="0" applyFill="0" applyBorder="0" applyAlignment="0" applyProtection="0"/>
    <xf numFmtId="170" fontId="1" fillId="0" borderId="0"/>
    <xf numFmtId="170" fontId="1" fillId="0" borderId="0"/>
    <xf numFmtId="170" fontId="1" fillId="0" borderId="0"/>
    <xf numFmtId="170" fontId="1" fillId="0" borderId="0"/>
    <xf numFmtId="170" fontId="1" fillId="0" borderId="0"/>
    <xf numFmtId="0" fontId="43" fillId="0" borderId="0" applyNumberFormat="0" applyFill="0" applyBorder="0" applyAlignment="0" applyProtection="0"/>
  </cellStyleXfs>
  <cellXfs count="496">
    <xf numFmtId="0" fontId="0" fillId="0" borderId="0" xfId="0"/>
    <xf numFmtId="0" fontId="2" fillId="2" borderId="1" xfId="0" applyFont="1" applyFill="1" applyBorder="1"/>
    <xf numFmtId="0" fontId="4" fillId="0" borderId="4" xfId="0" applyFont="1" applyBorder="1" applyAlignment="1">
      <alignment horizontal="center"/>
    </xf>
    <xf numFmtId="0" fontId="0" fillId="3" borderId="5" xfId="0" applyFill="1" applyBorder="1" applyAlignment="1">
      <alignment horizontal="center"/>
    </xf>
    <xf numFmtId="164" fontId="4" fillId="0" borderId="6" xfId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0" fillId="3" borderId="8" xfId="0" applyFill="1" applyBorder="1" applyAlignment="1">
      <alignment horizontal="center"/>
    </xf>
    <xf numFmtId="164" fontId="4" fillId="0" borderId="9" xfId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3" borderId="11" xfId="0" applyFill="1" applyBorder="1" applyAlignment="1">
      <alignment horizontal="center"/>
    </xf>
    <xf numFmtId="164" fontId="4" fillId="0" borderId="12" xfId="1" applyFont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5" borderId="0" xfId="0" applyFill="1"/>
    <xf numFmtId="0" fontId="4" fillId="0" borderId="13" xfId="0" applyFont="1" applyBorder="1" applyAlignment="1">
      <alignment horizontal="center"/>
    </xf>
    <xf numFmtId="0" fontId="0" fillId="3" borderId="15" xfId="0" applyFill="1" applyBorder="1" applyAlignment="1">
      <alignment horizontal="center"/>
    </xf>
    <xf numFmtId="164" fontId="4" fillId="0" borderId="16" xfId="1" applyFont="1" applyBorder="1" applyAlignment="1">
      <alignment horizontal="center"/>
    </xf>
    <xf numFmtId="0" fontId="4" fillId="0" borderId="8" xfId="0" applyFont="1" applyBorder="1"/>
    <xf numFmtId="0" fontId="0" fillId="4" borderId="15" xfId="0" applyFill="1" applyBorder="1"/>
    <xf numFmtId="0" fontId="0" fillId="4" borderId="8" xfId="0" applyFill="1" applyBorder="1"/>
    <xf numFmtId="0" fontId="0" fillId="4" borderId="19" xfId="0" applyFill="1" applyBorder="1"/>
    <xf numFmtId="0" fontId="3" fillId="6" borderId="8" xfId="0" applyFont="1" applyFill="1" applyBorder="1" applyAlignment="1">
      <alignment horizontal="center"/>
    </xf>
    <xf numFmtId="164" fontId="3" fillId="6" borderId="6" xfId="1" applyFont="1" applyFill="1" applyBorder="1" applyAlignment="1">
      <alignment horizontal="center"/>
    </xf>
    <xf numFmtId="0" fontId="4" fillId="6" borderId="8" xfId="0" applyFont="1" applyFill="1" applyBorder="1" applyAlignment="1">
      <alignment horizontal="center"/>
    </xf>
    <xf numFmtId="164" fontId="4" fillId="6" borderId="6" xfId="1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164" fontId="4" fillId="0" borderId="6" xfId="1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164" fontId="3" fillId="6" borderId="16" xfId="1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8" xfId="0" applyBorder="1"/>
    <xf numFmtId="0" fontId="7" fillId="7" borderId="21" xfId="0" applyFont="1" applyFill="1" applyBorder="1" applyAlignment="1">
      <alignment horizontal="center" wrapText="1"/>
    </xf>
    <xf numFmtId="0" fontId="7" fillId="7" borderId="14" xfId="0" applyFont="1" applyFill="1" applyBorder="1" applyAlignment="1">
      <alignment horizontal="center" wrapText="1"/>
    </xf>
    <xf numFmtId="2" fontId="8" fillId="8" borderId="8" xfId="0" applyNumberFormat="1" applyFont="1" applyFill="1" applyBorder="1"/>
    <xf numFmtId="0" fontId="8" fillId="8" borderId="8" xfId="0" applyFont="1" applyFill="1" applyBorder="1" applyAlignment="1">
      <alignment horizontal="center"/>
    </xf>
    <xf numFmtId="0" fontId="8" fillId="8" borderId="8" xfId="0" applyFont="1" applyFill="1" applyBorder="1"/>
    <xf numFmtId="0" fontId="8" fillId="8" borderId="8" xfId="3" applyFont="1" applyFill="1" applyBorder="1" applyAlignment="1">
      <alignment horizontal="center"/>
    </xf>
    <xf numFmtId="0" fontId="10" fillId="8" borderId="8" xfId="4" applyFont="1" applyFill="1" applyBorder="1" applyAlignment="1">
      <alignment horizontal="center"/>
    </xf>
    <xf numFmtId="0" fontId="8" fillId="8" borderId="8" xfId="4" applyFont="1" applyFill="1" applyBorder="1" applyAlignment="1">
      <alignment horizontal="center"/>
    </xf>
    <xf numFmtId="2" fontId="0" fillId="8" borderId="8" xfId="0" applyNumberFormat="1" applyFill="1" applyBorder="1"/>
    <xf numFmtId="0" fontId="11" fillId="8" borderId="8" xfId="6" applyFont="1" applyFill="1" applyBorder="1" applyAlignment="1">
      <alignment horizontal="center"/>
    </xf>
    <xf numFmtId="0" fontId="13" fillId="8" borderId="8" xfId="7" applyFont="1" applyFill="1" applyBorder="1"/>
    <xf numFmtId="49" fontId="8" fillId="8" borderId="8" xfId="0" applyNumberFormat="1" applyFont="1" applyFill="1" applyBorder="1" applyAlignment="1">
      <alignment horizontal="center"/>
    </xf>
    <xf numFmtId="0" fontId="14" fillId="8" borderId="8" xfId="3" applyFont="1" applyFill="1" applyBorder="1" applyAlignment="1">
      <alignment horizontal="center"/>
    </xf>
    <xf numFmtId="0" fontId="8" fillId="8" borderId="8" xfId="0" applyFont="1" applyFill="1" applyBorder="1" applyAlignment="1" applyProtection="1">
      <alignment horizontal="center" vertical="center"/>
      <protection hidden="1"/>
    </xf>
    <xf numFmtId="0" fontId="16" fillId="8" borderId="8" xfId="0" applyFont="1" applyFill="1" applyBorder="1" applyAlignment="1">
      <alignment horizontal="center"/>
    </xf>
    <xf numFmtId="49" fontId="8" fillId="8" borderId="8" xfId="0" applyNumberFormat="1" applyFont="1" applyFill="1" applyBorder="1" applyAlignment="1">
      <alignment horizontal="center" wrapText="1"/>
    </xf>
    <xf numFmtId="167" fontId="8" fillId="8" borderId="8" xfId="2" applyNumberFormat="1" applyFont="1" applyFill="1" applyBorder="1" applyAlignment="1">
      <alignment horizontal="right"/>
    </xf>
    <xf numFmtId="168" fontId="8" fillId="8" borderId="8" xfId="0" applyNumberFormat="1" applyFont="1" applyFill="1" applyBorder="1"/>
    <xf numFmtId="0" fontId="11" fillId="8" borderId="8" xfId="9" applyFont="1" applyFill="1" applyBorder="1"/>
    <xf numFmtId="0" fontId="11" fillId="8" borderId="8" xfId="10" applyFont="1" applyFill="1" applyBorder="1"/>
    <xf numFmtId="0" fontId="11" fillId="8" borderId="8" xfId="11" applyFont="1" applyFill="1" applyBorder="1"/>
    <xf numFmtId="0" fontId="11" fillId="8" borderId="8" xfId="8" applyFont="1" applyFill="1" applyBorder="1"/>
    <xf numFmtId="169" fontId="8" fillId="8" borderId="8" xfId="0" applyNumberFormat="1" applyFont="1" applyFill="1" applyBorder="1"/>
    <xf numFmtId="4" fontId="0" fillId="0" borderId="0" xfId="0" applyNumberFormat="1"/>
    <xf numFmtId="4" fontId="7" fillId="7" borderId="22" xfId="0" applyNumberFormat="1" applyFont="1" applyFill="1" applyBorder="1" applyAlignment="1">
      <alignment wrapText="1"/>
    </xf>
    <xf numFmtId="4" fontId="8" fillId="8" borderId="8" xfId="0" applyNumberFormat="1" applyFont="1" applyFill="1" applyBorder="1"/>
    <xf numFmtId="0" fontId="0" fillId="0" borderId="0" xfId="0" applyAlignment="1">
      <alignment horizontal="center"/>
    </xf>
    <xf numFmtId="0" fontId="0" fillId="0" borderId="8" xfId="0" applyBorder="1" applyAlignment="1">
      <alignment horizontal="center" wrapText="1"/>
    </xf>
    <xf numFmtId="1" fontId="0" fillId="0" borderId="0" xfId="0" applyNumberFormat="1"/>
    <xf numFmtId="1" fontId="8" fillId="8" borderId="8" xfId="2" applyNumberFormat="1" applyFont="1" applyFill="1" applyBorder="1" applyAlignment="1">
      <alignment horizontal="right"/>
    </xf>
    <xf numFmtId="1" fontId="8" fillId="8" borderId="8" xfId="0" applyNumberFormat="1" applyFont="1" applyFill="1" applyBorder="1" applyAlignment="1">
      <alignment horizontal="right"/>
    </xf>
    <xf numFmtId="0" fontId="0" fillId="9" borderId="0" xfId="0" applyFill="1"/>
    <xf numFmtId="0" fontId="2" fillId="2" borderId="23" xfId="0" applyFont="1" applyFill="1" applyBorder="1"/>
    <xf numFmtId="0" fontId="18" fillId="3" borderId="5" xfId="0" applyFont="1" applyFill="1" applyBorder="1" applyAlignment="1">
      <alignment horizontal="center"/>
    </xf>
    <xf numFmtId="0" fontId="0" fillId="0" borderId="11" xfId="0" applyBorder="1" applyAlignment="1">
      <alignment horizontal="right"/>
    </xf>
    <xf numFmtId="0" fontId="15" fillId="0" borderId="0" xfId="8"/>
    <xf numFmtId="0" fontId="3" fillId="10" borderId="4" xfId="0" applyFont="1" applyFill="1" applyBorder="1" applyAlignment="1">
      <alignment horizontal="center"/>
    </xf>
    <xf numFmtId="0" fontId="3" fillId="10" borderId="5" xfId="0" applyFont="1" applyFill="1" applyBorder="1" applyAlignment="1">
      <alignment horizontal="center"/>
    </xf>
    <xf numFmtId="0" fontId="4" fillId="10" borderId="5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4" fillId="8" borderId="5" xfId="0" applyFont="1" applyFill="1" applyBorder="1" applyAlignment="1">
      <alignment horizontal="center"/>
    </xf>
    <xf numFmtId="0" fontId="18" fillId="8" borderId="5" xfId="0" applyFont="1" applyFill="1" applyBorder="1" applyAlignment="1">
      <alignment horizontal="center"/>
    </xf>
    <xf numFmtId="0" fontId="13" fillId="0" borderId="26" xfId="7" applyFont="1" applyBorder="1"/>
    <xf numFmtId="0" fontId="19" fillId="0" borderId="27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20" fillId="0" borderId="0" xfId="0" applyFont="1"/>
    <xf numFmtId="0" fontId="0" fillId="3" borderId="0" xfId="0" applyFill="1"/>
    <xf numFmtId="0" fontId="0" fillId="8" borderId="0" xfId="0" applyFill="1"/>
    <xf numFmtId="0" fontId="0" fillId="0" borderId="0" xfId="0" applyAlignment="1">
      <alignment horizontal="left" indent="1"/>
    </xf>
    <xf numFmtId="0" fontId="0" fillId="4" borderId="8" xfId="0" applyFill="1" applyBorder="1" applyAlignment="1">
      <alignment horizontal="left" indent="2"/>
    </xf>
    <xf numFmtId="0" fontId="0" fillId="0" borderId="0" xfId="0" applyAlignment="1">
      <alignment horizontal="left" indent="2"/>
    </xf>
    <xf numFmtId="0" fontId="0" fillId="4" borderId="13" xfId="0" applyFill="1" applyBorder="1" applyAlignment="1">
      <alignment horizontal="left" indent="2"/>
    </xf>
    <xf numFmtId="0" fontId="0" fillId="4" borderId="7" xfId="0" applyFill="1" applyBorder="1" applyAlignment="1">
      <alignment horizontal="left" indent="2"/>
    </xf>
    <xf numFmtId="0" fontId="0" fillId="4" borderId="18" xfId="0" applyFill="1" applyBorder="1" applyAlignment="1">
      <alignment horizontal="left" indent="2"/>
    </xf>
    <xf numFmtId="3" fontId="0" fillId="0" borderId="0" xfId="0" applyNumberFormat="1"/>
    <xf numFmtId="0" fontId="0" fillId="0" borderId="29" xfId="0" applyBorder="1" applyAlignment="1">
      <alignment horizontal="left" indent="2"/>
    </xf>
    <xf numFmtId="0" fontId="0" fillId="4" borderId="7" xfId="0" applyFill="1" applyBorder="1" applyAlignment="1">
      <alignment horizontal="left" indent="3"/>
    </xf>
    <xf numFmtId="170" fontId="2" fillId="0" borderId="0" xfId="64" applyFont="1"/>
    <xf numFmtId="0" fontId="2" fillId="0" borderId="0" xfId="64" applyNumberFormat="1" applyFont="1"/>
    <xf numFmtId="44" fontId="4" fillId="0" borderId="0" xfId="13" applyFont="1" applyBorder="1" applyAlignment="1">
      <alignment horizontal="center"/>
    </xf>
    <xf numFmtId="0" fontId="2" fillId="4" borderId="23" xfId="0" applyFont="1" applyFill="1" applyBorder="1"/>
    <xf numFmtId="0" fontId="2" fillId="4" borderId="1" xfId="0" applyFont="1" applyFill="1" applyBorder="1"/>
    <xf numFmtId="0" fontId="4" fillId="0" borderId="0" xfId="0" applyFont="1" applyAlignment="1">
      <alignment horizontal="center"/>
    </xf>
    <xf numFmtId="0" fontId="4" fillId="0" borderId="0" xfId="0" applyFont="1"/>
    <xf numFmtId="0" fontId="4" fillId="8" borderId="0" xfId="0" applyFont="1" applyFill="1" applyAlignment="1">
      <alignment horizontal="center"/>
    </xf>
    <xf numFmtId="0" fontId="4" fillId="6" borderId="7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2" fillId="11" borderId="23" xfId="0" applyFont="1" applyFill="1" applyBorder="1"/>
    <xf numFmtId="0" fontId="2" fillId="11" borderId="1" xfId="0" applyFont="1" applyFill="1" applyBorder="1"/>
    <xf numFmtId="0" fontId="2" fillId="3" borderId="23" xfId="0" applyFont="1" applyFill="1" applyBorder="1"/>
    <xf numFmtId="0" fontId="2" fillId="3" borderId="1" xfId="0" applyFont="1" applyFill="1" applyBorder="1"/>
    <xf numFmtId="0" fontId="4" fillId="0" borderId="5" xfId="0" applyFont="1" applyBorder="1"/>
    <xf numFmtId="44" fontId="4" fillId="0" borderId="5" xfId="13" applyFont="1" applyBorder="1" applyAlignment="1">
      <alignment horizontal="center"/>
    </xf>
    <xf numFmtId="44" fontId="4" fillId="0" borderId="6" xfId="13" applyFont="1" applyBorder="1" applyAlignment="1">
      <alignment horizontal="center"/>
    </xf>
    <xf numFmtId="0" fontId="3" fillId="6" borderId="5" xfId="0" applyFont="1" applyFill="1" applyBorder="1"/>
    <xf numFmtId="44" fontId="3" fillId="6" borderId="5" xfId="13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2" fontId="3" fillId="3" borderId="5" xfId="0" applyNumberFormat="1" applyFont="1" applyFill="1" applyBorder="1" applyAlignment="1">
      <alignment horizontal="center"/>
    </xf>
    <xf numFmtId="2" fontId="3" fillId="6" borderId="6" xfId="13" applyNumberFormat="1" applyFont="1" applyFill="1" applyBorder="1" applyAlignment="1">
      <alignment horizontal="center"/>
    </xf>
    <xf numFmtId="2" fontId="4" fillId="3" borderId="5" xfId="0" applyNumberFormat="1" applyFont="1" applyFill="1" applyBorder="1" applyAlignment="1">
      <alignment horizontal="center"/>
    </xf>
    <xf numFmtId="2" fontId="4" fillId="6" borderId="6" xfId="13" applyNumberFormat="1" applyFont="1" applyFill="1" applyBorder="1" applyAlignment="1">
      <alignment horizontal="center"/>
    </xf>
    <xf numFmtId="2" fontId="4" fillId="0" borderId="6" xfId="13" applyNumberFormat="1" applyFont="1" applyBorder="1" applyAlignment="1">
      <alignment horizontal="center"/>
    </xf>
    <xf numFmtId="2" fontId="41" fillId="6" borderId="6" xfId="13" applyNumberFormat="1" applyFont="1" applyFill="1" applyBorder="1" applyAlignment="1">
      <alignment horizontal="center"/>
    </xf>
    <xf numFmtId="2" fontId="42" fillId="6" borderId="6" xfId="13" applyNumberFormat="1" applyFont="1" applyFill="1" applyBorder="1" applyAlignment="1">
      <alignment horizontal="center"/>
    </xf>
    <xf numFmtId="0" fontId="3" fillId="36" borderId="13" xfId="0" applyFont="1" applyFill="1" applyBorder="1" applyAlignment="1">
      <alignment horizontal="center"/>
    </xf>
    <xf numFmtId="0" fontId="3" fillId="36" borderId="15" xfId="0" applyFont="1" applyFill="1" applyBorder="1" applyAlignment="1">
      <alignment horizontal="center"/>
    </xf>
    <xf numFmtId="44" fontId="3" fillId="36" borderId="16" xfId="13" applyFont="1" applyFill="1" applyBorder="1" applyAlignment="1">
      <alignment horizontal="center"/>
    </xf>
    <xf numFmtId="0" fontId="4" fillId="36" borderId="5" xfId="0" applyFont="1" applyFill="1" applyBorder="1"/>
    <xf numFmtId="44" fontId="4" fillId="36" borderId="5" xfId="13" applyFont="1" applyFill="1" applyBorder="1" applyAlignment="1">
      <alignment horizontal="center"/>
    </xf>
    <xf numFmtId="0" fontId="18" fillId="36" borderId="5" xfId="0" applyFont="1" applyFill="1" applyBorder="1" applyAlignment="1">
      <alignment horizontal="center"/>
    </xf>
    <xf numFmtId="44" fontId="4" fillId="36" borderId="6" xfId="13" applyFont="1" applyFill="1" applyBorder="1" applyAlignment="1">
      <alignment horizontal="center"/>
    </xf>
    <xf numFmtId="44" fontId="3" fillId="36" borderId="5" xfId="13" applyFont="1" applyFill="1" applyBorder="1" applyAlignment="1">
      <alignment horizontal="center"/>
    </xf>
    <xf numFmtId="44" fontId="41" fillId="36" borderId="6" xfId="13" applyFont="1" applyFill="1" applyBorder="1" applyAlignment="1">
      <alignment horizontal="center"/>
    </xf>
    <xf numFmtId="44" fontId="18" fillId="36" borderId="41" xfId="13" applyFont="1" applyFill="1" applyBorder="1" applyAlignment="1">
      <alignment horizontal="center"/>
    </xf>
    <xf numFmtId="44" fontId="18" fillId="0" borderId="6" xfId="13" applyFont="1" applyFill="1" applyBorder="1" applyAlignment="1">
      <alignment horizontal="center"/>
    </xf>
    <xf numFmtId="44" fontId="18" fillId="0" borderId="6" xfId="13" applyFont="1" applyBorder="1" applyAlignment="1">
      <alignment horizontal="center"/>
    </xf>
    <xf numFmtId="0" fontId="3" fillId="3" borderId="15" xfId="0" applyFont="1" applyFill="1" applyBorder="1" applyAlignment="1">
      <alignment horizontal="center"/>
    </xf>
    <xf numFmtId="0" fontId="2" fillId="0" borderId="0" xfId="0" applyFont="1"/>
    <xf numFmtId="0" fontId="3" fillId="36" borderId="4" xfId="0" applyFont="1" applyFill="1" applyBorder="1" applyAlignment="1">
      <alignment horizontal="center"/>
    </xf>
    <xf numFmtId="0" fontId="3" fillId="36" borderId="5" xfId="0" applyFont="1" applyFill="1" applyBorder="1"/>
    <xf numFmtId="0" fontId="3" fillId="36" borderId="5" xfId="0" applyFont="1" applyFill="1" applyBorder="1" applyAlignment="1">
      <alignment horizontal="center"/>
    </xf>
    <xf numFmtId="44" fontId="3" fillId="36" borderId="6" xfId="13" applyFont="1" applyFill="1" applyBorder="1" applyAlignment="1">
      <alignment horizontal="center"/>
    </xf>
    <xf numFmtId="0" fontId="4" fillId="36" borderId="4" xfId="0" applyFont="1" applyFill="1" applyBorder="1" applyAlignment="1">
      <alignment horizontal="center"/>
    </xf>
    <xf numFmtId="0" fontId="4" fillId="36" borderId="8" xfId="0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3" fillId="36" borderId="14" xfId="0" applyFont="1" applyFill="1" applyBorder="1"/>
    <xf numFmtId="0" fontId="3" fillId="36" borderId="14" xfId="0" applyFont="1" applyFill="1" applyBorder="1" applyAlignment="1">
      <alignment horizontal="center"/>
    </xf>
    <xf numFmtId="44" fontId="3" fillId="36" borderId="14" xfId="13" applyFont="1" applyFill="1" applyBorder="1" applyAlignment="1">
      <alignment horizontal="center"/>
    </xf>
    <xf numFmtId="0" fontId="4" fillId="36" borderId="8" xfId="0" applyFont="1" applyFill="1" applyBorder="1"/>
    <xf numFmtId="0" fontId="18" fillId="36" borderId="8" xfId="0" applyFont="1" applyFill="1" applyBorder="1" applyAlignment="1">
      <alignment horizontal="center"/>
    </xf>
    <xf numFmtId="44" fontId="4" fillId="36" borderId="8" xfId="13" applyFont="1" applyFill="1" applyBorder="1" applyAlignment="1">
      <alignment horizontal="center"/>
    </xf>
    <xf numFmtId="0" fontId="18" fillId="0" borderId="8" xfId="0" applyFont="1" applyBorder="1" applyAlignment="1">
      <alignment horizontal="center"/>
    </xf>
    <xf numFmtId="44" fontId="4" fillId="0" borderId="8" xfId="13" applyFont="1" applyBorder="1" applyAlignment="1">
      <alignment horizontal="center"/>
    </xf>
    <xf numFmtId="2" fontId="4" fillId="0" borderId="0" xfId="13" applyNumberFormat="1" applyFont="1" applyBorder="1" applyAlignment="1">
      <alignment horizontal="center"/>
    </xf>
    <xf numFmtId="2" fontId="4" fillId="8" borderId="0" xfId="0" applyNumberFormat="1" applyFont="1" applyFill="1" applyAlignment="1">
      <alignment horizontal="center"/>
    </xf>
    <xf numFmtId="0" fontId="4" fillId="36" borderId="40" xfId="0" applyFont="1" applyFill="1" applyBorder="1" applyAlignment="1">
      <alignment horizontal="center"/>
    </xf>
    <xf numFmtId="0" fontId="44" fillId="0" borderId="0" xfId="69" applyFont="1"/>
    <xf numFmtId="0" fontId="45" fillId="0" borderId="0" xfId="69" applyFont="1" applyBorder="1"/>
    <xf numFmtId="0" fontId="46" fillId="4" borderId="8" xfId="0" applyFont="1" applyFill="1" applyBorder="1"/>
    <xf numFmtId="0" fontId="45" fillId="0" borderId="0" xfId="69" applyFont="1"/>
    <xf numFmtId="0" fontId="13" fillId="0" borderId="8" xfId="7" applyFont="1" applyBorder="1"/>
    <xf numFmtId="0" fontId="2" fillId="2" borderId="29" xfId="0" applyFont="1" applyFill="1" applyBorder="1"/>
    <xf numFmtId="0" fontId="0" fillId="3" borderId="8" xfId="0" applyFill="1" applyBorder="1"/>
    <xf numFmtId="0" fontId="9" fillId="0" borderId="0" xfId="0" applyFont="1"/>
    <xf numFmtId="0" fontId="7" fillId="0" borderId="0" xfId="0" applyFont="1" applyAlignment="1">
      <alignment horizontal="center"/>
    </xf>
    <xf numFmtId="0" fontId="7" fillId="36" borderId="8" xfId="0" applyFont="1" applyFill="1" applyBorder="1" applyAlignment="1">
      <alignment horizontal="center" wrapText="1"/>
    </xf>
    <xf numFmtId="0" fontId="9" fillId="0" borderId="8" xfId="0" applyFont="1" applyBorder="1" applyAlignment="1">
      <alignment horizontal="center" vertical="center"/>
    </xf>
    <xf numFmtId="0" fontId="9" fillId="0" borderId="8" xfId="0" applyFont="1" applyBorder="1"/>
    <xf numFmtId="2" fontId="9" fillId="0" borderId="8" xfId="0" applyNumberFormat="1" applyFont="1" applyBorder="1"/>
    <xf numFmtId="0" fontId="9" fillId="0" borderId="2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49" fontId="9" fillId="0" borderId="27" xfId="0" applyNumberFormat="1" applyFont="1" applyBorder="1" applyAlignment="1">
      <alignment horizontal="center"/>
    </xf>
    <xf numFmtId="49" fontId="9" fillId="0" borderId="28" xfId="0" applyNumberFormat="1" applyFont="1" applyBorder="1" applyAlignment="1">
      <alignment horizontal="center"/>
    </xf>
    <xf numFmtId="0" fontId="9" fillId="8" borderId="8" xfId="0" applyFont="1" applyFill="1" applyBorder="1"/>
    <xf numFmtId="1" fontId="19" fillId="0" borderId="8" xfId="0" applyNumberFormat="1" applyFont="1" applyBorder="1" applyAlignment="1">
      <alignment horizontal="center" vertical="center"/>
    </xf>
    <xf numFmtId="2" fontId="47" fillId="0" borderId="27" xfId="0" applyNumberFormat="1" applyFont="1" applyBorder="1" applyAlignment="1">
      <alignment horizontal="center"/>
    </xf>
    <xf numFmtId="2" fontId="47" fillId="0" borderId="28" xfId="0" applyNumberFormat="1" applyFont="1" applyBorder="1" applyAlignment="1">
      <alignment horizontal="center"/>
    </xf>
    <xf numFmtId="2" fontId="9" fillId="0" borderId="28" xfId="0" applyNumberFormat="1" applyFont="1" applyBorder="1" applyAlignment="1">
      <alignment horizontal="center"/>
    </xf>
    <xf numFmtId="0" fontId="19" fillId="0" borderId="8" xfId="0" applyFont="1" applyBorder="1" applyAlignment="1">
      <alignment horizontal="center" vertical="center"/>
    </xf>
    <xf numFmtId="0" fontId="9" fillId="0" borderId="8" xfId="0" applyFont="1" applyBorder="1" applyAlignment="1">
      <alignment horizontal="left" wrapText="1"/>
    </xf>
    <xf numFmtId="0" fontId="9" fillId="0" borderId="8" xfId="0" applyFont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center"/>
    </xf>
    <xf numFmtId="2" fontId="9" fillId="0" borderId="0" xfId="0" applyNumberFormat="1" applyFont="1"/>
    <xf numFmtId="49" fontId="9" fillId="0" borderId="8" xfId="0" applyNumberFormat="1" applyFont="1" applyBorder="1" applyAlignment="1">
      <alignment horizontal="center" vertical="center" wrapText="1"/>
    </xf>
    <xf numFmtId="1" fontId="9" fillId="0" borderId="8" xfId="0" applyNumberFormat="1" applyFont="1" applyBorder="1" applyAlignment="1">
      <alignment horizontal="center"/>
    </xf>
    <xf numFmtId="1" fontId="9" fillId="0" borderId="0" xfId="0" applyNumberFormat="1" applyFont="1" applyAlignment="1">
      <alignment horizontal="center"/>
    </xf>
    <xf numFmtId="0" fontId="19" fillId="0" borderId="8" xfId="0" applyFont="1" applyBorder="1" applyAlignment="1">
      <alignment horizontal="center"/>
    </xf>
    <xf numFmtId="0" fontId="9" fillId="0" borderId="17" xfId="0" applyFont="1" applyBorder="1"/>
    <xf numFmtId="0" fontId="9" fillId="0" borderId="5" xfId="0" applyFont="1" applyBorder="1"/>
    <xf numFmtId="0" fontId="9" fillId="0" borderId="5" xfId="0" applyFont="1" applyBorder="1" applyAlignment="1">
      <alignment horizontal="center"/>
    </xf>
    <xf numFmtId="2" fontId="9" fillId="0" borderId="8" xfId="0" applyNumberFormat="1" applyFont="1" applyBorder="1" applyAlignment="1">
      <alignment vertical="center"/>
    </xf>
    <xf numFmtId="0" fontId="19" fillId="0" borderId="0" xfId="0" applyFont="1" applyAlignment="1">
      <alignment horizontal="center"/>
    </xf>
    <xf numFmtId="2" fontId="9" fillId="0" borderId="0" xfId="0" applyNumberFormat="1" applyFont="1" applyAlignment="1">
      <alignment vertical="center"/>
    </xf>
    <xf numFmtId="0" fontId="9" fillId="0" borderId="0" xfId="0" applyFont="1" applyAlignment="1">
      <alignment horizontal="center" vertical="center"/>
    </xf>
    <xf numFmtId="0" fontId="9" fillId="36" borderId="8" xfId="0" applyFont="1" applyFill="1" applyBorder="1"/>
    <xf numFmtId="170" fontId="7" fillId="36" borderId="8" xfId="45" applyFont="1" applyFill="1" applyBorder="1" applyAlignment="1">
      <alignment horizontal="center"/>
    </xf>
    <xf numFmtId="0" fontId="13" fillId="0" borderId="26" xfId="7" applyFont="1" applyBorder="1" applyAlignment="1">
      <alignment horizontal="center"/>
    </xf>
    <xf numFmtId="0" fontId="9" fillId="37" borderId="8" xfId="0" applyFont="1" applyFill="1" applyBorder="1"/>
    <xf numFmtId="170" fontId="7" fillId="37" borderId="8" xfId="45" applyFont="1" applyFill="1" applyBorder="1" applyAlignment="1">
      <alignment horizontal="center"/>
    </xf>
    <xf numFmtId="2" fontId="9" fillId="0" borderId="5" xfId="0" applyNumberFormat="1" applyFont="1" applyBorder="1"/>
    <xf numFmtId="0" fontId="9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/>
    </xf>
    <xf numFmtId="0" fontId="9" fillId="0" borderId="11" xfId="0" applyFont="1" applyBorder="1"/>
    <xf numFmtId="0" fontId="9" fillId="0" borderId="11" xfId="0" applyFont="1" applyBorder="1" applyAlignment="1">
      <alignment horizontal="center" vertical="center"/>
    </xf>
    <xf numFmtId="0" fontId="9" fillId="0" borderId="8" xfId="0" applyFont="1" applyBorder="1" applyAlignment="1">
      <alignment horizontal="right"/>
    </xf>
    <xf numFmtId="0" fontId="7" fillId="36" borderId="8" xfId="0" applyFont="1" applyFill="1" applyBorder="1" applyAlignment="1">
      <alignment horizontal="center"/>
    </xf>
    <xf numFmtId="49" fontId="19" fillId="0" borderId="8" xfId="0" applyNumberFormat="1" applyFont="1" applyBorder="1"/>
    <xf numFmtId="0" fontId="7" fillId="37" borderId="8" xfId="0" applyFont="1" applyFill="1" applyBorder="1" applyAlignment="1">
      <alignment horizontal="center" vertical="center"/>
    </xf>
    <xf numFmtId="0" fontId="7" fillId="36" borderId="8" xfId="0" applyFont="1" applyFill="1" applyBorder="1"/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 wrapText="1"/>
    </xf>
    <xf numFmtId="164" fontId="4" fillId="0" borderId="8" xfId="1" applyFont="1" applyBorder="1" applyAlignment="1">
      <alignment horizontal="left"/>
    </xf>
    <xf numFmtId="0" fontId="4" fillId="0" borderId="8" xfId="1" applyNumberFormat="1" applyFont="1" applyBorder="1" applyAlignment="1">
      <alignment horizontal="left"/>
    </xf>
    <xf numFmtId="0" fontId="0" fillId="38" borderId="0" xfId="0" applyFill="1"/>
    <xf numFmtId="4" fontId="0" fillId="38" borderId="0" xfId="0" applyNumberFormat="1" applyFill="1"/>
    <xf numFmtId="0" fontId="48" fillId="0" borderId="0" xfId="0" applyFont="1"/>
    <xf numFmtId="0" fontId="49" fillId="10" borderId="11" xfId="0" applyFont="1" applyFill="1" applyBorder="1" applyAlignment="1">
      <alignment horizontal="center" vertical="center" wrapText="1"/>
    </xf>
    <xf numFmtId="3" fontId="49" fillId="10" borderId="11" xfId="0" applyNumberFormat="1" applyFont="1" applyFill="1" applyBorder="1" applyAlignment="1">
      <alignment horizontal="center" vertical="center"/>
    </xf>
    <xf numFmtId="0" fontId="49" fillId="10" borderId="17" xfId="0" applyFont="1" applyFill="1" applyBorder="1" applyAlignment="1">
      <alignment horizontal="center" vertical="center" wrapText="1"/>
    </xf>
    <xf numFmtId="0" fontId="50" fillId="0" borderId="8" xfId="0" applyFont="1" applyBorder="1" applyAlignment="1">
      <alignment horizontal="right"/>
    </xf>
    <xf numFmtId="0" fontId="51" fillId="0" borderId="8" xfId="0" applyFont="1" applyBorder="1"/>
    <xf numFmtId="0" fontId="51" fillId="8" borderId="8" xfId="0" applyFont="1" applyFill="1" applyBorder="1" applyAlignment="1">
      <alignment horizontal="right" vertical="center" wrapText="1"/>
    </xf>
    <xf numFmtId="3" fontId="51" fillId="8" borderId="8" xfId="0" applyNumberFormat="1" applyFont="1" applyFill="1" applyBorder="1" applyAlignment="1">
      <alignment horizontal="right" vertical="center"/>
    </xf>
    <xf numFmtId="2" fontId="50" fillId="0" borderId="8" xfId="0" applyNumberFormat="1" applyFont="1" applyBorder="1"/>
    <xf numFmtId="0" fontId="51" fillId="0" borderId="8" xfId="0" applyFont="1" applyBorder="1" applyAlignment="1">
      <alignment horizontal="right"/>
    </xf>
    <xf numFmtId="49" fontId="51" fillId="0" borderId="8" xfId="0" applyNumberFormat="1" applyFont="1" applyBorder="1"/>
    <xf numFmtId="0" fontId="50" fillId="0" borderId="8" xfId="0" applyFont="1" applyBorder="1"/>
    <xf numFmtId="0" fontId="51" fillId="8" borderId="8" xfId="0" applyFont="1" applyFill="1" applyBorder="1"/>
    <xf numFmtId="0" fontId="51" fillId="0" borderId="17" xfId="0" applyFont="1" applyBorder="1" applyAlignment="1">
      <alignment horizontal="center"/>
    </xf>
    <xf numFmtId="49" fontId="51" fillId="0" borderId="44" xfId="0" applyNumberFormat="1" applyFont="1" applyBorder="1"/>
    <xf numFmtId="0" fontId="52" fillId="0" borderId="8" xfId="0" applyFont="1" applyBorder="1"/>
    <xf numFmtId="3" fontId="50" fillId="0" borderId="8" xfId="0" applyNumberFormat="1" applyFont="1" applyBorder="1"/>
    <xf numFmtId="2" fontId="50" fillId="8" borderId="8" xfId="0" applyNumberFormat="1" applyFont="1" applyFill="1" applyBorder="1"/>
    <xf numFmtId="0" fontId="51" fillId="0" borderId="0" xfId="0" applyFont="1" applyAlignment="1">
      <alignment horizontal="right"/>
    </xf>
    <xf numFmtId="0" fontId="51" fillId="0" borderId="0" xfId="0" applyFont="1"/>
    <xf numFmtId="3" fontId="50" fillId="0" borderId="0" xfId="0" applyNumberFormat="1" applyFont="1"/>
    <xf numFmtId="0" fontId="50" fillId="0" borderId="0" xfId="0" applyFont="1"/>
    <xf numFmtId="0" fontId="53" fillId="0" borderId="0" xfId="0" applyFont="1"/>
    <xf numFmtId="0" fontId="54" fillId="10" borderId="11" xfId="0" applyFont="1" applyFill="1" applyBorder="1" applyAlignment="1">
      <alignment horizontal="center" vertical="center" wrapText="1"/>
    </xf>
    <xf numFmtId="3" fontId="54" fillId="10" borderId="11" xfId="0" applyNumberFormat="1" applyFont="1" applyFill="1" applyBorder="1" applyAlignment="1">
      <alignment horizontal="center" vertical="center"/>
    </xf>
    <xf numFmtId="0" fontId="54" fillId="10" borderId="17" xfId="0" applyFont="1" applyFill="1" applyBorder="1" applyAlignment="1">
      <alignment horizontal="center" vertical="center" wrapText="1"/>
    </xf>
    <xf numFmtId="0" fontId="50" fillId="8" borderId="8" xfId="0" applyFont="1" applyFill="1" applyBorder="1" applyAlignment="1">
      <alignment horizontal="right"/>
    </xf>
    <xf numFmtId="0" fontId="50" fillId="8" borderId="8" xfId="0" applyFont="1" applyFill="1" applyBorder="1"/>
    <xf numFmtId="3" fontId="9" fillId="0" borderId="0" xfId="0" applyNumberFormat="1" applyFont="1"/>
    <xf numFmtId="3" fontId="7" fillId="36" borderId="8" xfId="0" applyNumberFormat="1" applyFont="1" applyFill="1" applyBorder="1" applyAlignment="1">
      <alignment horizontal="center" wrapText="1"/>
    </xf>
    <xf numFmtId="3" fontId="9" fillId="0" borderId="8" xfId="0" applyNumberFormat="1" applyFont="1" applyBorder="1" applyAlignment="1">
      <alignment horizontal="center" vertical="center"/>
    </xf>
    <xf numFmtId="3" fontId="9" fillId="0" borderId="8" xfId="0" applyNumberFormat="1" applyFont="1" applyBorder="1"/>
    <xf numFmtId="3" fontId="9" fillId="0" borderId="28" xfId="0" applyNumberFormat="1" applyFont="1" applyBorder="1" applyAlignment="1">
      <alignment horizontal="center"/>
    </xf>
    <xf numFmtId="3" fontId="9" fillId="0" borderId="42" xfId="0" applyNumberFormat="1" applyFont="1" applyBorder="1" applyAlignment="1">
      <alignment horizontal="center"/>
    </xf>
    <xf numFmtId="3" fontId="9" fillId="0" borderId="8" xfId="0" applyNumberFormat="1" applyFont="1" applyBorder="1" applyAlignment="1">
      <alignment horizontal="center"/>
    </xf>
    <xf numFmtId="3" fontId="47" fillId="0" borderId="28" xfId="0" applyNumberFormat="1" applyFont="1" applyBorder="1" applyAlignment="1">
      <alignment horizontal="center"/>
    </xf>
    <xf numFmtId="3" fontId="47" fillId="0" borderId="42" xfId="0" applyNumberFormat="1" applyFont="1" applyBorder="1" applyAlignment="1">
      <alignment horizontal="center"/>
    </xf>
    <xf numFmtId="3" fontId="9" fillId="0" borderId="8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horizontal="center"/>
    </xf>
    <xf numFmtId="3" fontId="9" fillId="0" borderId="5" xfId="0" applyNumberFormat="1" applyFont="1" applyBorder="1" applyAlignment="1">
      <alignment horizontal="center"/>
    </xf>
    <xf numFmtId="3" fontId="9" fillId="0" borderId="0" xfId="0" applyNumberFormat="1" applyFont="1" applyAlignment="1">
      <alignment horizontal="center" vertical="center"/>
    </xf>
    <xf numFmtId="3" fontId="9" fillId="36" borderId="8" xfId="0" applyNumberFormat="1" applyFont="1" applyFill="1" applyBorder="1"/>
    <xf numFmtId="3" fontId="9" fillId="37" borderId="8" xfId="0" applyNumberFormat="1" applyFont="1" applyFill="1" applyBorder="1"/>
    <xf numFmtId="0" fontId="3" fillId="8" borderId="8" xfId="0" applyFont="1" applyFill="1" applyBorder="1"/>
    <xf numFmtId="0" fontId="8" fillId="0" borderId="8" xfId="3" applyFont="1" applyBorder="1" applyAlignment="1">
      <alignment horizontal="center"/>
    </xf>
    <xf numFmtId="0" fontId="8" fillId="0" borderId="8" xfId="3" applyFont="1" applyBorder="1" applyAlignment="1">
      <alignment horizontal="left"/>
    </xf>
    <xf numFmtId="0" fontId="55" fillId="0" borderId="8" xfId="0" applyFont="1" applyBorder="1" applyAlignment="1">
      <alignment horizontal="right"/>
    </xf>
    <xf numFmtId="0" fontId="13" fillId="8" borderId="26" xfId="7" applyFont="1" applyFill="1" applyBorder="1"/>
    <xf numFmtId="164" fontId="56" fillId="38" borderId="8" xfId="1" applyFont="1" applyFill="1" applyBorder="1" applyAlignment="1">
      <alignment horizontal="left"/>
    </xf>
    <xf numFmtId="0" fontId="56" fillId="38" borderId="8" xfId="1" applyNumberFormat="1" applyFont="1" applyFill="1" applyBorder="1" applyAlignment="1">
      <alignment horizontal="left"/>
    </xf>
    <xf numFmtId="0" fontId="4" fillId="38" borderId="4" xfId="0" applyFont="1" applyFill="1" applyBorder="1" applyAlignment="1">
      <alignment horizontal="center"/>
    </xf>
    <xf numFmtId="164" fontId="4" fillId="38" borderId="8" xfId="1" applyFont="1" applyFill="1" applyBorder="1" applyAlignment="1">
      <alignment horizontal="left"/>
    </xf>
    <xf numFmtId="0" fontId="4" fillId="38" borderId="8" xfId="1" applyNumberFormat="1" applyFont="1" applyFill="1" applyBorder="1" applyAlignment="1">
      <alignment horizontal="left"/>
    </xf>
    <xf numFmtId="0" fontId="45" fillId="8" borderId="17" xfId="69" applyFont="1" applyFill="1" applyBorder="1"/>
    <xf numFmtId="0" fontId="4" fillId="38" borderId="5" xfId="0" applyFont="1" applyFill="1" applyBorder="1"/>
    <xf numFmtId="164" fontId="4" fillId="8" borderId="8" xfId="1" applyFont="1" applyFill="1" applyBorder="1" applyAlignment="1">
      <alignment horizontal="left"/>
    </xf>
    <xf numFmtId="0" fontId="4" fillId="8" borderId="8" xfId="1" applyNumberFormat="1" applyFont="1" applyFill="1" applyBorder="1" applyAlignment="1">
      <alignment horizontal="left"/>
    </xf>
    <xf numFmtId="4" fontId="0" fillId="4" borderId="15" xfId="0" applyNumberFormat="1" applyFill="1" applyBorder="1"/>
    <xf numFmtId="4" fontId="0" fillId="4" borderId="16" xfId="0" applyNumberFormat="1" applyFill="1" applyBorder="1"/>
    <xf numFmtId="4" fontId="0" fillId="4" borderId="8" xfId="0" applyNumberFormat="1" applyFill="1" applyBorder="1"/>
    <xf numFmtId="4" fontId="0" fillId="4" borderId="9" xfId="0" applyNumberFormat="1" applyFill="1" applyBorder="1"/>
    <xf numFmtId="4" fontId="0" fillId="4" borderId="19" xfId="0" applyNumberFormat="1" applyFill="1" applyBorder="1"/>
    <xf numFmtId="4" fontId="0" fillId="4" borderId="20" xfId="0" applyNumberFormat="1" applyFill="1" applyBorder="1"/>
    <xf numFmtId="4" fontId="0" fillId="0" borderId="30" xfId="0" applyNumberFormat="1" applyBorder="1"/>
    <xf numFmtId="0" fontId="0" fillId="0" borderId="0" xfId="0" applyAlignment="1">
      <alignment horizontal="right"/>
    </xf>
    <xf numFmtId="0" fontId="2" fillId="2" borderId="1" xfId="0" applyFont="1" applyFill="1" applyBorder="1" applyAlignment="1">
      <alignment horizontal="right"/>
    </xf>
    <xf numFmtId="1" fontId="3" fillId="6" borderId="7" xfId="0" applyNumberFormat="1" applyFont="1" applyFill="1" applyBorder="1" applyAlignment="1">
      <alignment horizontal="right"/>
    </xf>
    <xf numFmtId="0" fontId="4" fillId="6" borderId="7" xfId="0" applyFont="1" applyFill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10" xfId="0" applyFont="1" applyBorder="1" applyAlignment="1">
      <alignment horizontal="right"/>
    </xf>
    <xf numFmtId="0" fontId="4" fillId="8" borderId="10" xfId="0" applyFont="1" applyFill="1" applyBorder="1" applyAlignment="1">
      <alignment horizontal="right"/>
    </xf>
    <xf numFmtId="0" fontId="3" fillId="6" borderId="7" xfId="0" applyFont="1" applyFill="1" applyBorder="1" applyAlignment="1">
      <alignment horizontal="right"/>
    </xf>
    <xf numFmtId="0" fontId="4" fillId="8" borderId="7" xfId="0" applyFont="1" applyFill="1" applyBorder="1" applyAlignment="1">
      <alignment horizontal="right"/>
    </xf>
    <xf numFmtId="0" fontId="4" fillId="6" borderId="10" xfId="0" applyFont="1" applyFill="1" applyBorder="1" applyAlignment="1">
      <alignment horizontal="right"/>
    </xf>
    <xf numFmtId="0" fontId="13" fillId="38" borderId="26" xfId="7" applyFont="1" applyFill="1" applyBorder="1" applyAlignment="1">
      <alignment horizontal="right"/>
    </xf>
    <xf numFmtId="0" fontId="7" fillId="7" borderId="8" xfId="0" applyFont="1" applyFill="1" applyBorder="1" applyAlignment="1">
      <alignment horizontal="center" wrapText="1"/>
    </xf>
    <xf numFmtId="0" fontId="0" fillId="6" borderId="0" xfId="0" applyFill="1"/>
    <xf numFmtId="0" fontId="3" fillId="8" borderId="0" xfId="0" applyFont="1" applyFill="1"/>
    <xf numFmtId="4" fontId="3" fillId="8" borderId="0" xfId="0" applyNumberFormat="1" applyFont="1" applyFill="1"/>
    <xf numFmtId="0" fontId="45" fillId="0" borderId="0" xfId="69" applyFont="1" applyAlignment="1">
      <alignment horizontal="right"/>
    </xf>
    <xf numFmtId="1" fontId="0" fillId="0" borderId="0" xfId="0" applyNumberFormat="1" applyAlignment="1">
      <alignment horizontal="right"/>
    </xf>
    <xf numFmtId="1" fontId="7" fillId="7" borderId="14" xfId="0" applyNumberFormat="1" applyFont="1" applyFill="1" applyBorder="1" applyAlignment="1">
      <alignment horizontal="right" wrapText="1"/>
    </xf>
    <xf numFmtId="1" fontId="0" fillId="0" borderId="8" xfId="0" applyNumberFormat="1" applyBorder="1" applyAlignment="1">
      <alignment horizontal="right"/>
    </xf>
    <xf numFmtId="4" fontId="8" fillId="8" borderId="8" xfId="0" applyNumberFormat="1" applyFont="1" applyFill="1" applyBorder="1" applyAlignment="1">
      <alignment horizontal="right"/>
    </xf>
    <xf numFmtId="0" fontId="3" fillId="8" borderId="0" xfId="0" applyFont="1" applyFill="1" applyAlignment="1">
      <alignment horizontal="right"/>
    </xf>
    <xf numFmtId="1" fontId="0" fillId="38" borderId="0" xfId="0" applyNumberFormat="1" applyFill="1" applyAlignment="1">
      <alignment horizontal="right"/>
    </xf>
    <xf numFmtId="4" fontId="4" fillId="0" borderId="8" xfId="1" applyNumberFormat="1" applyFont="1" applyBorder="1" applyAlignment="1">
      <alignment horizontal="left"/>
    </xf>
    <xf numFmtId="4" fontId="3" fillId="6" borderId="6" xfId="13" applyNumberFormat="1" applyFont="1" applyFill="1" applyBorder="1" applyAlignment="1">
      <alignment horizontal="center"/>
    </xf>
    <xf numFmtId="4" fontId="4" fillId="6" borderId="6" xfId="13" applyNumberFormat="1" applyFont="1" applyFill="1" applyBorder="1" applyAlignment="1">
      <alignment horizontal="center"/>
    </xf>
    <xf numFmtId="4" fontId="4" fillId="0" borderId="6" xfId="13" applyNumberFormat="1" applyFont="1" applyFill="1" applyBorder="1" applyAlignment="1">
      <alignment horizontal="center"/>
    </xf>
    <xf numFmtId="4" fontId="4" fillId="0" borderId="6" xfId="13" applyNumberFormat="1" applyFont="1" applyBorder="1" applyAlignment="1">
      <alignment horizontal="center"/>
    </xf>
    <xf numFmtId="4" fontId="2" fillId="0" borderId="0" xfId="64" applyNumberFormat="1" applyFont="1"/>
    <xf numFmtId="4" fontId="4" fillId="0" borderId="0" xfId="13" applyNumberFormat="1" applyFont="1" applyBorder="1" applyAlignment="1">
      <alignment horizontal="center"/>
    </xf>
    <xf numFmtId="4" fontId="4" fillId="0" borderId="30" xfId="13" applyNumberFormat="1" applyFont="1" applyBorder="1" applyAlignment="1">
      <alignment horizontal="center"/>
    </xf>
    <xf numFmtId="4" fontId="0" fillId="0" borderId="0" xfId="0" applyNumberFormat="1" applyAlignment="1">
      <alignment horizontal="right"/>
    </xf>
    <xf numFmtId="4" fontId="4" fillId="38" borderId="8" xfId="1" applyNumberFormat="1" applyFont="1" applyFill="1" applyBorder="1" applyAlignment="1">
      <alignment horizontal="right"/>
    </xf>
    <xf numFmtId="4" fontId="4" fillId="0" borderId="8" xfId="1" applyNumberFormat="1" applyFont="1" applyBorder="1" applyAlignment="1">
      <alignment horizontal="right"/>
    </xf>
    <xf numFmtId="4" fontId="0" fillId="9" borderId="0" xfId="0" applyNumberFormat="1" applyFill="1" applyAlignment="1">
      <alignment horizontal="right"/>
    </xf>
    <xf numFmtId="4" fontId="4" fillId="0" borderId="6" xfId="1" applyNumberFormat="1" applyFont="1" applyBorder="1" applyAlignment="1">
      <alignment horizontal="right"/>
    </xf>
    <xf numFmtId="4" fontId="3" fillId="10" borderId="6" xfId="1" applyNumberFormat="1" applyFont="1" applyFill="1" applyBorder="1" applyAlignment="1">
      <alignment horizontal="right"/>
    </xf>
    <xf numFmtId="4" fontId="4" fillId="8" borderId="6" xfId="1" applyNumberFormat="1" applyFont="1" applyFill="1" applyBorder="1" applyAlignment="1">
      <alignment horizontal="right"/>
    </xf>
    <xf numFmtId="4" fontId="4" fillId="36" borderId="6" xfId="1" applyNumberFormat="1" applyFont="1" applyFill="1" applyBorder="1" applyAlignment="1">
      <alignment horizontal="right"/>
    </xf>
    <xf numFmtId="4" fontId="0" fillId="0" borderId="8" xfId="0" applyNumberFormat="1" applyBorder="1" applyAlignment="1">
      <alignment horizontal="right"/>
    </xf>
    <xf numFmtId="0" fontId="57" fillId="4" borderId="7" xfId="0" applyFont="1" applyFill="1" applyBorder="1" applyAlignment="1">
      <alignment horizontal="left" indent="2"/>
    </xf>
    <xf numFmtId="4" fontId="7" fillId="7" borderId="11" xfId="0" applyNumberFormat="1" applyFont="1" applyFill="1" applyBorder="1" applyAlignment="1">
      <alignment wrapText="1"/>
    </xf>
    <xf numFmtId="0" fontId="7" fillId="7" borderId="11" xfId="0" applyFont="1" applyFill="1" applyBorder="1" applyAlignment="1">
      <alignment horizontal="center" wrapText="1"/>
    </xf>
    <xf numFmtId="1" fontId="7" fillId="7" borderId="11" xfId="0" applyNumberFormat="1" applyFont="1" applyFill="1" applyBorder="1" applyAlignment="1">
      <alignment wrapText="1"/>
    </xf>
    <xf numFmtId="0" fontId="0" fillId="10" borderId="0" xfId="0" applyFill="1"/>
    <xf numFmtId="4" fontId="0" fillId="0" borderId="8" xfId="0" applyNumberFormat="1" applyBorder="1"/>
    <xf numFmtId="0" fontId="8" fillId="0" borderId="8" xfId="0" applyFont="1" applyBorder="1" applyAlignment="1">
      <alignment horizontal="center"/>
    </xf>
    <xf numFmtId="0" fontId="3" fillId="8" borderId="8" xfId="0" applyFont="1" applyFill="1" applyBorder="1" applyAlignment="1">
      <alignment horizontal="right"/>
    </xf>
    <xf numFmtId="4" fontId="0" fillId="4" borderId="11" xfId="0" applyNumberFormat="1" applyFill="1" applyBorder="1"/>
    <xf numFmtId="0" fontId="4" fillId="39" borderId="4" xfId="0" applyFont="1" applyFill="1" applyBorder="1" applyAlignment="1">
      <alignment horizontal="center"/>
    </xf>
    <xf numFmtId="164" fontId="4" fillId="39" borderId="8" xfId="1" applyFont="1" applyFill="1" applyBorder="1" applyAlignment="1">
      <alignment horizontal="left"/>
    </xf>
    <xf numFmtId="0" fontId="0" fillId="38" borderId="23" xfId="0" applyFill="1" applyBorder="1"/>
    <xf numFmtId="164" fontId="4" fillId="8" borderId="15" xfId="1" applyFont="1" applyFill="1" applyBorder="1" applyAlignment="1">
      <alignment horizontal="left"/>
    </xf>
    <xf numFmtId="0" fontId="4" fillId="8" borderId="15" xfId="1" applyNumberFormat="1" applyFont="1" applyFill="1" applyBorder="1" applyAlignment="1">
      <alignment horizontal="left"/>
    </xf>
    <xf numFmtId="4" fontId="4" fillId="8" borderId="15" xfId="1" applyNumberFormat="1" applyFont="1" applyFill="1" applyBorder="1" applyAlignment="1">
      <alignment horizontal="right"/>
    </xf>
    <xf numFmtId="0" fontId="4" fillId="3" borderId="15" xfId="0" applyFont="1" applyFill="1" applyBorder="1" applyAlignment="1">
      <alignment horizontal="center"/>
    </xf>
    <xf numFmtId="4" fontId="4" fillId="0" borderId="16" xfId="1" applyNumberFormat="1" applyFont="1" applyBorder="1" applyAlignment="1">
      <alignment horizontal="right"/>
    </xf>
    <xf numFmtId="0" fontId="0" fillId="3" borderId="25" xfId="0" applyFill="1" applyBorder="1"/>
    <xf numFmtId="0" fontId="0" fillId="38" borderId="1" xfId="0" applyFill="1" applyBorder="1"/>
    <xf numFmtId="164" fontId="4" fillId="8" borderId="19" xfId="1" applyFont="1" applyFill="1" applyBorder="1" applyAlignment="1">
      <alignment horizontal="left"/>
    </xf>
    <xf numFmtId="0" fontId="4" fillId="8" borderId="19" xfId="1" applyNumberFormat="1" applyFont="1" applyFill="1" applyBorder="1" applyAlignment="1">
      <alignment horizontal="left"/>
    </xf>
    <xf numFmtId="4" fontId="4" fillId="8" borderId="19" xfId="1" applyNumberFormat="1" applyFont="1" applyFill="1" applyBorder="1" applyAlignment="1">
      <alignment horizontal="right"/>
    </xf>
    <xf numFmtId="0" fontId="4" fillId="3" borderId="48" xfId="0" applyFont="1" applyFill="1" applyBorder="1" applyAlignment="1">
      <alignment horizontal="center"/>
    </xf>
    <xf numFmtId="4" fontId="4" fillId="0" borderId="41" xfId="1" applyNumberFormat="1" applyFont="1" applyBorder="1" applyAlignment="1">
      <alignment horizontal="right"/>
    </xf>
    <xf numFmtId="0" fontId="0" fillId="38" borderId="29" xfId="0" applyFill="1" applyBorder="1"/>
    <xf numFmtId="0" fontId="0" fillId="3" borderId="30" xfId="0" applyFill="1" applyBorder="1"/>
    <xf numFmtId="164" fontId="4" fillId="8" borderId="0" xfId="1" applyFont="1" applyFill="1" applyBorder="1" applyAlignment="1">
      <alignment horizontal="left"/>
    </xf>
    <xf numFmtId="0" fontId="4" fillId="8" borderId="0" xfId="1" applyNumberFormat="1" applyFont="1" applyFill="1" applyBorder="1" applyAlignment="1">
      <alignment horizontal="left"/>
    </xf>
    <xf numFmtId="4" fontId="4" fillId="8" borderId="0" xfId="1" applyNumberFormat="1" applyFont="1" applyFill="1" applyBorder="1" applyAlignment="1">
      <alignment horizontal="right"/>
    </xf>
    <xf numFmtId="0" fontId="9" fillId="38" borderId="1" xfId="0" applyFont="1" applyFill="1" applyBorder="1"/>
    <xf numFmtId="0" fontId="4" fillId="0" borderId="19" xfId="1" applyNumberFormat="1" applyFont="1" applyBorder="1" applyAlignment="1">
      <alignment horizontal="left"/>
    </xf>
    <xf numFmtId="4" fontId="4" fillId="0" borderId="19" xfId="1" applyNumberFormat="1" applyFont="1" applyBorder="1" applyAlignment="1">
      <alignment horizontal="right"/>
    </xf>
    <xf numFmtId="0" fontId="0" fillId="8" borderId="0" xfId="0" applyFill="1" applyAlignment="1">
      <alignment horizontal="left" indent="2"/>
    </xf>
    <xf numFmtId="4" fontId="0" fillId="8" borderId="0" xfId="0" applyNumberFormat="1" applyFill="1"/>
    <xf numFmtId="4" fontId="58" fillId="3" borderId="1" xfId="0" applyNumberFormat="1" applyFont="1" applyFill="1" applyBorder="1"/>
    <xf numFmtId="4" fontId="58" fillId="3" borderId="3" xfId="0" applyNumberFormat="1" applyFont="1" applyFill="1" applyBorder="1"/>
    <xf numFmtId="0" fontId="44" fillId="8" borderId="0" xfId="69" applyFont="1" applyFill="1"/>
    <xf numFmtId="3" fontId="51" fillId="8" borderId="0" xfId="0" applyNumberFormat="1" applyFont="1" applyFill="1" applyAlignment="1">
      <alignment horizontal="right" vertical="center"/>
    </xf>
    <xf numFmtId="2" fontId="50" fillId="8" borderId="0" xfId="0" applyNumberFormat="1" applyFont="1" applyFill="1"/>
    <xf numFmtId="0" fontId="4" fillId="0" borderId="5" xfId="0" applyFon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2" fillId="38" borderId="23" xfId="0" applyFont="1" applyFill="1" applyBorder="1"/>
    <xf numFmtId="0" fontId="2" fillId="38" borderId="1" xfId="0" applyFont="1" applyFill="1" applyBorder="1"/>
    <xf numFmtId="0" fontId="0" fillId="0" borderId="8" xfId="0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0" fontId="8" fillId="0" borderId="0" xfId="0" applyFont="1" applyAlignment="1">
      <alignment horizontal="center"/>
    </xf>
    <xf numFmtId="44" fontId="4" fillId="0" borderId="30" xfId="13" applyFont="1" applyBorder="1" applyAlignment="1">
      <alignment horizontal="center"/>
    </xf>
    <xf numFmtId="1" fontId="4" fillId="3" borderId="5" xfId="0" applyNumberFormat="1" applyFont="1" applyFill="1" applyBorder="1" applyAlignment="1">
      <alignment horizontal="center"/>
    </xf>
    <xf numFmtId="2" fontId="3" fillId="6" borderId="8" xfId="0" applyNumberFormat="1" applyFont="1" applyFill="1" applyBorder="1" applyAlignment="1">
      <alignment horizontal="center"/>
    </xf>
    <xf numFmtId="2" fontId="4" fillId="3" borderId="8" xfId="0" applyNumberFormat="1" applyFont="1" applyFill="1" applyBorder="1" applyAlignment="1">
      <alignment horizontal="center"/>
    </xf>
    <xf numFmtId="0" fontId="4" fillId="8" borderId="8" xfId="0" applyFont="1" applyFill="1" applyBorder="1" applyAlignment="1">
      <alignment horizontal="center"/>
    </xf>
    <xf numFmtId="0" fontId="4" fillId="0" borderId="8" xfId="1" applyNumberFormat="1" applyFont="1" applyBorder="1" applyAlignment="1">
      <alignment horizontal="center"/>
    </xf>
    <xf numFmtId="4" fontId="4" fillId="0" borderId="6" xfId="13" applyNumberFormat="1" applyFont="1" applyBorder="1" applyAlignment="1">
      <alignment horizontal="right"/>
    </xf>
    <xf numFmtId="4" fontId="3" fillId="6" borderId="8" xfId="13" applyNumberFormat="1" applyFont="1" applyFill="1" applyBorder="1" applyAlignment="1">
      <alignment horizontal="right"/>
    </xf>
    <xf numFmtId="0" fontId="4" fillId="0" borderId="8" xfId="1" applyNumberFormat="1" applyFont="1" applyBorder="1" applyAlignment="1">
      <alignment horizontal="right"/>
    </xf>
    <xf numFmtId="0" fontId="0" fillId="0" borderId="15" xfId="0" applyBorder="1" applyAlignment="1">
      <alignment horizontal="center" wrapText="1"/>
    </xf>
    <xf numFmtId="0" fontId="2" fillId="10" borderId="23" xfId="0" applyFont="1" applyFill="1" applyBorder="1"/>
    <xf numFmtId="0" fontId="2" fillId="10" borderId="1" xfId="0" applyFont="1" applyFill="1" applyBorder="1"/>
    <xf numFmtId="0" fontId="0" fillId="40" borderId="0" xfId="0" applyFill="1"/>
    <xf numFmtId="0" fontId="2" fillId="11" borderId="29" xfId="0" applyFont="1" applyFill="1" applyBorder="1"/>
    <xf numFmtId="0" fontId="60" fillId="8" borderId="0" xfId="69" applyFont="1" applyFill="1"/>
    <xf numFmtId="3" fontId="9" fillId="0" borderId="43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right"/>
    </xf>
    <xf numFmtId="4" fontId="9" fillId="0" borderId="8" xfId="0" applyNumberFormat="1" applyFont="1" applyBorder="1" applyAlignment="1">
      <alignment horizontal="center" vertical="center"/>
    </xf>
    <xf numFmtId="0" fontId="0" fillId="38" borderId="8" xfId="0" applyFill="1" applyBorder="1"/>
    <xf numFmtId="0" fontId="8" fillId="8" borderId="0" xfId="0" applyFont="1" applyFill="1" applyAlignment="1">
      <alignment horizontal="center"/>
    </xf>
    <xf numFmtId="0" fontId="13" fillId="0" borderId="8" xfId="7" applyFont="1" applyBorder="1" applyAlignment="1">
      <alignment horizontal="center"/>
    </xf>
    <xf numFmtId="0" fontId="8" fillId="8" borderId="26" xfId="0" applyFont="1" applyFill="1" applyBorder="1" applyAlignment="1">
      <alignment horizontal="center"/>
    </xf>
    <xf numFmtId="0" fontId="8" fillId="8" borderId="0" xfId="3" applyFont="1" applyFill="1" applyAlignment="1">
      <alignment horizontal="center"/>
    </xf>
    <xf numFmtId="0" fontId="9" fillId="38" borderId="8" xfId="0" applyFont="1" applyFill="1" applyBorder="1"/>
    <xf numFmtId="0" fontId="8" fillId="8" borderId="0" xfId="4" applyFont="1" applyFill="1" applyAlignment="1">
      <alignment horizontal="center"/>
    </xf>
    <xf numFmtId="0" fontId="4" fillId="0" borderId="8" xfId="0" applyFont="1" applyBorder="1" applyAlignment="1">
      <alignment horizontal="right"/>
    </xf>
    <xf numFmtId="0" fontId="8" fillId="8" borderId="47" xfId="0" applyFont="1" applyFill="1" applyBorder="1" applyAlignment="1">
      <alignment horizontal="center"/>
    </xf>
    <xf numFmtId="0" fontId="3" fillId="8" borderId="8" xfId="0" applyFont="1" applyFill="1" applyBorder="1" applyAlignment="1">
      <alignment horizontal="center"/>
    </xf>
    <xf numFmtId="0" fontId="8" fillId="8" borderId="0" xfId="0" applyFont="1" applyFill="1"/>
    <xf numFmtId="2" fontId="8" fillId="8" borderId="0" xfId="0" applyNumberFormat="1" applyFont="1" applyFill="1"/>
    <xf numFmtId="0" fontId="3" fillId="6" borderId="8" xfId="0" applyFont="1" applyFill="1" applyBorder="1"/>
    <xf numFmtId="0" fontId="8" fillId="8" borderId="11" xfId="0" applyFont="1" applyFill="1" applyBorder="1"/>
    <xf numFmtId="169" fontId="8" fillId="8" borderId="0" xfId="0" applyNumberFormat="1" applyFont="1" applyFill="1"/>
    <xf numFmtId="1" fontId="8" fillId="8" borderId="0" xfId="0" applyNumberFormat="1" applyFont="1" applyFill="1" applyAlignment="1">
      <alignment horizontal="right"/>
    </xf>
    <xf numFmtId="1" fontId="8" fillId="8" borderId="44" xfId="0" applyNumberFormat="1" applyFont="1" applyFill="1" applyBorder="1" applyAlignment="1">
      <alignment horizontal="right"/>
    </xf>
    <xf numFmtId="0" fontId="8" fillId="8" borderId="45" xfId="0" applyFont="1" applyFill="1" applyBorder="1" applyAlignment="1">
      <alignment horizontal="center"/>
    </xf>
    <xf numFmtId="0" fontId="8" fillId="8" borderId="10" xfId="0" applyFont="1" applyFill="1" applyBorder="1" applyAlignment="1">
      <alignment horizontal="center"/>
    </xf>
    <xf numFmtId="0" fontId="8" fillId="8" borderId="46" xfId="0" applyFont="1" applyFill="1" applyBorder="1" applyAlignment="1">
      <alignment horizontal="center"/>
    </xf>
    <xf numFmtId="0" fontId="8" fillId="8" borderId="4" xfId="0" applyFont="1" applyFill="1" applyBorder="1" applyAlignment="1">
      <alignment horizontal="center"/>
    </xf>
    <xf numFmtId="0" fontId="21" fillId="0" borderId="8" xfId="0" applyFont="1" applyBorder="1"/>
    <xf numFmtId="0" fontId="8" fillId="0" borderId="8" xfId="0" applyFont="1" applyBorder="1" applyAlignment="1">
      <alignment horizontal="left"/>
    </xf>
    <xf numFmtId="0" fontId="8" fillId="8" borderId="44" xfId="0" applyFont="1" applyFill="1" applyBorder="1"/>
    <xf numFmtId="0" fontId="8" fillId="8" borderId="0" xfId="0" applyFont="1" applyFill="1" applyAlignment="1">
      <alignment horizontal="right"/>
    </xf>
    <xf numFmtId="0" fontId="8" fillId="8" borderId="5" xfId="0" applyFont="1" applyFill="1" applyBorder="1"/>
    <xf numFmtId="1" fontId="8" fillId="0" borderId="8" xfId="3" applyNumberFormat="1" applyFont="1" applyBorder="1" applyAlignment="1">
      <alignment horizontal="right"/>
    </xf>
    <xf numFmtId="0" fontId="8" fillId="0" borderId="17" xfId="0" applyFont="1" applyBorder="1" applyAlignment="1">
      <alignment horizontal="right"/>
    </xf>
    <xf numFmtId="0" fontId="54" fillId="36" borderId="8" xfId="0" applyFont="1" applyFill="1" applyBorder="1" applyAlignment="1">
      <alignment horizontal="center" wrapText="1"/>
    </xf>
    <xf numFmtId="0" fontId="54" fillId="36" borderId="8" xfId="0" applyFont="1" applyFill="1" applyBorder="1" applyAlignment="1">
      <alignment horizontal="center"/>
    </xf>
    <xf numFmtId="3" fontId="54" fillId="36" borderId="8" xfId="0" applyNumberFormat="1" applyFont="1" applyFill="1" applyBorder="1" applyAlignment="1">
      <alignment horizontal="center" wrapText="1"/>
    </xf>
    <xf numFmtId="0" fontId="61" fillId="0" borderId="8" xfId="0" applyFont="1" applyBorder="1" applyAlignment="1">
      <alignment horizontal="right"/>
    </xf>
    <xf numFmtId="0" fontId="61" fillId="0" borderId="8" xfId="0" applyFont="1" applyBorder="1"/>
    <xf numFmtId="0" fontId="51" fillId="0" borderId="8" xfId="0" applyFont="1" applyBorder="1" applyAlignment="1">
      <alignment horizontal="center" vertical="center"/>
    </xf>
    <xf numFmtId="4" fontId="51" fillId="0" borderId="8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left" indent="1"/>
    </xf>
    <xf numFmtId="0" fontId="9" fillId="0" borderId="0" xfId="0" applyFont="1" applyAlignment="1">
      <alignment horizontal="left"/>
    </xf>
    <xf numFmtId="0" fontId="62" fillId="0" borderId="0" xfId="0" applyFont="1" applyAlignment="1">
      <alignment horizontal="left" vertical="top" wrapText="1"/>
    </xf>
    <xf numFmtId="0" fontId="62" fillId="0" borderId="0" xfId="0" applyFont="1" applyAlignment="1">
      <alignment horizontal="center" vertical="top" wrapText="1"/>
    </xf>
    <xf numFmtId="0" fontId="62" fillId="8" borderId="0" xfId="0" applyFont="1" applyFill="1" applyAlignment="1">
      <alignment horizontal="left" vertical="top" wrapText="1"/>
    </xf>
    <xf numFmtId="0" fontId="62" fillId="8" borderId="0" xfId="0" applyFont="1" applyFill="1" applyAlignment="1">
      <alignment horizontal="center" vertical="top" wrapText="1"/>
    </xf>
    <xf numFmtId="0" fontId="8" fillId="0" borderId="44" xfId="0" applyFont="1" applyBorder="1"/>
    <xf numFmtId="166" fontId="0" fillId="0" borderId="0" xfId="0" applyNumberFormat="1"/>
    <xf numFmtId="0" fontId="0" fillId="0" borderId="0" xfId="0" applyAlignment="1">
      <alignment shrinkToFit="1"/>
    </xf>
    <xf numFmtId="0" fontId="45" fillId="0" borderId="0" xfId="69" quotePrefix="1" applyFont="1" applyFill="1"/>
    <xf numFmtId="0" fontId="0" fillId="8" borderId="18" xfId="0" applyFill="1" applyBorder="1" applyAlignment="1">
      <alignment horizontal="left" indent="2"/>
    </xf>
    <xf numFmtId="0" fontId="0" fillId="8" borderId="19" xfId="0" applyFill="1" applyBorder="1"/>
    <xf numFmtId="4" fontId="0" fillId="8" borderId="19" xfId="0" applyNumberFormat="1" applyFill="1" applyBorder="1"/>
    <xf numFmtId="4" fontId="0" fillId="8" borderId="20" xfId="0" applyNumberFormat="1" applyFill="1" applyBorder="1"/>
    <xf numFmtId="0" fontId="0" fillId="8" borderId="8" xfId="0" applyFill="1" applyBorder="1" applyAlignment="1">
      <alignment horizontal="left" indent="2"/>
    </xf>
    <xf numFmtId="0" fontId="0" fillId="8" borderId="8" xfId="0" applyFill="1" applyBorder="1"/>
    <xf numFmtId="4" fontId="0" fillId="8" borderId="8" xfId="0" applyNumberFormat="1" applyFill="1" applyBorder="1"/>
    <xf numFmtId="0" fontId="45" fillId="8" borderId="8" xfId="69" applyFont="1" applyFill="1" applyBorder="1"/>
    <xf numFmtId="0" fontId="43" fillId="0" borderId="0" xfId="69"/>
    <xf numFmtId="0" fontId="43" fillId="0" borderId="0" xfId="69" applyBorder="1"/>
    <xf numFmtId="0" fontId="43" fillId="8" borderId="19" xfId="69" applyFill="1" applyBorder="1"/>
    <xf numFmtId="0" fontId="7" fillId="36" borderId="27" xfId="0" applyFont="1" applyFill="1" applyBorder="1" applyAlignment="1">
      <alignment horizontal="center"/>
    </xf>
    <xf numFmtId="0" fontId="7" fillId="36" borderId="28" xfId="0" applyFont="1" applyFill="1" applyBorder="1" applyAlignment="1">
      <alignment horizontal="center"/>
    </xf>
    <xf numFmtId="0" fontId="7" fillId="36" borderId="42" xfId="0" applyFont="1" applyFill="1" applyBorder="1" applyAlignment="1">
      <alignment horizontal="center"/>
    </xf>
    <xf numFmtId="0" fontId="47" fillId="0" borderId="27" xfId="0" applyFont="1" applyBorder="1" applyAlignment="1">
      <alignment horizontal="center" wrapText="1"/>
    </xf>
    <xf numFmtId="0" fontId="47" fillId="0" borderId="28" xfId="0" applyFont="1" applyBorder="1" applyAlignment="1">
      <alignment horizontal="center" wrapText="1"/>
    </xf>
    <xf numFmtId="0" fontId="47" fillId="0" borderId="42" xfId="0" applyFont="1" applyBorder="1" applyAlignment="1">
      <alignment horizontal="center" wrapText="1"/>
    </xf>
    <xf numFmtId="0" fontId="47" fillId="0" borderId="27" xfId="0" applyFont="1" applyBorder="1" applyAlignment="1">
      <alignment horizontal="center"/>
    </xf>
    <xf numFmtId="0" fontId="47" fillId="0" borderId="28" xfId="0" applyFont="1" applyBorder="1" applyAlignment="1">
      <alignment horizontal="center"/>
    </xf>
    <xf numFmtId="0" fontId="47" fillId="0" borderId="42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2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42" xfId="0" applyFont="1" applyBorder="1" applyAlignment="1">
      <alignment horizontal="center"/>
    </xf>
    <xf numFmtId="49" fontId="47" fillId="0" borderId="27" xfId="0" applyNumberFormat="1" applyFont="1" applyBorder="1" applyAlignment="1">
      <alignment horizontal="center"/>
    </xf>
    <xf numFmtId="49" fontId="47" fillId="0" borderId="28" xfId="0" applyNumberFormat="1" applyFont="1" applyBorder="1" applyAlignment="1">
      <alignment horizontal="center"/>
    </xf>
    <xf numFmtId="49" fontId="47" fillId="0" borderId="42" xfId="0" applyNumberFormat="1" applyFont="1" applyBorder="1" applyAlignment="1">
      <alignment horizontal="center"/>
    </xf>
    <xf numFmtId="2" fontId="47" fillId="0" borderId="27" xfId="0" applyNumberFormat="1" applyFont="1" applyBorder="1" applyAlignment="1">
      <alignment horizontal="center"/>
    </xf>
    <xf numFmtId="2" fontId="47" fillId="0" borderId="28" xfId="0" applyNumberFormat="1" applyFont="1" applyBorder="1" applyAlignment="1">
      <alignment horizontal="center"/>
    </xf>
    <xf numFmtId="2" fontId="47" fillId="0" borderId="42" xfId="0" applyNumberFormat="1" applyFont="1" applyBorder="1" applyAlignment="1">
      <alignment horizontal="center"/>
    </xf>
    <xf numFmtId="170" fontId="7" fillId="36" borderId="27" xfId="45" applyFont="1" applyFill="1" applyBorder="1" applyAlignment="1">
      <alignment horizontal="center"/>
    </xf>
    <xf numFmtId="170" fontId="7" fillId="36" borderId="28" xfId="45" applyFont="1" applyFill="1" applyBorder="1" applyAlignment="1">
      <alignment horizontal="center"/>
    </xf>
    <xf numFmtId="170" fontId="7" fillId="36" borderId="42" xfId="45" applyFont="1" applyFill="1" applyBorder="1" applyAlignment="1">
      <alignment horizontal="center"/>
    </xf>
    <xf numFmtId="0" fontId="3" fillId="2" borderId="2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/>
    </xf>
    <xf numFmtId="0" fontId="6" fillId="2" borderId="25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left"/>
    </xf>
    <xf numFmtId="0" fontId="3" fillId="3" borderId="25" xfId="0" applyFont="1" applyFill="1" applyBorder="1" applyAlignment="1">
      <alignment horizontal="left"/>
    </xf>
    <xf numFmtId="0" fontId="3" fillId="3" borderId="2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3" fillId="2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left"/>
    </xf>
    <xf numFmtId="0" fontId="3" fillId="11" borderId="24" xfId="0" applyFont="1" applyFill="1" applyBorder="1" applyAlignment="1">
      <alignment horizontal="left"/>
    </xf>
    <xf numFmtId="0" fontId="3" fillId="11" borderId="25" xfId="0" applyFont="1" applyFill="1" applyBorder="1" applyAlignment="1">
      <alignment horizontal="left"/>
    </xf>
    <xf numFmtId="0" fontId="3" fillId="11" borderId="2" xfId="0" applyFont="1" applyFill="1" applyBorder="1" applyAlignment="1">
      <alignment horizontal="left"/>
    </xf>
    <xf numFmtId="0" fontId="3" fillId="11" borderId="3" xfId="0" applyFont="1" applyFill="1" applyBorder="1" applyAlignment="1">
      <alignment horizontal="left"/>
    </xf>
    <xf numFmtId="0" fontId="3" fillId="4" borderId="24" xfId="0" applyFont="1" applyFill="1" applyBorder="1" applyAlignment="1">
      <alignment horizontal="left"/>
    </xf>
    <xf numFmtId="0" fontId="3" fillId="4" borderId="25" xfId="0" applyFont="1" applyFill="1" applyBorder="1" applyAlignment="1">
      <alignment horizontal="left"/>
    </xf>
    <xf numFmtId="0" fontId="3" fillId="4" borderId="2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left"/>
    </xf>
    <xf numFmtId="0" fontId="17" fillId="2" borderId="29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7" fillId="2" borderId="30" xfId="0" applyFont="1" applyFill="1" applyBorder="1" applyAlignment="1">
      <alignment horizontal="center" vertical="center"/>
    </xf>
    <xf numFmtId="0" fontId="3" fillId="38" borderId="24" xfId="0" applyFont="1" applyFill="1" applyBorder="1" applyAlignment="1">
      <alignment horizontal="left"/>
    </xf>
    <xf numFmtId="0" fontId="3" fillId="38" borderId="25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left"/>
    </xf>
    <xf numFmtId="0" fontId="3" fillId="38" borderId="3" xfId="0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0" fontId="3" fillId="2" borderId="30" xfId="0" applyFont="1" applyFill="1" applyBorder="1" applyAlignment="1">
      <alignment horizontal="left"/>
    </xf>
  </cellXfs>
  <cellStyles count="70">
    <cellStyle name="20% - Accent1 2" xfId="16" xr:uid="{00000000-0005-0000-0000-000000000000}"/>
    <cellStyle name="20% - Accent2 2" xfId="17" xr:uid="{00000000-0005-0000-0000-000001000000}"/>
    <cellStyle name="20% - Accent3 2" xfId="18" xr:uid="{00000000-0005-0000-0000-000002000000}"/>
    <cellStyle name="20% - Accent4 2" xfId="19" xr:uid="{00000000-0005-0000-0000-000003000000}"/>
    <cellStyle name="20% - Accent5 2" xfId="20" xr:uid="{00000000-0005-0000-0000-000004000000}"/>
    <cellStyle name="20% - Accent6 2" xfId="21" xr:uid="{00000000-0005-0000-0000-000005000000}"/>
    <cellStyle name="40% - Accent1 2" xfId="22" xr:uid="{00000000-0005-0000-0000-000006000000}"/>
    <cellStyle name="40% - Accent2 2" xfId="23" xr:uid="{00000000-0005-0000-0000-000007000000}"/>
    <cellStyle name="40% - Accent3 2" xfId="24" xr:uid="{00000000-0005-0000-0000-000008000000}"/>
    <cellStyle name="40% - Accent4 2" xfId="25" xr:uid="{00000000-0005-0000-0000-000009000000}"/>
    <cellStyle name="40% - Accent5 2" xfId="26" xr:uid="{00000000-0005-0000-0000-00000A000000}"/>
    <cellStyle name="40% - Accent6 2" xfId="27" xr:uid="{00000000-0005-0000-0000-00000B000000}"/>
    <cellStyle name="60% - Accent1 2" xfId="28" xr:uid="{00000000-0005-0000-0000-00000C000000}"/>
    <cellStyle name="60% - Accent2 2" xfId="29" xr:uid="{00000000-0005-0000-0000-00000D000000}"/>
    <cellStyle name="60% - Accent3 2" xfId="30" xr:uid="{00000000-0005-0000-0000-00000E000000}"/>
    <cellStyle name="60% - Accent4 2" xfId="31" xr:uid="{00000000-0005-0000-0000-00000F000000}"/>
    <cellStyle name="60% - Accent5 2" xfId="32" xr:uid="{00000000-0005-0000-0000-000010000000}"/>
    <cellStyle name="60% - Accent6 2" xfId="33" xr:uid="{00000000-0005-0000-0000-000011000000}"/>
    <cellStyle name="Accent1 2" xfId="34" xr:uid="{00000000-0005-0000-0000-000012000000}"/>
    <cellStyle name="Accent2 2" xfId="35" xr:uid="{00000000-0005-0000-0000-000013000000}"/>
    <cellStyle name="Accent3 2" xfId="36" xr:uid="{00000000-0005-0000-0000-000014000000}"/>
    <cellStyle name="Accent4 2" xfId="37" xr:uid="{00000000-0005-0000-0000-000015000000}"/>
    <cellStyle name="Accent5 2" xfId="38" xr:uid="{00000000-0005-0000-0000-000016000000}"/>
    <cellStyle name="Accent6 2" xfId="39" xr:uid="{00000000-0005-0000-0000-000017000000}"/>
    <cellStyle name="Bad 2" xfId="40" xr:uid="{00000000-0005-0000-0000-000018000000}"/>
    <cellStyle name="Calculation 2" xfId="41" xr:uid="{00000000-0005-0000-0000-000019000000}"/>
    <cellStyle name="Check Cell 2" xfId="42" xr:uid="{00000000-0005-0000-0000-00001A000000}"/>
    <cellStyle name="Currency 2" xfId="43" xr:uid="{00000000-0005-0000-0000-00001C000000}"/>
    <cellStyle name="Currency 3" xfId="13" xr:uid="{00000000-0005-0000-0000-000053000000}"/>
    <cellStyle name="Description" xfId="44" xr:uid="{00000000-0005-0000-0000-00001D000000}"/>
    <cellStyle name="Euro" xfId="45" xr:uid="{00000000-0005-0000-0000-00001E000000}"/>
    <cellStyle name="Euro 2" xfId="46" xr:uid="{00000000-0005-0000-0000-00001F000000}"/>
    <cellStyle name="Explanatory Text 2" xfId="47" xr:uid="{00000000-0005-0000-0000-000020000000}"/>
    <cellStyle name="Good 2" xfId="48" xr:uid="{00000000-0005-0000-0000-000021000000}"/>
    <cellStyle name="Heading 1 2" xfId="49" xr:uid="{00000000-0005-0000-0000-000022000000}"/>
    <cellStyle name="Heading 2 2" xfId="50" xr:uid="{00000000-0005-0000-0000-000023000000}"/>
    <cellStyle name="Heading 3 2" xfId="51" xr:uid="{00000000-0005-0000-0000-000024000000}"/>
    <cellStyle name="Heading 4 2" xfId="52" xr:uid="{00000000-0005-0000-0000-000025000000}"/>
    <cellStyle name="Hipervínculo" xfId="69" builtinId="8"/>
    <cellStyle name="Input 2" xfId="53" xr:uid="{00000000-0005-0000-0000-000026000000}"/>
    <cellStyle name="Linked Cell 2" xfId="54" xr:uid="{00000000-0005-0000-0000-000027000000}"/>
    <cellStyle name="Millares" xfId="2" builtinId="3"/>
    <cellStyle name="Moneda" xfId="1" builtinId="4"/>
    <cellStyle name="Neutral 2" xfId="55" xr:uid="{00000000-0005-0000-0000-000028000000}"/>
    <cellStyle name="Normal" xfId="0" builtinId="0"/>
    <cellStyle name="Normal 10" xfId="68" xr:uid="{00000000-0005-0000-0000-00006D000000}"/>
    <cellStyle name="Normal 11" xfId="5" xr:uid="{00000000-0005-0000-0000-000003000000}"/>
    <cellStyle name="Normal 12" xfId="67" xr:uid="{00000000-0005-0000-0000-00006E000000}"/>
    <cellStyle name="Normal 13" xfId="65" xr:uid="{00000000-0005-0000-0000-00006F000000}"/>
    <cellStyle name="Normal 14" xfId="66" xr:uid="{00000000-0005-0000-0000-000070000000}"/>
    <cellStyle name="Normal 2" xfId="9" xr:uid="{00000000-0005-0000-0000-000004000000}"/>
    <cellStyle name="Normal 2 2" xfId="14" xr:uid="{00000000-0005-0000-0000-00002A000000}"/>
    <cellStyle name="Normal 3" xfId="4" xr:uid="{00000000-0005-0000-0000-000005000000}"/>
    <cellStyle name="Normal 3 2" xfId="15" xr:uid="{00000000-0005-0000-0000-00002B000000}"/>
    <cellStyle name="Normal 4" xfId="10" xr:uid="{00000000-0005-0000-0000-000006000000}"/>
    <cellStyle name="Normal 5" xfId="11" xr:uid="{00000000-0005-0000-0000-000007000000}"/>
    <cellStyle name="Normal 6" xfId="8" xr:uid="{00000000-0005-0000-0000-000008000000}"/>
    <cellStyle name="Normal 7" xfId="3" xr:uid="{00000000-0005-0000-0000-000009000000}"/>
    <cellStyle name="Normal 8" xfId="12" xr:uid="{00000000-0005-0000-0000-000061000000}"/>
    <cellStyle name="Normal 9" xfId="64" xr:uid="{00000000-0005-0000-0000-00006C000000}"/>
    <cellStyle name="Normal_BM-CHINA" xfId="7" xr:uid="{00000000-0005-0000-0000-00000A000000}"/>
    <cellStyle name="Normal_JDE Pricing 11.5.08" xfId="6" xr:uid="{00000000-0005-0000-0000-00000B000000}"/>
    <cellStyle name="Note 2" xfId="56" xr:uid="{00000000-0005-0000-0000-00002C000000}"/>
    <cellStyle name="Numbers" xfId="57" xr:uid="{00000000-0005-0000-0000-00002D000000}"/>
    <cellStyle name="Order Factor" xfId="58" xr:uid="{00000000-0005-0000-0000-00002E000000}"/>
    <cellStyle name="Output 2" xfId="59" xr:uid="{00000000-0005-0000-0000-00002F000000}"/>
    <cellStyle name="SubHeader" xfId="60" xr:uid="{00000000-0005-0000-0000-000031000000}"/>
    <cellStyle name="Title 2" xfId="61" xr:uid="{00000000-0005-0000-0000-000032000000}"/>
    <cellStyle name="Total 2" xfId="62" xr:uid="{00000000-0005-0000-0000-000033000000}"/>
    <cellStyle name="Warning Text 2" xfId="63" xr:uid="{00000000-0005-0000-0000-000034000000}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checked="Checked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firstButton="1" lockText="1" noThreeD="1"/>
</file>

<file path=xl/ctrlProps/ctrlProp41.xml><?xml version="1.0" encoding="utf-8"?>
<formControlPr xmlns="http://schemas.microsoft.com/office/spreadsheetml/2009/9/main" objectType="Radio" checked="Checked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firstButton="1" lockText="1" noThreeD="1"/>
</file>

<file path=xl/ctrlProps/ctrlProp46.xml><?xml version="1.0" encoding="utf-8"?>
<formControlPr xmlns="http://schemas.microsoft.com/office/spreadsheetml/2009/9/main" objectType="Radio" checked="Checked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firstButton="1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Radio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checked="Checked" lockText="1" noThreeD="1"/>
</file>

<file path=xl/ctrlProps/ctrlProp73.xml><?xml version="1.0" encoding="utf-8"?>
<formControlPr xmlns="http://schemas.microsoft.com/office/spreadsheetml/2009/9/main" objectType="Radio" firstButton="1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Radio" lockText="1" noThreeD="1"/>
</file>

<file path=xl/ctrlProps/ctrlProp77.xml><?xml version="1.0" encoding="utf-8"?>
<formControlPr xmlns="http://schemas.microsoft.com/office/spreadsheetml/2009/9/main" objectType="Radio" checked="Checked" lockText="1" noThreeD="1"/>
</file>

<file path=xl/ctrlProps/ctrlProp78.xml><?xml version="1.0" encoding="utf-8"?>
<formControlPr xmlns="http://schemas.microsoft.com/office/spreadsheetml/2009/9/main" objectType="Radio" lockText="1" noThreeD="1"/>
</file>

<file path=xl/ctrlProps/ctrlProp79.xml><?xml version="1.0" encoding="utf-8"?>
<formControlPr xmlns="http://schemas.microsoft.com/office/spreadsheetml/2009/9/main" objectType="Radio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Radio" firstButton="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checked="Checked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checked="Checked" firstButton="1" lockText="1" noThreeD="1"/>
</file>

<file path=xl/ctrlProps/ctrlProp91.xml><?xml version="1.0" encoding="utf-8"?>
<formControlPr xmlns="http://schemas.microsoft.com/office/spreadsheetml/2009/9/main" objectType="Radio" checked="Checked" firstButton="1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Radio" lockText="1" noThreeD="1"/>
</file>

<file path=xl/ctrlProps/ctrlProp98.xml><?xml version="1.0" encoding="utf-8"?>
<formControlPr xmlns="http://schemas.microsoft.com/office/spreadsheetml/2009/9/main" objectType="Radio" lockText="1" noThreeD="1"/>
</file>

<file path=xl/ctrlProps/ctrlProp99.xml><?xml version="1.0" encoding="utf-8"?>
<formControlPr xmlns="http://schemas.microsoft.com/office/spreadsheetml/2009/9/main" objectType="Radio" lockText="1" noThreeD="1"/>
</file>

<file path=xl/ctrlProps/ctrlProp100.xml><?xml version="1.0" encoding="utf-8"?>
<formControlPr xmlns="http://schemas.microsoft.com/office/spreadsheetml/2009/9/main" objectType="Radio" lockText="1" noThreeD="1"/>
</file>

<file path=xl/ctrlProps/ctrlProp101.xml><?xml version="1.0" encoding="utf-8"?>
<formControlPr xmlns="http://schemas.microsoft.com/office/spreadsheetml/2009/9/main" objectType="Radio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Radio" lockText="1" noThreeD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Radio" checked="Checked" firstButton="1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66917</xdr:colOff>
      <xdr:row>0</xdr:row>
      <xdr:rowOff>81084</xdr:rowOff>
    </xdr:from>
    <xdr:ext cx="1412631" cy="351693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917" y="8108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2</xdr:col>
      <xdr:colOff>152180</xdr:colOff>
      <xdr:row>0</xdr:row>
      <xdr:rowOff>12700</xdr:rowOff>
    </xdr:from>
    <xdr:to>
      <xdr:col>4</xdr:col>
      <xdr:colOff>505394</xdr:colOff>
      <xdr:row>3</xdr:row>
      <xdr:rowOff>97332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60880" y="12700"/>
          <a:ext cx="1340069" cy="6370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74734</xdr:rowOff>
    </xdr:from>
    <xdr:ext cx="1412631" cy="351693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7473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4</xdr:col>
      <xdr:colOff>40813</xdr:colOff>
      <xdr:row>0</xdr:row>
      <xdr:rowOff>50800</xdr:rowOff>
    </xdr:from>
    <xdr:to>
      <xdr:col>5</xdr:col>
      <xdr:colOff>453782</xdr:colOff>
      <xdr:row>3</xdr:row>
      <xdr:rowOff>135432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0863" y="50800"/>
          <a:ext cx="1340069" cy="637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44</xdr:row>
          <xdr:rowOff>28575</xdr:rowOff>
        </xdr:from>
        <xdr:to>
          <xdr:col>9</xdr:col>
          <xdr:colOff>285750</xdr:colOff>
          <xdr:row>140</xdr:row>
          <xdr:rowOff>76200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47</xdr:row>
          <xdr:rowOff>9525</xdr:rowOff>
        </xdr:from>
        <xdr:to>
          <xdr:col>9</xdr:col>
          <xdr:colOff>285750</xdr:colOff>
          <xdr:row>151</xdr:row>
          <xdr:rowOff>47625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Bombas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144</xdr:row>
          <xdr:rowOff>9525</xdr:rowOff>
        </xdr:from>
        <xdr:to>
          <xdr:col>9</xdr:col>
          <xdr:colOff>285750</xdr:colOff>
          <xdr:row>151</xdr:row>
          <xdr:rowOff>228600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Pulsado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6</xdr:col>
      <xdr:colOff>216576</xdr:colOff>
      <xdr:row>2</xdr:row>
      <xdr:rowOff>30547</xdr:rowOff>
    </xdr:to>
    <xdr:pic>
      <xdr:nvPicPr>
        <xdr:cNvPr id="6" name="1 Image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8312150" cy="3797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153</xdr:row>
          <xdr:rowOff>9525</xdr:rowOff>
        </xdr:from>
        <xdr:to>
          <xdr:col>9</xdr:col>
          <xdr:colOff>285750</xdr:colOff>
          <xdr:row>296</xdr:row>
          <xdr:rowOff>28575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Placa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205</xdr:row>
          <xdr:rowOff>9525</xdr:rowOff>
        </xdr:from>
        <xdr:to>
          <xdr:col>9</xdr:col>
          <xdr:colOff>285750</xdr:colOff>
          <xdr:row>296</xdr:row>
          <xdr:rowOff>228600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 Final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297</xdr:row>
          <xdr:rowOff>104775</xdr:rowOff>
        </xdr:from>
        <xdr:to>
          <xdr:col>9</xdr:col>
          <xdr:colOff>295275</xdr:colOff>
          <xdr:row>336</xdr:row>
          <xdr:rowOff>219075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extractores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338</xdr:row>
          <xdr:rowOff>0</xdr:rowOff>
        </xdr:from>
        <xdr:to>
          <xdr:col>9</xdr:col>
          <xdr:colOff>285750</xdr:colOff>
          <xdr:row>349</xdr:row>
          <xdr:rowOff>38100</xdr:rowOff>
        </xdr:to>
        <xdr:sp macro="" textlink="">
          <xdr:nvSpPr>
            <xdr:cNvPr id="2061" name="Option 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ISO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28575</xdr:rowOff>
        </xdr:from>
        <xdr:to>
          <xdr:col>0</xdr:col>
          <xdr:colOff>923925</xdr:colOff>
          <xdr:row>11</xdr:row>
          <xdr:rowOff>47625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104775</xdr:rowOff>
        </xdr:from>
        <xdr:to>
          <xdr:col>0</xdr:col>
          <xdr:colOff>914400</xdr:colOff>
          <xdr:row>12</xdr:row>
          <xdr:rowOff>161925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descompactar</a:t>
              </a:r>
            </a:p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10</xdr:row>
          <xdr:rowOff>0</xdr:rowOff>
        </xdr:from>
        <xdr:to>
          <xdr:col>6</xdr:col>
          <xdr:colOff>19050</xdr:colOff>
          <xdr:row>10</xdr:row>
          <xdr:rowOff>180975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Packing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123825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Presupuesto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391</xdr:row>
          <xdr:rowOff>47625</xdr:rowOff>
        </xdr:from>
        <xdr:to>
          <xdr:col>9</xdr:col>
          <xdr:colOff>304800</xdr:colOff>
          <xdr:row>420</xdr:row>
          <xdr:rowOff>228600</xdr:rowOff>
        </xdr:to>
        <xdr:sp macro="" textlink="">
          <xdr:nvSpPr>
            <xdr:cNvPr id="2066" name="Option 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Robots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423</xdr:row>
          <xdr:rowOff>47625</xdr:rowOff>
        </xdr:from>
        <xdr:to>
          <xdr:col>9</xdr:col>
          <xdr:colOff>304800</xdr:colOff>
          <xdr:row>517</xdr:row>
          <xdr:rowOff>38100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caneria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3</xdr:row>
          <xdr:rowOff>152400</xdr:rowOff>
        </xdr:from>
        <xdr:to>
          <xdr:col>9</xdr:col>
          <xdr:colOff>333375</xdr:colOff>
          <xdr:row>5</xdr:row>
          <xdr:rowOff>57150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6</xdr:row>
          <xdr:rowOff>152400</xdr:rowOff>
        </xdr:from>
        <xdr:to>
          <xdr:col>9</xdr:col>
          <xdr:colOff>333375</xdr:colOff>
          <xdr:row>8</xdr:row>
          <xdr:rowOff>66675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15</xdr:row>
          <xdr:rowOff>152400</xdr:rowOff>
        </xdr:from>
        <xdr:to>
          <xdr:col>9</xdr:col>
          <xdr:colOff>333375</xdr:colOff>
          <xdr:row>17</xdr:row>
          <xdr:rowOff>66675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25</xdr:row>
          <xdr:rowOff>152400</xdr:rowOff>
        </xdr:from>
        <xdr:to>
          <xdr:col>9</xdr:col>
          <xdr:colOff>333375</xdr:colOff>
          <xdr:row>27</xdr:row>
          <xdr:rowOff>66675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19</xdr:row>
          <xdr:rowOff>57150</xdr:rowOff>
        </xdr:from>
        <xdr:to>
          <xdr:col>9</xdr:col>
          <xdr:colOff>352425</xdr:colOff>
          <xdr:row>20</xdr:row>
          <xdr:rowOff>161925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28</xdr:row>
          <xdr:rowOff>114300</xdr:rowOff>
        </xdr:from>
        <xdr:to>
          <xdr:col>9</xdr:col>
          <xdr:colOff>304800</xdr:colOff>
          <xdr:row>30</xdr:row>
          <xdr:rowOff>28575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</xdr:row>
          <xdr:rowOff>152400</xdr:rowOff>
        </xdr:from>
        <xdr:to>
          <xdr:col>11</xdr:col>
          <xdr:colOff>1552575</xdr:colOff>
          <xdr:row>2</xdr:row>
          <xdr:rowOff>171450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152400</xdr:rowOff>
        </xdr:from>
        <xdr:to>
          <xdr:col>9</xdr:col>
          <xdr:colOff>571500</xdr:colOff>
          <xdr:row>7</xdr:row>
          <xdr:rowOff>66675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161925</xdr:rowOff>
        </xdr:from>
        <xdr:to>
          <xdr:col>9</xdr:col>
          <xdr:colOff>571500</xdr:colOff>
          <xdr:row>10</xdr:row>
          <xdr:rowOff>76200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152400</xdr:rowOff>
        </xdr:from>
        <xdr:to>
          <xdr:col>9</xdr:col>
          <xdr:colOff>571500</xdr:colOff>
          <xdr:row>19</xdr:row>
          <xdr:rowOff>66675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161925</xdr:rowOff>
        </xdr:from>
        <xdr:to>
          <xdr:col>9</xdr:col>
          <xdr:colOff>571500</xdr:colOff>
          <xdr:row>22</xdr:row>
          <xdr:rowOff>76200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152400</xdr:rowOff>
        </xdr:from>
        <xdr:to>
          <xdr:col>9</xdr:col>
          <xdr:colOff>571500</xdr:colOff>
          <xdr:row>30</xdr:row>
          <xdr:rowOff>66675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31</xdr:row>
          <xdr:rowOff>161925</xdr:rowOff>
        </xdr:from>
        <xdr:to>
          <xdr:col>9</xdr:col>
          <xdr:colOff>571500</xdr:colOff>
          <xdr:row>33</xdr:row>
          <xdr:rowOff>76200</xdr:rowOff>
        </xdr:to>
        <xdr:sp macro="" textlink="">
          <xdr:nvSpPr>
            <xdr:cNvPr id="3082" name="Option 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4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40</xdr:row>
          <xdr:rowOff>152400</xdr:rowOff>
        </xdr:from>
        <xdr:to>
          <xdr:col>9</xdr:col>
          <xdr:colOff>571500</xdr:colOff>
          <xdr:row>42</xdr:row>
          <xdr:rowOff>66675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43</xdr:row>
          <xdr:rowOff>161925</xdr:rowOff>
        </xdr:from>
        <xdr:to>
          <xdr:col>9</xdr:col>
          <xdr:colOff>571500</xdr:colOff>
          <xdr:row>45</xdr:row>
          <xdr:rowOff>76200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46</xdr:row>
          <xdr:rowOff>152400</xdr:rowOff>
        </xdr:from>
        <xdr:to>
          <xdr:col>9</xdr:col>
          <xdr:colOff>571500</xdr:colOff>
          <xdr:row>48</xdr:row>
          <xdr:rowOff>66675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49</xdr:row>
          <xdr:rowOff>161925</xdr:rowOff>
        </xdr:from>
        <xdr:to>
          <xdr:col>9</xdr:col>
          <xdr:colOff>571500</xdr:colOff>
          <xdr:row>51</xdr:row>
          <xdr:rowOff>76200</xdr:rowOff>
        </xdr:to>
        <xdr:sp macro="" textlink="">
          <xdr:nvSpPr>
            <xdr:cNvPr id="3086" name="Option 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52</xdr:row>
          <xdr:rowOff>152400</xdr:rowOff>
        </xdr:from>
        <xdr:to>
          <xdr:col>9</xdr:col>
          <xdr:colOff>571500</xdr:colOff>
          <xdr:row>54</xdr:row>
          <xdr:rowOff>66675</xdr:rowOff>
        </xdr:to>
        <xdr:sp macro="" textlink="">
          <xdr:nvSpPr>
            <xdr:cNvPr id="3089" name="Option 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4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55</xdr:row>
          <xdr:rowOff>161925</xdr:rowOff>
        </xdr:from>
        <xdr:to>
          <xdr:col>9</xdr:col>
          <xdr:colOff>571500</xdr:colOff>
          <xdr:row>57</xdr:row>
          <xdr:rowOff>76200</xdr:rowOff>
        </xdr:to>
        <xdr:sp macro="" textlink="">
          <xdr:nvSpPr>
            <xdr:cNvPr id="3090" name="Option 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4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59</xdr:row>
          <xdr:rowOff>152400</xdr:rowOff>
        </xdr:from>
        <xdr:to>
          <xdr:col>9</xdr:col>
          <xdr:colOff>571500</xdr:colOff>
          <xdr:row>61</xdr:row>
          <xdr:rowOff>66675</xdr:rowOff>
        </xdr:to>
        <xdr:sp macro="" textlink="">
          <xdr:nvSpPr>
            <xdr:cNvPr id="3091" name="Option 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4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62</xdr:row>
          <xdr:rowOff>161925</xdr:rowOff>
        </xdr:from>
        <xdr:to>
          <xdr:col>9</xdr:col>
          <xdr:colOff>571500</xdr:colOff>
          <xdr:row>64</xdr:row>
          <xdr:rowOff>76200</xdr:rowOff>
        </xdr:to>
        <xdr:sp macro="" textlink="">
          <xdr:nvSpPr>
            <xdr:cNvPr id="3092" name="Option 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4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72</xdr:row>
          <xdr:rowOff>152400</xdr:rowOff>
        </xdr:from>
        <xdr:to>
          <xdr:col>9</xdr:col>
          <xdr:colOff>571500</xdr:colOff>
          <xdr:row>74</xdr:row>
          <xdr:rowOff>66675</xdr:rowOff>
        </xdr:to>
        <xdr:sp macro="" textlink="">
          <xdr:nvSpPr>
            <xdr:cNvPr id="3093" name="Option 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4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75</xdr:row>
          <xdr:rowOff>161925</xdr:rowOff>
        </xdr:from>
        <xdr:to>
          <xdr:col>9</xdr:col>
          <xdr:colOff>571500</xdr:colOff>
          <xdr:row>77</xdr:row>
          <xdr:rowOff>76200</xdr:rowOff>
        </xdr:to>
        <xdr:sp macro="" textlink="">
          <xdr:nvSpPr>
            <xdr:cNvPr id="3094" name="Option 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4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</xdr:row>
          <xdr:rowOff>152400</xdr:rowOff>
        </xdr:from>
        <xdr:to>
          <xdr:col>11</xdr:col>
          <xdr:colOff>1790700</xdr:colOff>
          <xdr:row>2</xdr:row>
          <xdr:rowOff>171450</xdr:rowOff>
        </xdr:to>
        <xdr:sp macro="" textlink="">
          <xdr:nvSpPr>
            <xdr:cNvPr id="3095" name="Option 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4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Mover bombas a presu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88</xdr:row>
          <xdr:rowOff>152400</xdr:rowOff>
        </xdr:from>
        <xdr:to>
          <xdr:col>9</xdr:col>
          <xdr:colOff>571500</xdr:colOff>
          <xdr:row>90</xdr:row>
          <xdr:rowOff>66675</xdr:rowOff>
        </xdr:to>
        <xdr:sp macro="" textlink="">
          <xdr:nvSpPr>
            <xdr:cNvPr id="3096" name="Option 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4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92</xdr:row>
          <xdr:rowOff>161925</xdr:rowOff>
        </xdr:from>
        <xdr:to>
          <xdr:col>9</xdr:col>
          <xdr:colOff>571500</xdr:colOff>
          <xdr:row>94</xdr:row>
          <xdr:rowOff>76200</xdr:rowOff>
        </xdr:to>
        <xdr:sp macro="" textlink="">
          <xdr:nvSpPr>
            <xdr:cNvPr id="3098" name="Option 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4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5</xdr:row>
          <xdr:rowOff>57150</xdr:rowOff>
        </xdr:from>
        <xdr:to>
          <xdr:col>9</xdr:col>
          <xdr:colOff>590550</xdr:colOff>
          <xdr:row>6</xdr:row>
          <xdr:rowOff>152400</xdr:rowOff>
        </xdr:to>
        <xdr:sp macro="" textlink="">
          <xdr:nvSpPr>
            <xdr:cNvPr id="5172" name="Option 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7</xdr:row>
          <xdr:rowOff>57150</xdr:rowOff>
        </xdr:from>
        <xdr:to>
          <xdr:col>10</xdr:col>
          <xdr:colOff>0</xdr:colOff>
          <xdr:row>8</xdr:row>
          <xdr:rowOff>161925</xdr:rowOff>
        </xdr:to>
        <xdr:sp macro="" textlink="">
          <xdr:nvSpPr>
            <xdr:cNvPr id="5175" name="Option 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13</xdr:row>
          <xdr:rowOff>152400</xdr:rowOff>
        </xdr:from>
        <xdr:to>
          <xdr:col>9</xdr:col>
          <xdr:colOff>581025</xdr:colOff>
          <xdr:row>15</xdr:row>
          <xdr:rowOff>66675</xdr:rowOff>
        </xdr:to>
        <xdr:sp macro="" textlink="">
          <xdr:nvSpPr>
            <xdr:cNvPr id="5182" name="Option 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11</xdr:row>
          <xdr:rowOff>57150</xdr:rowOff>
        </xdr:from>
        <xdr:to>
          <xdr:col>9</xdr:col>
          <xdr:colOff>542925</xdr:colOff>
          <xdr:row>12</xdr:row>
          <xdr:rowOff>161925</xdr:rowOff>
        </xdr:to>
        <xdr:sp macro="" textlink="">
          <xdr:nvSpPr>
            <xdr:cNvPr id="5186" name="Option 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3</xdr:row>
          <xdr:rowOff>152400</xdr:rowOff>
        </xdr:from>
        <xdr:to>
          <xdr:col>11</xdr:col>
          <xdr:colOff>1847850</xdr:colOff>
          <xdr:row>5</xdr:row>
          <xdr:rowOff>66675</xdr:rowOff>
        </xdr:to>
        <xdr:sp macro="" textlink="">
          <xdr:nvSpPr>
            <xdr:cNvPr id="5226" name="Option Button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5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3</xdr:row>
          <xdr:rowOff>9525</xdr:rowOff>
        </xdr:from>
        <xdr:to>
          <xdr:col>12</xdr:col>
          <xdr:colOff>1666875</xdr:colOff>
          <xdr:row>4</xdr:row>
          <xdr:rowOff>104775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3</xdr:row>
          <xdr:rowOff>28575</xdr:rowOff>
        </xdr:from>
        <xdr:to>
          <xdr:col>12</xdr:col>
          <xdr:colOff>1638300</xdr:colOff>
          <xdr:row>4</xdr:row>
          <xdr:rowOff>104775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542925</xdr:colOff>
          <xdr:row>2</xdr:row>
          <xdr:rowOff>57150</xdr:rowOff>
        </xdr:from>
        <xdr:to>
          <xdr:col>11</xdr:col>
          <xdr:colOff>133350</xdr:colOff>
          <xdr:row>4</xdr:row>
          <xdr:rowOff>0</xdr:rowOff>
        </xdr:to>
        <xdr:sp macro="" textlink="">
          <xdr:nvSpPr>
            <xdr:cNvPr id="6148" name="Option 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4</xdr:row>
          <xdr:rowOff>142875</xdr:rowOff>
        </xdr:from>
        <xdr:to>
          <xdr:col>10</xdr:col>
          <xdr:colOff>47625</xdr:colOff>
          <xdr:row>6</xdr:row>
          <xdr:rowOff>57150</xdr:rowOff>
        </xdr:to>
        <xdr:sp macro="" textlink="">
          <xdr:nvSpPr>
            <xdr:cNvPr id="7169" name="Option 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7</xdr:row>
          <xdr:rowOff>152400</xdr:rowOff>
        </xdr:from>
        <xdr:to>
          <xdr:col>10</xdr:col>
          <xdr:colOff>47625</xdr:colOff>
          <xdr:row>9</xdr:row>
          <xdr:rowOff>66675</xdr:rowOff>
        </xdr:to>
        <xdr:sp macro="" textlink="">
          <xdr:nvSpPr>
            <xdr:cNvPr id="7170" name="Option 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23</xdr:row>
          <xdr:rowOff>152400</xdr:rowOff>
        </xdr:from>
        <xdr:to>
          <xdr:col>10</xdr:col>
          <xdr:colOff>66675</xdr:colOff>
          <xdr:row>25</xdr:row>
          <xdr:rowOff>66675</xdr:rowOff>
        </xdr:to>
        <xdr:sp macro="" textlink="">
          <xdr:nvSpPr>
            <xdr:cNvPr id="7173" name="Option 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26</xdr:row>
          <xdr:rowOff>161925</xdr:rowOff>
        </xdr:from>
        <xdr:to>
          <xdr:col>10</xdr:col>
          <xdr:colOff>66675</xdr:colOff>
          <xdr:row>28</xdr:row>
          <xdr:rowOff>66675</xdr:rowOff>
        </xdr:to>
        <xdr:sp macro="" textlink="">
          <xdr:nvSpPr>
            <xdr:cNvPr id="7174" name="Option 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31</xdr:row>
          <xdr:rowOff>47625</xdr:rowOff>
        </xdr:from>
        <xdr:to>
          <xdr:col>10</xdr:col>
          <xdr:colOff>66675</xdr:colOff>
          <xdr:row>32</xdr:row>
          <xdr:rowOff>142875</xdr:rowOff>
        </xdr:to>
        <xdr:sp macro="" textlink="">
          <xdr:nvSpPr>
            <xdr:cNvPr id="7177" name="Option 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7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34</xdr:row>
          <xdr:rowOff>47625</xdr:rowOff>
        </xdr:from>
        <xdr:to>
          <xdr:col>10</xdr:col>
          <xdr:colOff>66675</xdr:colOff>
          <xdr:row>35</xdr:row>
          <xdr:rowOff>142875</xdr:rowOff>
        </xdr:to>
        <xdr:sp macro="" textlink="">
          <xdr:nvSpPr>
            <xdr:cNvPr id="7178" name="Option 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7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39</xdr:row>
          <xdr:rowOff>133350</xdr:rowOff>
        </xdr:from>
        <xdr:to>
          <xdr:col>10</xdr:col>
          <xdr:colOff>38100</xdr:colOff>
          <xdr:row>41</xdr:row>
          <xdr:rowOff>47625</xdr:rowOff>
        </xdr:to>
        <xdr:sp macro="" textlink="">
          <xdr:nvSpPr>
            <xdr:cNvPr id="7179" name="Option 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42</xdr:row>
          <xdr:rowOff>142875</xdr:rowOff>
        </xdr:from>
        <xdr:to>
          <xdr:col>10</xdr:col>
          <xdr:colOff>38100</xdr:colOff>
          <xdr:row>44</xdr:row>
          <xdr:rowOff>47625</xdr:rowOff>
        </xdr:to>
        <xdr:sp macro="" textlink="">
          <xdr:nvSpPr>
            <xdr:cNvPr id="7180" name="Option 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7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49</xdr:row>
          <xdr:rowOff>133350</xdr:rowOff>
        </xdr:from>
        <xdr:to>
          <xdr:col>10</xdr:col>
          <xdr:colOff>38100</xdr:colOff>
          <xdr:row>51</xdr:row>
          <xdr:rowOff>47625</xdr:rowOff>
        </xdr:to>
        <xdr:sp macro="" textlink="">
          <xdr:nvSpPr>
            <xdr:cNvPr id="7181" name="Option 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7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52</xdr:row>
          <xdr:rowOff>161925</xdr:rowOff>
        </xdr:from>
        <xdr:to>
          <xdr:col>10</xdr:col>
          <xdr:colOff>38100</xdr:colOff>
          <xdr:row>54</xdr:row>
          <xdr:rowOff>57150</xdr:rowOff>
        </xdr:to>
        <xdr:sp macro="" textlink="">
          <xdr:nvSpPr>
            <xdr:cNvPr id="7182" name="Option 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7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57</xdr:row>
          <xdr:rowOff>133350</xdr:rowOff>
        </xdr:from>
        <xdr:to>
          <xdr:col>10</xdr:col>
          <xdr:colOff>38100</xdr:colOff>
          <xdr:row>59</xdr:row>
          <xdr:rowOff>47625</xdr:rowOff>
        </xdr:to>
        <xdr:sp macro="" textlink="">
          <xdr:nvSpPr>
            <xdr:cNvPr id="7185" name="Option 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7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60</xdr:row>
          <xdr:rowOff>142875</xdr:rowOff>
        </xdr:from>
        <xdr:to>
          <xdr:col>10</xdr:col>
          <xdr:colOff>38100</xdr:colOff>
          <xdr:row>62</xdr:row>
          <xdr:rowOff>47625</xdr:rowOff>
        </xdr:to>
        <xdr:sp macro="" textlink="">
          <xdr:nvSpPr>
            <xdr:cNvPr id="7186" name="Option 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7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66</xdr:row>
          <xdr:rowOff>133350</xdr:rowOff>
        </xdr:from>
        <xdr:to>
          <xdr:col>10</xdr:col>
          <xdr:colOff>38100</xdr:colOff>
          <xdr:row>68</xdr:row>
          <xdr:rowOff>47625</xdr:rowOff>
        </xdr:to>
        <xdr:sp macro="" textlink="">
          <xdr:nvSpPr>
            <xdr:cNvPr id="7187" name="Option 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7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68</xdr:row>
          <xdr:rowOff>9525</xdr:rowOff>
        </xdr:from>
        <xdr:to>
          <xdr:col>10</xdr:col>
          <xdr:colOff>28575</xdr:colOff>
          <xdr:row>69</xdr:row>
          <xdr:rowOff>104775</xdr:rowOff>
        </xdr:to>
        <xdr:sp macro="" textlink="">
          <xdr:nvSpPr>
            <xdr:cNvPr id="7188" name="Option 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7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73</xdr:row>
          <xdr:rowOff>133350</xdr:rowOff>
        </xdr:from>
        <xdr:to>
          <xdr:col>10</xdr:col>
          <xdr:colOff>38100</xdr:colOff>
          <xdr:row>75</xdr:row>
          <xdr:rowOff>47625</xdr:rowOff>
        </xdr:to>
        <xdr:sp macro="" textlink="">
          <xdr:nvSpPr>
            <xdr:cNvPr id="7189" name="Option 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7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75</xdr:row>
          <xdr:rowOff>66675</xdr:rowOff>
        </xdr:from>
        <xdr:to>
          <xdr:col>10</xdr:col>
          <xdr:colOff>9525</xdr:colOff>
          <xdr:row>76</xdr:row>
          <xdr:rowOff>152400</xdr:rowOff>
        </xdr:to>
        <xdr:sp macro="" textlink="">
          <xdr:nvSpPr>
            <xdr:cNvPr id="7190" name="Option 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7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79</xdr:row>
          <xdr:rowOff>85725</xdr:rowOff>
        </xdr:from>
        <xdr:to>
          <xdr:col>10</xdr:col>
          <xdr:colOff>9525</xdr:colOff>
          <xdr:row>80</xdr:row>
          <xdr:rowOff>180975</xdr:rowOff>
        </xdr:to>
        <xdr:sp macro="" textlink="">
          <xdr:nvSpPr>
            <xdr:cNvPr id="7191" name="Option 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7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81</xdr:row>
          <xdr:rowOff>19050</xdr:rowOff>
        </xdr:from>
        <xdr:to>
          <xdr:col>10</xdr:col>
          <xdr:colOff>28575</xdr:colOff>
          <xdr:row>82</xdr:row>
          <xdr:rowOff>114300</xdr:rowOff>
        </xdr:to>
        <xdr:sp macro="" textlink="">
          <xdr:nvSpPr>
            <xdr:cNvPr id="7192" name="Option 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7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89</xdr:row>
          <xdr:rowOff>133350</xdr:rowOff>
        </xdr:from>
        <xdr:to>
          <xdr:col>10</xdr:col>
          <xdr:colOff>38100</xdr:colOff>
          <xdr:row>91</xdr:row>
          <xdr:rowOff>47625</xdr:rowOff>
        </xdr:to>
        <xdr:sp macro="" textlink="">
          <xdr:nvSpPr>
            <xdr:cNvPr id="7193" name="Option 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7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91</xdr:row>
          <xdr:rowOff>28575</xdr:rowOff>
        </xdr:from>
        <xdr:to>
          <xdr:col>10</xdr:col>
          <xdr:colOff>38100</xdr:colOff>
          <xdr:row>92</xdr:row>
          <xdr:rowOff>114300</xdr:rowOff>
        </xdr:to>
        <xdr:sp macro="" textlink="">
          <xdr:nvSpPr>
            <xdr:cNvPr id="7194" name="Option Butto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7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93</xdr:row>
          <xdr:rowOff>142875</xdr:rowOff>
        </xdr:from>
        <xdr:to>
          <xdr:col>10</xdr:col>
          <xdr:colOff>28575</xdr:colOff>
          <xdr:row>95</xdr:row>
          <xdr:rowOff>47625</xdr:rowOff>
        </xdr:to>
        <xdr:sp macro="" textlink="">
          <xdr:nvSpPr>
            <xdr:cNvPr id="7195" name="Option 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7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95</xdr:row>
          <xdr:rowOff>19050</xdr:rowOff>
        </xdr:from>
        <xdr:to>
          <xdr:col>10</xdr:col>
          <xdr:colOff>9525</xdr:colOff>
          <xdr:row>96</xdr:row>
          <xdr:rowOff>104775</xdr:rowOff>
        </xdr:to>
        <xdr:sp macro="" textlink="">
          <xdr:nvSpPr>
            <xdr:cNvPr id="7196" name="Option Butto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7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84</xdr:row>
          <xdr:rowOff>57150</xdr:rowOff>
        </xdr:from>
        <xdr:to>
          <xdr:col>9</xdr:col>
          <xdr:colOff>581025</xdr:colOff>
          <xdr:row>85</xdr:row>
          <xdr:rowOff>19050</xdr:rowOff>
        </xdr:to>
        <xdr:sp macro="" textlink="">
          <xdr:nvSpPr>
            <xdr:cNvPr id="7199" name="Option Button 31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7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86</xdr:row>
          <xdr:rowOff>19050</xdr:rowOff>
        </xdr:from>
        <xdr:to>
          <xdr:col>9</xdr:col>
          <xdr:colOff>581025</xdr:colOff>
          <xdr:row>86</xdr:row>
          <xdr:rowOff>161925</xdr:rowOff>
        </xdr:to>
        <xdr:sp macro="" textlink="">
          <xdr:nvSpPr>
            <xdr:cNvPr id="7200" name="Option Button 32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7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1</xdr:row>
          <xdr:rowOff>152400</xdr:rowOff>
        </xdr:from>
        <xdr:to>
          <xdr:col>11</xdr:col>
          <xdr:colOff>1181100</xdr:colOff>
          <xdr:row>2</xdr:row>
          <xdr:rowOff>171450</xdr:rowOff>
        </xdr:to>
        <xdr:sp macro="" textlink="">
          <xdr:nvSpPr>
            <xdr:cNvPr id="7206" name="Option Button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7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</xdr:row>
          <xdr:rowOff>152400</xdr:rowOff>
        </xdr:from>
        <xdr:to>
          <xdr:col>11</xdr:col>
          <xdr:colOff>171450</xdr:colOff>
          <xdr:row>7</xdr:row>
          <xdr:rowOff>66675</xdr:rowOff>
        </xdr:to>
        <xdr:sp macro="" textlink="">
          <xdr:nvSpPr>
            <xdr:cNvPr id="8193" name="Option 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8</xdr:row>
          <xdr:rowOff>161925</xdr:rowOff>
        </xdr:from>
        <xdr:to>
          <xdr:col>11</xdr:col>
          <xdr:colOff>171450</xdr:colOff>
          <xdr:row>10</xdr:row>
          <xdr:rowOff>66675</xdr:rowOff>
        </xdr:to>
        <xdr:sp macro="" textlink=""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15</xdr:row>
          <xdr:rowOff>152400</xdr:rowOff>
        </xdr:from>
        <xdr:to>
          <xdr:col>11</xdr:col>
          <xdr:colOff>171450</xdr:colOff>
          <xdr:row>17</xdr:row>
          <xdr:rowOff>66675</xdr:rowOff>
        </xdr:to>
        <xdr:sp macro="" textlink="">
          <xdr:nvSpPr>
            <xdr:cNvPr id="8197" name="Option 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8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18</xdr:row>
          <xdr:rowOff>161925</xdr:rowOff>
        </xdr:from>
        <xdr:to>
          <xdr:col>11</xdr:col>
          <xdr:colOff>171450</xdr:colOff>
          <xdr:row>20</xdr:row>
          <xdr:rowOff>76200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8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37</xdr:row>
          <xdr:rowOff>152400</xdr:rowOff>
        </xdr:from>
        <xdr:to>
          <xdr:col>11</xdr:col>
          <xdr:colOff>171450</xdr:colOff>
          <xdr:row>39</xdr:row>
          <xdr:rowOff>66675</xdr:rowOff>
        </xdr:to>
        <xdr:sp macro="" textlink="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8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40</xdr:row>
          <xdr:rowOff>161925</xdr:rowOff>
        </xdr:from>
        <xdr:to>
          <xdr:col>11</xdr:col>
          <xdr:colOff>171450</xdr:colOff>
          <xdr:row>42</xdr:row>
          <xdr:rowOff>76200</xdr:rowOff>
        </xdr:to>
        <xdr:sp macro="" textlink="">
          <xdr:nvSpPr>
            <xdr:cNvPr id="8202" name="Option 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8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371475</xdr:colOff>
          <xdr:row>2</xdr:row>
          <xdr:rowOff>152400</xdr:rowOff>
        </xdr:from>
        <xdr:to>
          <xdr:col>12</xdr:col>
          <xdr:colOff>1066800</xdr:colOff>
          <xdr:row>4</xdr:row>
          <xdr:rowOff>66675</xdr:rowOff>
        </xdr:to>
        <xdr:sp macro="" textlink="">
          <xdr:nvSpPr>
            <xdr:cNvPr id="8203" name="Option 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8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2</xdr:row>
          <xdr:rowOff>123825</xdr:rowOff>
        </xdr:from>
        <xdr:to>
          <xdr:col>7</xdr:col>
          <xdr:colOff>1666875</xdr:colOff>
          <xdr:row>4</xdr:row>
          <xdr:rowOff>47625</xdr:rowOff>
        </xdr:to>
        <xdr:sp macro="" textlink="">
          <xdr:nvSpPr>
            <xdr:cNvPr id="8204" name="Option 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8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152400</xdr:rowOff>
        </xdr:from>
        <xdr:to>
          <xdr:col>11</xdr:col>
          <xdr:colOff>9525</xdr:colOff>
          <xdr:row>20</xdr:row>
          <xdr:rowOff>66675</xdr:rowOff>
        </xdr:to>
        <xdr:sp macro="" textlink="">
          <xdr:nvSpPr>
            <xdr:cNvPr id="9217" name="Option 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21</xdr:row>
          <xdr:rowOff>161925</xdr:rowOff>
        </xdr:from>
        <xdr:to>
          <xdr:col>11</xdr:col>
          <xdr:colOff>9525</xdr:colOff>
          <xdr:row>23</xdr:row>
          <xdr:rowOff>76200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31</xdr:row>
          <xdr:rowOff>152400</xdr:rowOff>
        </xdr:from>
        <xdr:to>
          <xdr:col>11</xdr:col>
          <xdr:colOff>9525</xdr:colOff>
          <xdr:row>33</xdr:row>
          <xdr:rowOff>66675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34</xdr:row>
          <xdr:rowOff>161925</xdr:rowOff>
        </xdr:from>
        <xdr:to>
          <xdr:col>11</xdr:col>
          <xdr:colOff>9525</xdr:colOff>
          <xdr:row>36</xdr:row>
          <xdr:rowOff>76200</xdr:rowOff>
        </xdr:to>
        <xdr:sp macro="" textlink="">
          <xdr:nvSpPr>
            <xdr:cNvPr id="9220" name="Option 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9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46</xdr:row>
          <xdr:rowOff>152400</xdr:rowOff>
        </xdr:from>
        <xdr:to>
          <xdr:col>11</xdr:col>
          <xdr:colOff>9525</xdr:colOff>
          <xdr:row>48</xdr:row>
          <xdr:rowOff>66675</xdr:rowOff>
        </xdr:to>
        <xdr:sp macro="" textlink="">
          <xdr:nvSpPr>
            <xdr:cNvPr id="9223" name="Option 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9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49</xdr:row>
          <xdr:rowOff>161925</xdr:rowOff>
        </xdr:from>
        <xdr:to>
          <xdr:col>11</xdr:col>
          <xdr:colOff>9525</xdr:colOff>
          <xdr:row>51</xdr:row>
          <xdr:rowOff>76200</xdr:rowOff>
        </xdr:to>
        <xdr:sp macro="" textlink="">
          <xdr:nvSpPr>
            <xdr:cNvPr id="9224" name="Option 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9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</xdr:row>
          <xdr:rowOff>171450</xdr:rowOff>
        </xdr:from>
        <xdr:to>
          <xdr:col>11</xdr:col>
          <xdr:colOff>1533525</xdr:colOff>
          <xdr:row>4</xdr:row>
          <xdr:rowOff>85725</xdr:rowOff>
        </xdr:to>
        <xdr:sp macro="" textlink="">
          <xdr:nvSpPr>
            <xdr:cNvPr id="9227" name="Option 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9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3</xdr:row>
          <xdr:rowOff>0</xdr:rowOff>
        </xdr:from>
        <xdr:to>
          <xdr:col>10</xdr:col>
          <xdr:colOff>352425</xdr:colOff>
          <xdr:row>4</xdr:row>
          <xdr:rowOff>104775</xdr:rowOff>
        </xdr:to>
        <xdr:sp macro="" textlink="">
          <xdr:nvSpPr>
            <xdr:cNvPr id="9228" name="Option 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9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7</xdr:row>
          <xdr:rowOff>123825</xdr:rowOff>
        </xdr:from>
        <xdr:to>
          <xdr:col>11</xdr:col>
          <xdr:colOff>85725</xdr:colOff>
          <xdr:row>9</xdr:row>
          <xdr:rowOff>28575</xdr:rowOff>
        </xdr:to>
        <xdr:sp macro="" textlink="">
          <xdr:nvSpPr>
            <xdr:cNvPr id="9230" name="Option 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9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3</xdr:row>
          <xdr:rowOff>9525</xdr:rowOff>
        </xdr:from>
        <xdr:to>
          <xdr:col>12</xdr:col>
          <xdr:colOff>1666875</xdr:colOff>
          <xdr:row>4</xdr:row>
          <xdr:rowOff>104775</xdr:rowOff>
        </xdr:to>
        <xdr:sp macro="" textlink="">
          <xdr:nvSpPr>
            <xdr:cNvPr id="25601" name="Option 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1</xdr:row>
          <xdr:rowOff>152400</xdr:rowOff>
        </xdr:from>
        <xdr:to>
          <xdr:col>11</xdr:col>
          <xdr:colOff>1181100</xdr:colOff>
          <xdr:row>2</xdr:row>
          <xdr:rowOff>171450</xdr:rowOff>
        </xdr:to>
        <xdr:sp macro="" textlink="">
          <xdr:nvSpPr>
            <xdr:cNvPr id="30745" name="Option Button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0B00-00001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3</xdr:row>
          <xdr:rowOff>180975</xdr:rowOff>
        </xdr:from>
        <xdr:to>
          <xdr:col>9</xdr:col>
          <xdr:colOff>514350</xdr:colOff>
          <xdr:row>5</xdr:row>
          <xdr:rowOff>85725</xdr:rowOff>
        </xdr:to>
        <xdr:sp macro="" textlink="">
          <xdr:nvSpPr>
            <xdr:cNvPr id="30746" name="Option Button 26" hidden="1">
              <a:extLst>
                <a:ext uri="{63B3BB69-23CF-44E3-9099-C40C66FF867C}">
                  <a14:compatExt spid="_x0000_s30746"/>
                </a:ext>
                <a:ext uri="{FF2B5EF4-FFF2-40B4-BE49-F238E27FC236}">
                  <a16:creationId xmlns:a16="http://schemas.microsoft.com/office/drawing/2014/main" id="{00000000-0008-0000-0B00-00001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6</xdr:row>
          <xdr:rowOff>180975</xdr:rowOff>
        </xdr:from>
        <xdr:to>
          <xdr:col>9</xdr:col>
          <xdr:colOff>514350</xdr:colOff>
          <xdr:row>8</xdr:row>
          <xdr:rowOff>95250</xdr:rowOff>
        </xdr:to>
        <xdr:sp macro="" textlink="">
          <xdr:nvSpPr>
            <xdr:cNvPr id="30747" name="Option Button 27" hidden="1">
              <a:extLst>
                <a:ext uri="{63B3BB69-23CF-44E3-9099-C40C66FF867C}">
                  <a14:compatExt spid="_x0000_s30747"/>
                </a:ext>
                <a:ext uri="{FF2B5EF4-FFF2-40B4-BE49-F238E27FC236}">
                  <a16:creationId xmlns:a16="http://schemas.microsoft.com/office/drawing/2014/main" id="{00000000-0008-0000-0B00-00001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11</xdr:row>
          <xdr:rowOff>0</xdr:rowOff>
        </xdr:from>
        <xdr:to>
          <xdr:col>9</xdr:col>
          <xdr:colOff>485775</xdr:colOff>
          <xdr:row>12</xdr:row>
          <xdr:rowOff>104775</xdr:rowOff>
        </xdr:to>
        <xdr:sp macro="" textlink="">
          <xdr:nvSpPr>
            <xdr:cNvPr id="30748" name="Option Button 28" hidden="1">
              <a:extLst>
                <a:ext uri="{63B3BB69-23CF-44E3-9099-C40C66FF867C}">
                  <a14:compatExt spid="_x0000_s30748"/>
                </a:ext>
                <a:ext uri="{FF2B5EF4-FFF2-40B4-BE49-F238E27FC236}">
                  <a16:creationId xmlns:a16="http://schemas.microsoft.com/office/drawing/2014/main" id="{00000000-0008-0000-0B00-00001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14</xdr:row>
          <xdr:rowOff>9525</xdr:rowOff>
        </xdr:from>
        <xdr:to>
          <xdr:col>9</xdr:col>
          <xdr:colOff>485775</xdr:colOff>
          <xdr:row>15</xdr:row>
          <xdr:rowOff>104775</xdr:rowOff>
        </xdr:to>
        <xdr:sp macro="" textlink="">
          <xdr:nvSpPr>
            <xdr:cNvPr id="30749" name="Option Button 29" hidden="1">
              <a:extLst>
                <a:ext uri="{63B3BB69-23CF-44E3-9099-C40C66FF867C}">
                  <a14:compatExt spid="_x0000_s30749"/>
                </a:ext>
                <a:ext uri="{FF2B5EF4-FFF2-40B4-BE49-F238E27FC236}">
                  <a16:creationId xmlns:a16="http://schemas.microsoft.com/office/drawing/2014/main" id="{00000000-0008-0000-0B00-00001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19</xdr:row>
          <xdr:rowOff>142875</xdr:rowOff>
        </xdr:from>
        <xdr:to>
          <xdr:col>9</xdr:col>
          <xdr:colOff>600075</xdr:colOff>
          <xdr:row>21</xdr:row>
          <xdr:rowOff>57150</xdr:rowOff>
        </xdr:to>
        <xdr:sp macro="" textlink="">
          <xdr:nvSpPr>
            <xdr:cNvPr id="30750" name="Option Button 30" hidden="1">
              <a:extLst>
                <a:ext uri="{63B3BB69-23CF-44E3-9099-C40C66FF867C}">
                  <a14:compatExt spid="_x0000_s30750"/>
                </a:ext>
                <a:ext uri="{FF2B5EF4-FFF2-40B4-BE49-F238E27FC236}">
                  <a16:creationId xmlns:a16="http://schemas.microsoft.com/office/drawing/2014/main" id="{00000000-0008-0000-0B00-00001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22</xdr:row>
          <xdr:rowOff>152400</xdr:rowOff>
        </xdr:from>
        <xdr:to>
          <xdr:col>9</xdr:col>
          <xdr:colOff>600075</xdr:colOff>
          <xdr:row>24</xdr:row>
          <xdr:rowOff>66675</xdr:rowOff>
        </xdr:to>
        <xdr:sp macro="" textlink="">
          <xdr:nvSpPr>
            <xdr:cNvPr id="30751" name="Option Button 31" hidden="1">
              <a:extLst>
                <a:ext uri="{63B3BB69-23CF-44E3-9099-C40C66FF867C}">
                  <a14:compatExt spid="_x0000_s30751"/>
                </a:ext>
                <a:ext uri="{FF2B5EF4-FFF2-40B4-BE49-F238E27FC236}">
                  <a16:creationId xmlns:a16="http://schemas.microsoft.com/office/drawing/2014/main" id="{00000000-0008-0000-0B00-00001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28</xdr:row>
          <xdr:rowOff>76200</xdr:rowOff>
        </xdr:from>
        <xdr:to>
          <xdr:col>9</xdr:col>
          <xdr:colOff>600075</xdr:colOff>
          <xdr:row>29</xdr:row>
          <xdr:rowOff>171450</xdr:rowOff>
        </xdr:to>
        <xdr:sp macro="" textlink="">
          <xdr:nvSpPr>
            <xdr:cNvPr id="30754" name="Option Button 34" hidden="1">
              <a:extLst>
                <a:ext uri="{63B3BB69-23CF-44E3-9099-C40C66FF867C}">
                  <a14:compatExt spid="_x0000_s30754"/>
                </a:ext>
                <a:ext uri="{FF2B5EF4-FFF2-40B4-BE49-F238E27FC236}">
                  <a16:creationId xmlns:a16="http://schemas.microsoft.com/office/drawing/2014/main" id="{00000000-0008-0000-0B00-00002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31</xdr:row>
          <xdr:rowOff>85725</xdr:rowOff>
        </xdr:from>
        <xdr:to>
          <xdr:col>9</xdr:col>
          <xdr:colOff>600075</xdr:colOff>
          <xdr:row>32</xdr:row>
          <xdr:rowOff>180975</xdr:rowOff>
        </xdr:to>
        <xdr:sp macro="" textlink="">
          <xdr:nvSpPr>
            <xdr:cNvPr id="30755" name="Option Button 35" hidden="1">
              <a:extLst>
                <a:ext uri="{63B3BB69-23CF-44E3-9099-C40C66FF867C}">
                  <a14:compatExt spid="_x0000_s30755"/>
                </a:ext>
                <a:ext uri="{FF2B5EF4-FFF2-40B4-BE49-F238E27FC236}">
                  <a16:creationId xmlns:a16="http://schemas.microsoft.com/office/drawing/2014/main" id="{00000000-0008-0000-0B00-00002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36</xdr:row>
          <xdr:rowOff>171450</xdr:rowOff>
        </xdr:from>
        <xdr:to>
          <xdr:col>9</xdr:col>
          <xdr:colOff>600075</xdr:colOff>
          <xdr:row>38</xdr:row>
          <xdr:rowOff>76200</xdr:rowOff>
        </xdr:to>
        <xdr:sp macro="" textlink="">
          <xdr:nvSpPr>
            <xdr:cNvPr id="30756" name="Option Button 36" hidden="1">
              <a:extLst>
                <a:ext uri="{63B3BB69-23CF-44E3-9099-C40C66FF867C}">
                  <a14:compatExt spid="_x0000_s30756"/>
                </a:ext>
                <a:ext uri="{FF2B5EF4-FFF2-40B4-BE49-F238E27FC236}">
                  <a16:creationId xmlns:a16="http://schemas.microsoft.com/office/drawing/2014/main" id="{00000000-0008-0000-0B00-00002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39</xdr:row>
          <xdr:rowOff>28575</xdr:rowOff>
        </xdr:from>
        <xdr:to>
          <xdr:col>9</xdr:col>
          <xdr:colOff>600075</xdr:colOff>
          <xdr:row>40</xdr:row>
          <xdr:rowOff>123825</xdr:rowOff>
        </xdr:to>
        <xdr:sp macro="" textlink="">
          <xdr:nvSpPr>
            <xdr:cNvPr id="30757" name="Option Button 37" hidden="1">
              <a:extLst>
                <a:ext uri="{63B3BB69-23CF-44E3-9099-C40C66FF867C}">
                  <a14:compatExt spid="_x0000_s30757"/>
                </a:ext>
                <a:ext uri="{FF2B5EF4-FFF2-40B4-BE49-F238E27FC236}">
                  <a16:creationId xmlns:a16="http://schemas.microsoft.com/office/drawing/2014/main" id="{00000000-0008-0000-0B00-00002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44</xdr:row>
          <xdr:rowOff>142875</xdr:rowOff>
        </xdr:from>
        <xdr:to>
          <xdr:col>9</xdr:col>
          <xdr:colOff>600075</xdr:colOff>
          <xdr:row>46</xdr:row>
          <xdr:rowOff>57150</xdr:rowOff>
        </xdr:to>
        <xdr:sp macro="" textlink="">
          <xdr:nvSpPr>
            <xdr:cNvPr id="30760" name="Option Button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0B00-00002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47</xdr:row>
          <xdr:rowOff>152400</xdr:rowOff>
        </xdr:from>
        <xdr:to>
          <xdr:col>9</xdr:col>
          <xdr:colOff>600075</xdr:colOff>
          <xdr:row>49</xdr:row>
          <xdr:rowOff>66675</xdr:rowOff>
        </xdr:to>
        <xdr:sp macro="" textlink="">
          <xdr:nvSpPr>
            <xdr:cNvPr id="30761" name="Option Button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0B00-00002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x Codigo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0</xdr:row>
          <xdr:rowOff>76200</xdr:rowOff>
        </xdr:from>
        <xdr:to>
          <xdr:col>9</xdr:col>
          <xdr:colOff>257175</xdr:colOff>
          <xdr:row>1</xdr:row>
          <xdr:rowOff>66675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descripcion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85725</xdr:rowOff>
        </xdr:from>
        <xdr:to>
          <xdr:col>11</xdr:col>
          <xdr:colOff>504825</xdr:colOff>
          <xdr:row>2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44450</xdr:colOff>
      <xdr:row>0</xdr:row>
      <xdr:rowOff>30284</xdr:rowOff>
    </xdr:from>
    <xdr:ext cx="1412631" cy="351693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9100" y="3028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3</xdr:col>
      <xdr:colOff>212263</xdr:colOff>
      <xdr:row>0</xdr:row>
      <xdr:rowOff>0</xdr:rowOff>
    </xdr:from>
    <xdr:to>
      <xdr:col>4</xdr:col>
      <xdr:colOff>733182</xdr:colOff>
      <xdr:row>3</xdr:row>
      <xdr:rowOff>84632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06513" y="0"/>
          <a:ext cx="1340069" cy="6370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79" name="Butto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C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Código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0</xdr:row>
          <xdr:rowOff>76200</xdr:rowOff>
        </xdr:from>
        <xdr:to>
          <xdr:col>9</xdr:col>
          <xdr:colOff>257175</xdr:colOff>
          <xdr:row>1</xdr:row>
          <xdr:rowOff>66675</xdr:rowOff>
        </xdr:to>
        <xdr:sp macro="" textlink="">
          <xdr:nvSpPr>
            <xdr:cNvPr id="11280" name="Button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C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descripción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84" name="Button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C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Código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1</xdr:row>
          <xdr:rowOff>9525</xdr:rowOff>
        </xdr:from>
        <xdr:to>
          <xdr:col>6</xdr:col>
          <xdr:colOff>219075</xdr:colOff>
          <xdr:row>3</xdr:row>
          <xdr:rowOff>38100</xdr:rowOff>
        </xdr:to>
        <xdr:sp macro="" textlink="">
          <xdr:nvSpPr>
            <xdr:cNvPr id="11286" name="Button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C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formul.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428625</xdr:colOff>
          <xdr:row>0</xdr:row>
          <xdr:rowOff>95250</xdr:rowOff>
        </xdr:from>
        <xdr:to>
          <xdr:col>4</xdr:col>
          <xdr:colOff>0</xdr:colOff>
          <xdr:row>1</xdr:row>
          <xdr:rowOff>76200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packing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22</xdr:row>
          <xdr:rowOff>9525</xdr:rowOff>
        </xdr:from>
        <xdr:to>
          <xdr:col>4</xdr:col>
          <xdr:colOff>285750</xdr:colOff>
          <xdr:row>23</xdr:row>
          <xdr:rowOff>57150</xdr:rowOff>
        </xdr:to>
        <xdr:sp macro="" textlink="">
          <xdr:nvSpPr>
            <xdr:cNvPr id="23554" name="Option 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F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Bombas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119</xdr:row>
          <xdr:rowOff>9525</xdr:rowOff>
        </xdr:from>
        <xdr:to>
          <xdr:col>4</xdr:col>
          <xdr:colOff>285750</xdr:colOff>
          <xdr:row>120</xdr:row>
          <xdr:rowOff>57150</xdr:rowOff>
        </xdr:to>
        <xdr:sp macro="" textlink="">
          <xdr:nvSpPr>
            <xdr:cNvPr id="23555" name="Option 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F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Pulsado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1</xdr:col>
      <xdr:colOff>266700</xdr:colOff>
      <xdr:row>2</xdr:row>
      <xdr:rowOff>30547</xdr:rowOff>
    </xdr:to>
    <xdr:pic>
      <xdr:nvPicPr>
        <xdr:cNvPr id="5" name="1 Imagen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8312150" cy="3797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128</xdr:row>
          <xdr:rowOff>9525</xdr:rowOff>
        </xdr:from>
        <xdr:to>
          <xdr:col>4</xdr:col>
          <xdr:colOff>285750</xdr:colOff>
          <xdr:row>129</xdr:row>
          <xdr:rowOff>57150</xdr:rowOff>
        </xdr:to>
        <xdr:sp macro="" textlink="">
          <xdr:nvSpPr>
            <xdr:cNvPr id="23556" name="Option 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F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Placa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180</xdr:row>
          <xdr:rowOff>9525</xdr:rowOff>
        </xdr:from>
        <xdr:to>
          <xdr:col>4</xdr:col>
          <xdr:colOff>285750</xdr:colOff>
          <xdr:row>181</xdr:row>
          <xdr:rowOff>57150</xdr:rowOff>
        </xdr:to>
        <xdr:sp macro="" textlink="">
          <xdr:nvSpPr>
            <xdr:cNvPr id="23557" name="Option 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F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 Final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272</xdr:row>
          <xdr:rowOff>104775</xdr:rowOff>
        </xdr:from>
        <xdr:to>
          <xdr:col>4</xdr:col>
          <xdr:colOff>295275</xdr:colOff>
          <xdr:row>273</xdr:row>
          <xdr:rowOff>142875</xdr:rowOff>
        </xdr:to>
        <xdr:sp macro="" textlink="">
          <xdr:nvSpPr>
            <xdr:cNvPr id="23558" name="Option 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F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extractores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313</xdr:row>
          <xdr:rowOff>0</xdr:rowOff>
        </xdr:from>
        <xdr:to>
          <xdr:col>4</xdr:col>
          <xdr:colOff>285750</xdr:colOff>
          <xdr:row>314</xdr:row>
          <xdr:rowOff>47625</xdr:rowOff>
        </xdr:to>
        <xdr:sp macro="" textlink="">
          <xdr:nvSpPr>
            <xdr:cNvPr id="23559" name="Option 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F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ISO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28575</xdr:rowOff>
        </xdr:from>
        <xdr:to>
          <xdr:col>0</xdr:col>
          <xdr:colOff>923925</xdr:colOff>
          <xdr:row>11</xdr:row>
          <xdr:rowOff>47625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F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104775</xdr:rowOff>
        </xdr:from>
        <xdr:to>
          <xdr:col>0</xdr:col>
          <xdr:colOff>914400</xdr:colOff>
          <xdr:row>12</xdr:row>
          <xdr:rowOff>161925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F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descompactar</a:t>
              </a:r>
            </a:p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493857fe249531ea/Documents/Dairy/listas%20de%20precios/2023/Septiembre/base%2009.2023.xlsx" TargetMode="External"/><Relationship Id="rId1" Type="http://schemas.openxmlformats.org/officeDocument/2006/relationships/externalLinkPath" Target="/Users/Usuario/Desktop/Nueva%20carpeta/web/base%2009.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se"/>
      <sheetName val="Aceites"/>
      <sheetName val="detergente"/>
      <sheetName val="Filtros"/>
      <sheetName val="robot"/>
    </sheetNames>
    <sheetDataSet>
      <sheetData sheetId="0">
        <row r="11">
          <cell r="A11">
            <v>7405</v>
          </cell>
          <cell r="C11" t="str">
            <v>DX</v>
          </cell>
          <cell r="D11" t="str">
            <v>HOSE, MILK, RBBR, 5/8X7/32X50'( manguera de goma)</v>
          </cell>
          <cell r="E11">
            <v>2</v>
          </cell>
          <cell r="F11">
            <v>118</v>
          </cell>
          <cell r="G11">
            <v>159.30000000000001</v>
          </cell>
          <cell r="H11">
            <v>1.1499999999999999</v>
          </cell>
          <cell r="I11">
            <v>183.19499999999999</v>
          </cell>
          <cell r="J11">
            <v>198.76657499999999</v>
          </cell>
          <cell r="K11">
            <v>248.45821874999999</v>
          </cell>
          <cell r="L11">
            <v>2</v>
          </cell>
          <cell r="M11">
            <v>276.06468749999999</v>
          </cell>
          <cell r="N11">
            <v>289.86792187499998</v>
          </cell>
          <cell r="O11">
            <v>324.78198529411765</v>
          </cell>
          <cell r="P11">
            <v>357.26018382352942</v>
          </cell>
          <cell r="Q11">
            <v>3</v>
          </cell>
          <cell r="R11">
            <v>405.97748161764702</v>
          </cell>
        </row>
        <row r="12">
          <cell r="A12">
            <v>10029</v>
          </cell>
          <cell r="C12" t="str">
            <v>Almanza</v>
          </cell>
          <cell r="D12" t="str">
            <v>Tipo Surge 10029</v>
          </cell>
          <cell r="E12">
            <v>100</v>
          </cell>
          <cell r="F12">
            <v>220.00000000000003</v>
          </cell>
          <cell r="G12">
            <v>297.00000000000006</v>
          </cell>
          <cell r="H12">
            <v>1.1499999999999999</v>
          </cell>
          <cell r="I12">
            <v>341.55</v>
          </cell>
          <cell r="J12">
            <v>370.58175</v>
          </cell>
          <cell r="K12">
            <v>463.22718749999996</v>
          </cell>
          <cell r="L12">
            <v>2</v>
          </cell>
          <cell r="M12">
            <v>514.69687499999998</v>
          </cell>
          <cell r="N12">
            <v>540.43171874999996</v>
          </cell>
          <cell r="O12">
            <v>605.52573529411768</v>
          </cell>
          <cell r="P12">
            <v>666.07830882352948</v>
          </cell>
          <cell r="Q12">
            <v>3</v>
          </cell>
          <cell r="R12">
            <v>756.90716911764707</v>
          </cell>
        </row>
        <row r="13">
          <cell r="A13">
            <v>10062</v>
          </cell>
          <cell r="C13" t="str">
            <v>Almanza</v>
          </cell>
          <cell r="D13" t="str">
            <v>Tipo surge 10062</v>
          </cell>
          <cell r="E13">
            <v>100</v>
          </cell>
          <cell r="F13">
            <v>220.00000000000003</v>
          </cell>
          <cell r="G13">
            <v>297.00000000000006</v>
          </cell>
          <cell r="H13">
            <v>1.1499999999999999</v>
          </cell>
          <cell r="I13">
            <v>341.55</v>
          </cell>
          <cell r="J13">
            <v>370.58175</v>
          </cell>
          <cell r="K13">
            <v>463.22718749999996</v>
          </cell>
          <cell r="L13">
            <v>2</v>
          </cell>
          <cell r="M13">
            <v>514.69687499999998</v>
          </cell>
          <cell r="N13">
            <v>540.43171874999996</v>
          </cell>
          <cell r="O13">
            <v>605.52573529411768</v>
          </cell>
          <cell r="P13">
            <v>666.07830882352948</v>
          </cell>
          <cell r="Q13">
            <v>3</v>
          </cell>
          <cell r="R13">
            <v>756.90716911764707</v>
          </cell>
        </row>
        <row r="14">
          <cell r="A14">
            <v>14033</v>
          </cell>
          <cell r="C14" t="str">
            <v>DX</v>
          </cell>
          <cell r="D14" t="str">
            <v>Bomba de vacio M3(VACUUM PUMP, ASSMB, M3 MASPORT)</v>
          </cell>
          <cell r="E14">
            <v>1</v>
          </cell>
          <cell r="F14">
            <v>1084</v>
          </cell>
          <cell r="G14">
            <v>1463.4</v>
          </cell>
          <cell r="H14">
            <v>1.1499999999999999</v>
          </cell>
          <cell r="I14">
            <v>1682.91</v>
          </cell>
          <cell r="J14">
            <v>1825.9573500000001</v>
          </cell>
          <cell r="K14">
            <v>2282.4466874999998</v>
          </cell>
          <cell r="L14">
            <v>2</v>
          </cell>
          <cell r="M14">
            <v>2536.0518749999997</v>
          </cell>
          <cell r="N14">
            <v>2662.8544687499998</v>
          </cell>
          <cell r="O14">
            <v>2983.5904411764704</v>
          </cell>
          <cell r="P14">
            <v>3281.9494852941179</v>
          </cell>
          <cell r="Q14">
            <v>3</v>
          </cell>
          <cell r="R14">
            <v>3729.4880514705878</v>
          </cell>
        </row>
        <row r="15">
          <cell r="A15">
            <v>14121</v>
          </cell>
          <cell r="C15" t="str">
            <v>BM</v>
          </cell>
          <cell r="D15" t="str">
            <v>CHECK VALVE 2" PVC, CANPLAS</v>
          </cell>
          <cell r="E15">
            <v>1</v>
          </cell>
          <cell r="F15">
            <v>17.904624999999999</v>
          </cell>
          <cell r="G15">
            <v>24.171243750000002</v>
          </cell>
          <cell r="H15">
            <v>1.1499999999999999</v>
          </cell>
          <cell r="I15">
            <v>27.796930312499999</v>
          </cell>
          <cell r="J15">
            <v>30.159669389062497</v>
          </cell>
          <cell r="K15">
            <v>37.699586736328122</v>
          </cell>
          <cell r="L15">
            <v>2</v>
          </cell>
          <cell r="M15">
            <v>41.888429707031243</v>
          </cell>
          <cell r="N15">
            <v>43.98285119238281</v>
          </cell>
          <cell r="O15">
            <v>49.280505537683815</v>
          </cell>
          <cell r="P15">
            <v>54.208556091452202</v>
          </cell>
          <cell r="Q15">
            <v>3</v>
          </cell>
          <cell r="R15">
            <v>61.600631922104768</v>
          </cell>
        </row>
        <row r="16">
          <cell r="A16">
            <v>14122</v>
          </cell>
          <cell r="D16" t="e">
            <v>#N/A</v>
          </cell>
          <cell r="F16">
            <v>33.770499999999998</v>
          </cell>
          <cell r="G16">
            <v>45.590175000000002</v>
          </cell>
          <cell r="H16">
            <v>1.1499999999999999</v>
          </cell>
          <cell r="I16">
            <v>52.428701249999996</v>
          </cell>
          <cell r="J16">
            <v>56.885140856249997</v>
          </cell>
          <cell r="K16">
            <v>71.106426070312494</v>
          </cell>
          <cell r="L16">
            <v>2</v>
          </cell>
          <cell r="M16">
            <v>79.007140078124991</v>
          </cell>
          <cell r="N16">
            <v>82.957497082031239</v>
          </cell>
          <cell r="O16">
            <v>92.949576562499985</v>
          </cell>
          <cell r="P16">
            <v>102.24453421874999</v>
          </cell>
          <cell r="Q16">
            <v>3</v>
          </cell>
          <cell r="R16">
            <v>116.18697070312497</v>
          </cell>
        </row>
        <row r="17">
          <cell r="A17">
            <v>14124</v>
          </cell>
          <cell r="C17" t="str">
            <v>BM</v>
          </cell>
          <cell r="D17" t="str">
            <v>CHECK VALVE 3" PVC, CANPLAS</v>
          </cell>
          <cell r="E17">
            <v>1</v>
          </cell>
          <cell r="F17">
            <v>31.37</v>
          </cell>
          <cell r="G17">
            <v>42.349500000000006</v>
          </cell>
          <cell r="H17">
            <v>1.1499999999999999</v>
          </cell>
          <cell r="I17">
            <v>48.701925000000003</v>
          </cell>
          <cell r="J17">
            <v>52.841588625</v>
          </cell>
          <cell r="K17">
            <v>66.051985781249996</v>
          </cell>
          <cell r="L17">
            <v>1</v>
          </cell>
          <cell r="M17">
            <v>69.528406085526314</v>
          </cell>
          <cell r="N17">
            <v>73.004826389802631</v>
          </cell>
          <cell r="O17">
            <v>81.798124806501548</v>
          </cell>
          <cell r="P17">
            <v>89.977937287151704</v>
          </cell>
          <cell r="Q17">
            <v>3</v>
          </cell>
          <cell r="R17">
            <v>102.24765600812692</v>
          </cell>
        </row>
        <row r="18">
          <cell r="A18">
            <v>14266</v>
          </cell>
          <cell r="D18" t="str">
            <v>PULLEY, PUMP, SDS X 6.6PD, 2 G</v>
          </cell>
          <cell r="F18">
            <v>42.38</v>
          </cell>
          <cell r="G18">
            <v>57.213000000000008</v>
          </cell>
          <cell r="H18">
            <v>1.1499999999999999</v>
          </cell>
          <cell r="I18">
            <v>65.79495</v>
          </cell>
          <cell r="J18">
            <v>71.387520749999993</v>
          </cell>
          <cell r="K18">
            <v>89.234400937499984</v>
          </cell>
          <cell r="L18">
            <v>2</v>
          </cell>
          <cell r="M18">
            <v>99.149334374999981</v>
          </cell>
          <cell r="N18">
            <v>104.10680109374998</v>
          </cell>
          <cell r="O18">
            <v>116.6462757352941</v>
          </cell>
          <cell r="P18">
            <v>128.31090330882353</v>
          </cell>
          <cell r="Q18">
            <v>3</v>
          </cell>
          <cell r="R18">
            <v>145.8078446691176</v>
          </cell>
        </row>
        <row r="19">
          <cell r="A19">
            <v>24025</v>
          </cell>
          <cell r="C19" t="str">
            <v>DX</v>
          </cell>
          <cell r="D19" t="str">
            <v>DIGIMET, SENTINEL, DM3000</v>
          </cell>
          <cell r="E19">
            <v>1</v>
          </cell>
          <cell r="F19">
            <v>726.00000000000011</v>
          </cell>
          <cell r="G19">
            <v>980.10000000000025</v>
          </cell>
          <cell r="H19">
            <v>1.1499999999999999</v>
          </cell>
          <cell r="I19">
            <v>1127.1150000000002</v>
          </cell>
          <cell r="J19">
            <v>1222.9197750000003</v>
          </cell>
          <cell r="K19">
            <v>1528.6497187500004</v>
          </cell>
          <cell r="L19">
            <v>2</v>
          </cell>
          <cell r="M19">
            <v>1698.4996875000004</v>
          </cell>
          <cell r="N19">
            <v>1783.4246718750005</v>
          </cell>
          <cell r="O19">
            <v>1998.2349264705888</v>
          </cell>
          <cell r="P19">
            <v>2198.0584191176476</v>
          </cell>
          <cell r="Q19">
            <v>3</v>
          </cell>
          <cell r="R19">
            <v>2497.793658088236</v>
          </cell>
        </row>
        <row r="20">
          <cell r="A20">
            <v>24030</v>
          </cell>
          <cell r="C20" t="str">
            <v>DX</v>
          </cell>
          <cell r="D20" t="str">
            <v>FLUJOMETRO</v>
          </cell>
          <cell r="E20">
            <v>1</v>
          </cell>
          <cell r="F20">
            <v>286</v>
          </cell>
          <cell r="G20">
            <v>386.1</v>
          </cell>
          <cell r="H20">
            <v>1.1499999999999999</v>
          </cell>
          <cell r="I20">
            <v>444.01499999999999</v>
          </cell>
          <cell r="J20">
            <v>481.75627499999996</v>
          </cell>
          <cell r="K20">
            <v>602.19534374999989</v>
          </cell>
          <cell r="L20">
            <v>2</v>
          </cell>
          <cell r="M20">
            <v>669.10593749999987</v>
          </cell>
          <cell r="N20">
            <v>702.56123437499991</v>
          </cell>
          <cell r="O20">
            <v>787.18345588235286</v>
          </cell>
          <cell r="P20">
            <v>865.90180147058823</v>
          </cell>
          <cell r="Q20">
            <v>3</v>
          </cell>
          <cell r="R20">
            <v>983.97931985294099</v>
          </cell>
        </row>
        <row r="21">
          <cell r="A21">
            <v>91043</v>
          </cell>
          <cell r="C21" t="str">
            <v>BM</v>
          </cell>
          <cell r="D21" t="str">
            <v>SFTWR,GLACIER GUARD,EG</v>
          </cell>
          <cell r="E21">
            <v>1</v>
          </cell>
          <cell r="F21">
            <v>120.32</v>
          </cell>
          <cell r="G21">
            <v>162.43199999999999</v>
          </cell>
          <cell r="H21">
            <v>1.1499999999999999</v>
          </cell>
          <cell r="I21">
            <v>186.79679999999996</v>
          </cell>
          <cell r="J21">
            <v>190.53273599999997</v>
          </cell>
          <cell r="K21">
            <v>224.15615999999997</v>
          </cell>
          <cell r="L21">
            <v>2</v>
          </cell>
          <cell r="M21">
            <v>249.06239999999997</v>
          </cell>
          <cell r="N21">
            <v>261.51551999999998</v>
          </cell>
          <cell r="O21">
            <v>293.01458823529407</v>
          </cell>
          <cell r="P21">
            <v>322.31604705882353</v>
          </cell>
          <cell r="Q21">
            <v>1</v>
          </cell>
          <cell r="R21">
            <v>325.57176470588229</v>
          </cell>
        </row>
        <row r="22">
          <cell r="A22">
            <v>140010</v>
          </cell>
          <cell r="D22" t="str">
            <v>STAND, VERT., FLOOR MIZER  W/B</v>
          </cell>
          <cell r="F22">
            <v>482.43</v>
          </cell>
          <cell r="G22">
            <v>651.28050000000007</v>
          </cell>
          <cell r="H22">
            <v>1.1499999999999999</v>
          </cell>
          <cell r="I22">
            <v>748.97257500000001</v>
          </cell>
          <cell r="J22">
            <v>812.63524387500001</v>
          </cell>
          <cell r="K22">
            <v>1015.79405484375</v>
          </cell>
          <cell r="L22">
            <v>2</v>
          </cell>
          <cell r="M22">
            <v>1128.6600609375</v>
          </cell>
          <cell r="N22">
            <v>1185.093063984375</v>
          </cell>
          <cell r="O22">
            <v>1327.8353658088236</v>
          </cell>
          <cell r="P22">
            <v>1460.6189023897061</v>
          </cell>
          <cell r="Q22">
            <v>3</v>
          </cell>
          <cell r="R22">
            <v>1659.7942072610294</v>
          </cell>
        </row>
        <row r="23">
          <cell r="A23">
            <v>240280</v>
          </cell>
          <cell r="C23" t="str">
            <v>DX</v>
          </cell>
          <cell r="D23" t="str">
            <v>PRINTER, DIGIMET 3000</v>
          </cell>
          <cell r="E23">
            <v>1</v>
          </cell>
          <cell r="F23">
            <v>286</v>
          </cell>
          <cell r="G23">
            <v>386.1</v>
          </cell>
          <cell r="H23">
            <v>1.1499999999999999</v>
          </cell>
          <cell r="I23">
            <v>444.01499999999999</v>
          </cell>
          <cell r="J23">
            <v>481.75627499999996</v>
          </cell>
          <cell r="K23">
            <v>602.19534374999989</v>
          </cell>
          <cell r="L23">
            <v>2</v>
          </cell>
          <cell r="M23">
            <v>669.10593749999987</v>
          </cell>
          <cell r="N23">
            <v>702.56123437499991</v>
          </cell>
          <cell r="O23">
            <v>787.18345588235286</v>
          </cell>
          <cell r="P23">
            <v>865.90180147058823</v>
          </cell>
          <cell r="Q23">
            <v>3</v>
          </cell>
          <cell r="R23">
            <v>983.97931985294099</v>
          </cell>
        </row>
        <row r="24">
          <cell r="A24">
            <v>240288</v>
          </cell>
          <cell r="C24" t="str">
            <v>DX</v>
          </cell>
          <cell r="D24" t="str">
            <v>DIGIMET, DM3000, COMPLETE</v>
          </cell>
          <cell r="E24">
            <v>1</v>
          </cell>
          <cell r="F24">
            <v>1243</v>
          </cell>
          <cell r="G24">
            <v>1678.0500000000002</v>
          </cell>
          <cell r="H24">
            <v>1.1499999999999999</v>
          </cell>
          <cell r="I24">
            <v>1929.7575000000002</v>
          </cell>
          <cell r="J24">
            <v>2093.7868874999999</v>
          </cell>
          <cell r="K24">
            <v>2617.2336093749996</v>
          </cell>
          <cell r="L24">
            <v>2</v>
          </cell>
          <cell r="M24">
            <v>2908.0373437499993</v>
          </cell>
          <cell r="N24">
            <v>3053.4392109374994</v>
          </cell>
          <cell r="O24">
            <v>3421.2204044117639</v>
          </cell>
          <cell r="P24">
            <v>3763.3424448529404</v>
          </cell>
          <cell r="Q24">
            <v>3</v>
          </cell>
          <cell r="R24">
            <v>4276.5255055147045</v>
          </cell>
        </row>
        <row r="25">
          <cell r="A25">
            <v>329840</v>
          </cell>
          <cell r="D25" t="e">
            <v>#N/A</v>
          </cell>
          <cell r="F25">
            <v>18.116624999999999</v>
          </cell>
          <cell r="G25">
            <v>24.457443749999999</v>
          </cell>
          <cell r="H25">
            <v>1.1499999999999999</v>
          </cell>
          <cell r="I25">
            <v>28.126060312499998</v>
          </cell>
          <cell r="J25">
            <v>30.516775439062496</v>
          </cell>
          <cell r="K25">
            <v>38.14596929882812</v>
          </cell>
          <cell r="L25">
            <v>2</v>
          </cell>
          <cell r="M25">
            <v>42.384410332031244</v>
          </cell>
          <cell r="N25">
            <v>44.50363084863281</v>
          </cell>
          <cell r="O25">
            <v>49.864012155330876</v>
          </cell>
          <cell r="P25">
            <v>54.850413370863969</v>
          </cell>
          <cell r="Q25">
            <v>3</v>
          </cell>
          <cell r="R25">
            <v>62.330015194163593</v>
          </cell>
        </row>
        <row r="26">
          <cell r="A26">
            <v>761001</v>
          </cell>
          <cell r="D26" t="str">
            <v>Aplicador con cepillo recolector (THRIFTY DIPPER, VERTICAL)</v>
          </cell>
          <cell r="F26">
            <v>60</v>
          </cell>
          <cell r="G26">
            <v>81</v>
          </cell>
          <cell r="H26">
            <v>1.1499999999999999</v>
          </cell>
          <cell r="I26">
            <v>93.149999999999991</v>
          </cell>
          <cell r="J26">
            <v>101.06774999999999</v>
          </cell>
          <cell r="K26">
            <v>126.33468749999999</v>
          </cell>
          <cell r="L26">
            <v>2</v>
          </cell>
          <cell r="M26">
            <v>140.37187499999999</v>
          </cell>
          <cell r="N26">
            <v>147.39046875</v>
          </cell>
          <cell r="O26">
            <v>165.14338235294116</v>
          </cell>
          <cell r="P26">
            <v>181.65772058823529</v>
          </cell>
          <cell r="Q26">
            <v>3</v>
          </cell>
          <cell r="R26">
            <v>206.42922794117644</v>
          </cell>
        </row>
        <row r="27">
          <cell r="A27">
            <v>1250100</v>
          </cell>
          <cell r="C27" t="str">
            <v>DX</v>
          </cell>
          <cell r="D27" t="str">
            <v xml:space="preserve"> </v>
          </cell>
          <cell r="E27">
            <v>1</v>
          </cell>
          <cell r="F27">
            <v>651</v>
          </cell>
          <cell r="G27">
            <v>878.85</v>
          </cell>
          <cell r="H27">
            <v>1.1499999999999999</v>
          </cell>
          <cell r="I27">
            <v>1010.6774999999999</v>
          </cell>
          <cell r="J27">
            <v>1096.5850874999999</v>
          </cell>
          <cell r="K27">
            <v>1370.7313593749998</v>
          </cell>
          <cell r="L27">
            <v>2</v>
          </cell>
          <cell r="M27">
            <v>1523.0348437499997</v>
          </cell>
          <cell r="N27">
            <v>1599.1865859374998</v>
          </cell>
          <cell r="O27">
            <v>1791.8056985294115</v>
          </cell>
          <cell r="P27">
            <v>1970.9862683823528</v>
          </cell>
          <cell r="Q27">
            <v>3</v>
          </cell>
          <cell r="R27">
            <v>2239.7571231617644</v>
          </cell>
        </row>
        <row r="28">
          <cell r="A28">
            <v>1413018</v>
          </cell>
          <cell r="D28" t="str">
            <v>RECLAIMER, TUBEMIZER, 2" MASPO</v>
          </cell>
          <cell r="F28">
            <v>433.35</v>
          </cell>
          <cell r="G28">
            <v>585.02250000000004</v>
          </cell>
          <cell r="H28">
            <v>1.1499999999999999</v>
          </cell>
          <cell r="I28">
            <v>672.77587500000004</v>
          </cell>
          <cell r="J28">
            <v>729.96182437499999</v>
          </cell>
          <cell r="K28">
            <v>912.4522804687499</v>
          </cell>
          <cell r="L28">
            <v>2</v>
          </cell>
          <cell r="M28">
            <v>1013.8358671874998</v>
          </cell>
          <cell r="N28">
            <v>1064.5276605468748</v>
          </cell>
          <cell r="O28">
            <v>1192.7480790441175</v>
          </cell>
          <cell r="P28">
            <v>1312.0228869485293</v>
          </cell>
          <cell r="Q28">
            <v>3</v>
          </cell>
          <cell r="R28">
            <v>1490.9350988051467</v>
          </cell>
        </row>
        <row r="29">
          <cell r="A29">
            <v>1996546</v>
          </cell>
          <cell r="C29" t="str">
            <v>BM</v>
          </cell>
          <cell r="D29" t="str">
            <v>WIRE,STRD,18AWG,pick/WHT,1015</v>
          </cell>
          <cell r="E29">
            <v>1</v>
          </cell>
          <cell r="F29">
            <v>0.06</v>
          </cell>
          <cell r="G29">
            <v>8.1000000000000003E-2</v>
          </cell>
          <cell r="H29">
            <v>1.1499999999999999</v>
          </cell>
          <cell r="I29">
            <v>9.3149999999999997E-2</v>
          </cell>
          <cell r="J29">
            <v>0.10106775</v>
          </cell>
          <cell r="K29">
            <v>0.12633468749999999</v>
          </cell>
          <cell r="L29">
            <v>2</v>
          </cell>
          <cell r="M29">
            <v>0.14037187499999998</v>
          </cell>
          <cell r="N29">
            <v>0.14739046874999998</v>
          </cell>
          <cell r="O29">
            <v>0.16514338235294115</v>
          </cell>
          <cell r="P29">
            <v>0.18165772058823529</v>
          </cell>
          <cell r="Q29">
            <v>3</v>
          </cell>
          <cell r="R29">
            <v>0.20642922794117644</v>
          </cell>
        </row>
        <row r="30">
          <cell r="A30">
            <v>1996551</v>
          </cell>
          <cell r="C30" t="str">
            <v>BM</v>
          </cell>
          <cell r="D30" t="str">
            <v>WIRE,STRD,18AWG,black/WHT,1015</v>
          </cell>
          <cell r="E30">
            <v>1</v>
          </cell>
          <cell r="F30">
            <v>0.06</v>
          </cell>
          <cell r="G30">
            <v>8.1000000000000003E-2</v>
          </cell>
          <cell r="H30">
            <v>1.1499999999999999</v>
          </cell>
          <cell r="I30">
            <v>9.3149999999999997E-2</v>
          </cell>
          <cell r="J30">
            <v>0.10106775</v>
          </cell>
          <cell r="K30">
            <v>0.12633468749999999</v>
          </cell>
          <cell r="L30">
            <v>2</v>
          </cell>
          <cell r="M30">
            <v>0.14037187499999998</v>
          </cell>
          <cell r="N30">
            <v>0.14739046874999998</v>
          </cell>
          <cell r="O30">
            <v>0.16514338235294115</v>
          </cell>
          <cell r="P30">
            <v>0.18165772058823529</v>
          </cell>
          <cell r="Q30">
            <v>3</v>
          </cell>
          <cell r="R30">
            <v>0.20642922794117644</v>
          </cell>
        </row>
        <row r="31">
          <cell r="A31">
            <v>1997019</v>
          </cell>
          <cell r="C31" t="str">
            <v>BM</v>
          </cell>
          <cell r="D31" t="str">
            <v>WIRE,STRD,12AWG,BLK/WHT,1015</v>
          </cell>
          <cell r="E31">
            <v>1</v>
          </cell>
          <cell r="F31">
            <v>0.22</v>
          </cell>
          <cell r="G31">
            <v>0.29700000000000004</v>
          </cell>
          <cell r="H31">
            <v>1.1499999999999999</v>
          </cell>
          <cell r="I31">
            <v>0.34155000000000002</v>
          </cell>
          <cell r="J31">
            <v>0.37058174999999999</v>
          </cell>
          <cell r="K31">
            <v>0.46322718749999997</v>
          </cell>
          <cell r="L31">
            <v>2</v>
          </cell>
          <cell r="M31">
            <v>0.51469687499999994</v>
          </cell>
          <cell r="N31">
            <v>0.54043171874999996</v>
          </cell>
          <cell r="O31">
            <v>0.60552573529411757</v>
          </cell>
          <cell r="P31">
            <v>0.66607830882352936</v>
          </cell>
          <cell r="Q31">
            <v>3</v>
          </cell>
          <cell r="R31">
            <v>0.75690716911764688</v>
          </cell>
        </row>
        <row r="32">
          <cell r="A32">
            <v>1997020</v>
          </cell>
          <cell r="C32" t="str">
            <v>BM</v>
          </cell>
          <cell r="D32" t="str">
            <v>WIRE,STRD,12AWG,PINK/WHT,1015</v>
          </cell>
          <cell r="E32">
            <v>1</v>
          </cell>
          <cell r="F32">
            <v>0.02</v>
          </cell>
          <cell r="G32">
            <v>2.7000000000000003E-2</v>
          </cell>
          <cell r="H32">
            <v>1.1499999999999999</v>
          </cell>
          <cell r="I32">
            <v>3.1050000000000001E-2</v>
          </cell>
          <cell r="J32">
            <v>3.3689249999999997E-2</v>
          </cell>
          <cell r="K32">
            <v>4.2111562499999991E-2</v>
          </cell>
          <cell r="L32">
            <v>2</v>
          </cell>
          <cell r="M32">
            <v>4.6790624999999988E-2</v>
          </cell>
          <cell r="N32">
            <v>4.9130156249999987E-2</v>
          </cell>
          <cell r="O32">
            <v>5.5047794117647049E-2</v>
          </cell>
          <cell r="P32">
            <v>6.0552573529411756E-2</v>
          </cell>
          <cell r="Q32">
            <v>3</v>
          </cell>
          <cell r="R32">
            <v>6.8809742647058803E-2</v>
          </cell>
        </row>
        <row r="33">
          <cell r="A33">
            <v>3556784</v>
          </cell>
          <cell r="C33" t="str">
            <v>BM</v>
          </cell>
          <cell r="D33" t="str">
            <v>KIT,PROGRAMMER,HANDHELD</v>
          </cell>
          <cell r="E33">
            <v>1</v>
          </cell>
          <cell r="F33">
            <v>743.08190000000002</v>
          </cell>
          <cell r="G33">
            <v>1003.1605650000001</v>
          </cell>
          <cell r="H33">
            <v>1.1499999999999999</v>
          </cell>
          <cell r="I33">
            <v>1153.6346497500001</v>
          </cell>
          <cell r="J33">
            <v>1251.6935949787501</v>
          </cell>
          <cell r="K33">
            <v>1564.6169937234374</v>
          </cell>
          <cell r="L33">
            <v>2</v>
          </cell>
          <cell r="M33">
            <v>1738.4633263593748</v>
          </cell>
          <cell r="N33">
            <v>1825.3864926773435</v>
          </cell>
          <cell r="O33">
            <v>2045.2509721874999</v>
          </cell>
          <cell r="P33">
            <v>2249.7760694062499</v>
          </cell>
          <cell r="Q33">
            <v>3</v>
          </cell>
          <cell r="R33">
            <v>2556.5637152343747</v>
          </cell>
        </row>
        <row r="34">
          <cell r="A34">
            <v>3557096</v>
          </cell>
          <cell r="C34" t="str">
            <v>BM</v>
          </cell>
          <cell r="D34" t="str">
            <v>CONNECTOR ASSY,DETACHER</v>
          </cell>
          <cell r="E34">
            <v>1</v>
          </cell>
          <cell r="F34">
            <v>9.5590000000000011</v>
          </cell>
          <cell r="G34">
            <v>12.904650000000002</v>
          </cell>
          <cell r="H34">
            <v>1.1499999999999999</v>
          </cell>
          <cell r="I34">
            <v>14.840347500000002</v>
          </cell>
          <cell r="J34">
            <v>16.1017770375</v>
          </cell>
          <cell r="K34">
            <v>20.127221296875</v>
          </cell>
          <cell r="L34">
            <v>2</v>
          </cell>
          <cell r="M34">
            <v>22.363579218750001</v>
          </cell>
          <cell r="N34">
            <v>23.481758179687503</v>
          </cell>
          <cell r="O34">
            <v>26.310093198529412</v>
          </cell>
          <cell r="P34">
            <v>28.941102518382355</v>
          </cell>
          <cell r="Q34">
            <v>3</v>
          </cell>
          <cell r="R34">
            <v>32.887616498161762</v>
          </cell>
        </row>
        <row r="35">
          <cell r="A35">
            <v>3558245</v>
          </cell>
          <cell r="D35" t="e">
            <v>#N/A</v>
          </cell>
          <cell r="F35">
            <v>274.83</v>
          </cell>
          <cell r="G35">
            <v>371.02050000000003</v>
          </cell>
          <cell r="H35">
            <v>1.1499999999999999</v>
          </cell>
          <cell r="I35">
            <v>426.67357499999997</v>
          </cell>
          <cell r="J35">
            <v>462.94082887499997</v>
          </cell>
          <cell r="K35">
            <v>578.67603609374987</v>
          </cell>
          <cell r="L35">
            <v>2</v>
          </cell>
          <cell r="M35">
            <v>642.97337343749984</v>
          </cell>
          <cell r="N35">
            <v>675.12204210937489</v>
          </cell>
          <cell r="O35">
            <v>756.4392628676469</v>
          </cell>
          <cell r="P35">
            <v>832.08318915441168</v>
          </cell>
          <cell r="Q35">
            <v>3</v>
          </cell>
          <cell r="R35">
            <v>945.54907858455863</v>
          </cell>
        </row>
        <row r="36">
          <cell r="A36">
            <v>3558254</v>
          </cell>
          <cell r="D36" t="e">
            <v>#N/A</v>
          </cell>
          <cell r="F36">
            <v>16</v>
          </cell>
          <cell r="G36">
            <v>21.6</v>
          </cell>
          <cell r="H36">
            <v>1.1499999999999999</v>
          </cell>
          <cell r="I36">
            <v>24.84</v>
          </cell>
          <cell r="J36">
            <v>26.9514</v>
          </cell>
          <cell r="K36">
            <v>33.689249999999994</v>
          </cell>
          <cell r="L36">
            <v>2</v>
          </cell>
          <cell r="M36">
            <v>37.43249999999999</v>
          </cell>
          <cell r="N36">
            <v>39.304124999999992</v>
          </cell>
          <cell r="O36">
            <v>44.038235294117634</v>
          </cell>
          <cell r="P36">
            <v>48.442058823529401</v>
          </cell>
          <cell r="Q36">
            <v>3</v>
          </cell>
          <cell r="R36">
            <v>55.047794117647037</v>
          </cell>
        </row>
        <row r="37">
          <cell r="A37">
            <v>3558256</v>
          </cell>
          <cell r="C37" t="str">
            <v>BM</v>
          </cell>
          <cell r="D37" t="str">
            <v>KIT,PARLOR COMPANION,W/MYI</v>
          </cell>
          <cell r="E37">
            <v>1</v>
          </cell>
          <cell r="F37">
            <v>506.36837500000001</v>
          </cell>
          <cell r="G37">
            <v>683.59730625000009</v>
          </cell>
          <cell r="H37">
            <v>1.1499999999999999</v>
          </cell>
          <cell r="I37">
            <v>786.13690218750003</v>
          </cell>
          <cell r="J37">
            <v>852.95853887343753</v>
          </cell>
          <cell r="K37">
            <v>1066.1981735917968</v>
          </cell>
          <cell r="L37">
            <v>1</v>
          </cell>
          <cell r="M37">
            <v>1122.3138669387336</v>
          </cell>
          <cell r="N37">
            <v>1178.4295602856703</v>
          </cell>
          <cell r="O37">
            <v>1320.3692552220396</v>
          </cell>
          <cell r="P37">
            <v>1452.4061807442436</v>
          </cell>
          <cell r="Q37">
            <v>3</v>
          </cell>
          <cell r="R37">
            <v>1650.4615690275493</v>
          </cell>
        </row>
        <row r="38">
          <cell r="A38">
            <v>3558258</v>
          </cell>
          <cell r="C38" t="str">
            <v>BM</v>
          </cell>
          <cell r="D38" t="str">
            <v>DET,PAR CMP,W/MYI,VAC</v>
          </cell>
          <cell r="E38">
            <v>1</v>
          </cell>
          <cell r="F38">
            <v>1126.56</v>
          </cell>
          <cell r="G38">
            <v>1520.856</v>
          </cell>
          <cell r="H38">
            <v>1.1499999999999999</v>
          </cell>
          <cell r="I38">
            <v>1748.9843999999998</v>
          </cell>
          <cell r="J38">
            <v>1897.6480739999997</v>
          </cell>
          <cell r="K38">
            <v>2372.0600924999994</v>
          </cell>
          <cell r="L38">
            <v>2</v>
          </cell>
          <cell r="M38">
            <v>2635.6223249999994</v>
          </cell>
          <cell r="N38">
            <v>2767.4034412499996</v>
          </cell>
          <cell r="O38">
            <v>3100.7321470588226</v>
          </cell>
          <cell r="P38">
            <v>3410.8053617647051</v>
          </cell>
          <cell r="Q38">
            <v>3</v>
          </cell>
          <cell r="R38">
            <v>3875.915183823528</v>
          </cell>
        </row>
        <row r="39">
          <cell r="A39">
            <v>3558321</v>
          </cell>
          <cell r="C39" t="str">
            <v>BM</v>
          </cell>
          <cell r="D39" t="str">
            <v>CABLE,4-COND,24GA,500 FT</v>
          </cell>
          <cell r="E39">
            <v>1</v>
          </cell>
          <cell r="F39">
            <v>226.60000000000002</v>
          </cell>
          <cell r="G39">
            <v>305.91000000000003</v>
          </cell>
          <cell r="H39">
            <v>1.1499999999999999</v>
          </cell>
          <cell r="I39">
            <v>351.79649999999998</v>
          </cell>
          <cell r="J39">
            <v>381.69920249999996</v>
          </cell>
          <cell r="K39">
            <v>477.12400312499994</v>
          </cell>
          <cell r="L39">
            <v>2</v>
          </cell>
          <cell r="M39">
            <v>530.13778124999988</v>
          </cell>
          <cell r="N39">
            <v>556.6446703124999</v>
          </cell>
          <cell r="O39">
            <v>623.69150735294102</v>
          </cell>
          <cell r="P39">
            <v>686.06065808823519</v>
          </cell>
          <cell r="Q39">
            <v>3</v>
          </cell>
          <cell r="R39">
            <v>779.61438419117621</v>
          </cell>
        </row>
        <row r="40">
          <cell r="A40">
            <v>3558334</v>
          </cell>
          <cell r="D40" t="e">
            <v>#N/A</v>
          </cell>
          <cell r="F40">
            <v>28.16</v>
          </cell>
          <cell r="G40">
            <v>38.016000000000005</v>
          </cell>
          <cell r="H40">
            <v>1.1499999999999999</v>
          </cell>
          <cell r="I40">
            <v>43.718400000000003</v>
          </cell>
          <cell r="J40">
            <v>47.434463999999998</v>
          </cell>
          <cell r="K40">
            <v>59.293079999999996</v>
          </cell>
          <cell r="L40">
            <v>2</v>
          </cell>
          <cell r="M40">
            <v>65.881199999999993</v>
          </cell>
          <cell r="N40">
            <v>69.175259999999994</v>
          </cell>
          <cell r="O40">
            <v>77.507294117647049</v>
          </cell>
          <cell r="P40">
            <v>85.258023529411759</v>
          </cell>
          <cell r="Q40">
            <v>3</v>
          </cell>
          <cell r="R40">
            <v>96.884117647058801</v>
          </cell>
        </row>
        <row r="41">
          <cell r="A41">
            <v>3558444</v>
          </cell>
          <cell r="C41" t="str">
            <v>BM</v>
          </cell>
          <cell r="D41" t="str">
            <v>KIT,PAR CMP,W/MYI,VAC/CLMP/VAC</v>
          </cell>
          <cell r="E41">
            <v>1</v>
          </cell>
          <cell r="F41">
            <v>1151.1099999999999</v>
          </cell>
          <cell r="G41">
            <v>1553.9984999999999</v>
          </cell>
          <cell r="H41">
            <v>1.1499999999999999</v>
          </cell>
          <cell r="I41">
            <v>1787.0982749999998</v>
          </cell>
          <cell r="J41">
            <v>1939.0016283749997</v>
          </cell>
          <cell r="K41">
            <v>2423.7520354687495</v>
          </cell>
          <cell r="L41">
            <v>2</v>
          </cell>
          <cell r="M41">
            <v>2693.0578171874995</v>
          </cell>
          <cell r="N41">
            <v>2827.7107080468745</v>
          </cell>
          <cell r="O41">
            <v>3168.3033143382349</v>
          </cell>
          <cell r="P41">
            <v>3485.1336457720586</v>
          </cell>
          <cell r="Q41">
            <v>3</v>
          </cell>
          <cell r="R41">
            <v>3960.3791429227936</v>
          </cell>
        </row>
        <row r="42">
          <cell r="A42">
            <v>3559085</v>
          </cell>
          <cell r="D42" t="str">
            <v>ANTENNA,HDPE,60X100,ISO ID</v>
          </cell>
          <cell r="F42">
            <v>620.76</v>
          </cell>
          <cell r="G42">
            <v>838.02600000000007</v>
          </cell>
          <cell r="H42">
            <v>1.1499999999999999</v>
          </cell>
          <cell r="I42">
            <v>963.72990000000004</v>
          </cell>
          <cell r="J42">
            <v>1045.6469414999999</v>
          </cell>
          <cell r="K42">
            <v>1307.0586768749997</v>
          </cell>
          <cell r="L42">
            <v>2</v>
          </cell>
          <cell r="M42">
            <v>1452.2874187499997</v>
          </cell>
          <cell r="N42">
            <v>1524.9017896874998</v>
          </cell>
          <cell r="O42">
            <v>1708.5734338235291</v>
          </cell>
          <cell r="P42">
            <v>1879.4307772058821</v>
          </cell>
          <cell r="Q42">
            <v>3</v>
          </cell>
          <cell r="R42">
            <v>2135.716792279411</v>
          </cell>
        </row>
        <row r="43">
          <cell r="A43">
            <v>3559261</v>
          </cell>
          <cell r="D43" t="e">
            <v>#N/A</v>
          </cell>
          <cell r="F43">
            <v>44.959249999999997</v>
          </cell>
          <cell r="G43">
            <v>60.694987500000003</v>
          </cell>
          <cell r="H43">
            <v>1.1499999999999999</v>
          </cell>
          <cell r="I43">
            <v>69.799235624999994</v>
          </cell>
          <cell r="J43">
            <v>75.732170653124996</v>
          </cell>
          <cell r="K43">
            <v>94.665213316406238</v>
          </cell>
          <cell r="L43">
            <v>2</v>
          </cell>
          <cell r="M43">
            <v>105.18357035156248</v>
          </cell>
          <cell r="N43">
            <v>110.44274886914062</v>
          </cell>
          <cell r="O43">
            <v>123.74537688419116</v>
          </cell>
          <cell r="P43">
            <v>136.1199145726103</v>
          </cell>
          <cell r="Q43">
            <v>3</v>
          </cell>
          <cell r="R43">
            <v>154.68172110523895</v>
          </cell>
        </row>
        <row r="44">
          <cell r="A44">
            <v>3562269</v>
          </cell>
          <cell r="D44" t="str">
            <v>PKG STARTER,REALTIME,US</v>
          </cell>
          <cell r="F44">
            <v>4500</v>
          </cell>
          <cell r="G44">
            <v>6075</v>
          </cell>
          <cell r="H44">
            <v>1.1499999999999999</v>
          </cell>
          <cell r="I44">
            <v>6986.2499999999991</v>
          </cell>
          <cell r="J44">
            <v>7580.0812499999984</v>
          </cell>
          <cell r="K44">
            <v>9475.1015624999982</v>
          </cell>
          <cell r="L44">
            <v>2</v>
          </cell>
          <cell r="M44">
            <v>10527.890624999998</v>
          </cell>
          <cell r="N44">
            <v>11054.285156249998</v>
          </cell>
          <cell r="O44">
            <v>12385.753676470586</v>
          </cell>
          <cell r="P44">
            <v>13624.329044117645</v>
          </cell>
          <cell r="Q44">
            <v>3</v>
          </cell>
          <cell r="R44">
            <v>15482.192095588231</v>
          </cell>
        </row>
        <row r="45">
          <cell r="A45">
            <v>3562341</v>
          </cell>
          <cell r="D45" t="str">
            <v>CONTROL ASSY,5450</v>
          </cell>
          <cell r="E45" t="str">
            <v>1</v>
          </cell>
          <cell r="F45">
            <v>273.55</v>
          </cell>
          <cell r="G45">
            <v>369.29250000000002</v>
          </cell>
          <cell r="H45">
            <v>1.1499999999999999</v>
          </cell>
          <cell r="I45">
            <v>424.686375</v>
          </cell>
          <cell r="J45">
            <v>460.78471687499996</v>
          </cell>
          <cell r="K45">
            <v>575.98089609374995</v>
          </cell>
          <cell r="L45">
            <v>2</v>
          </cell>
          <cell r="M45">
            <v>639.97877343749997</v>
          </cell>
          <cell r="N45">
            <v>671.97771210937503</v>
          </cell>
          <cell r="O45">
            <v>752.91620404411765</v>
          </cell>
          <cell r="P45">
            <v>828.20782444852944</v>
          </cell>
          <cell r="Q45">
            <v>1</v>
          </cell>
          <cell r="R45">
            <v>836.57356004901953</v>
          </cell>
        </row>
        <row r="46">
          <cell r="A46">
            <v>3562411</v>
          </cell>
          <cell r="C46" t="str">
            <v>BM</v>
          </cell>
          <cell r="D46" t="str">
            <v>DETACHER ASSY,5450</v>
          </cell>
          <cell r="E46">
            <v>1</v>
          </cell>
          <cell r="F46">
            <v>467.5</v>
          </cell>
          <cell r="G46">
            <v>631.125</v>
          </cell>
          <cell r="H46">
            <v>1.1499999999999999</v>
          </cell>
          <cell r="I46">
            <v>725.79374999999993</v>
          </cell>
          <cell r="J46">
            <v>787.48621874999992</v>
          </cell>
          <cell r="K46">
            <v>984.35777343749987</v>
          </cell>
          <cell r="L46">
            <v>1</v>
          </cell>
          <cell r="M46">
            <v>1036.1660773026315</v>
          </cell>
          <cell r="N46">
            <v>1087.9743811677631</v>
          </cell>
          <cell r="O46">
            <v>1219.0189144736842</v>
          </cell>
          <cell r="P46">
            <v>1340.9208059210528</v>
          </cell>
          <cell r="Q46">
            <v>3</v>
          </cell>
          <cell r="R46">
            <v>1523.7736430921052</v>
          </cell>
        </row>
        <row r="47">
          <cell r="A47">
            <v>4012574</v>
          </cell>
          <cell r="C47" t="str">
            <v>BM</v>
          </cell>
          <cell r="D47" t="str">
            <v>LINE SETS,PRE-CHARGED,30FT</v>
          </cell>
          <cell r="E47">
            <v>1</v>
          </cell>
          <cell r="F47">
            <v>190.67279000000002</v>
          </cell>
          <cell r="G47">
            <v>257.40826650000002</v>
          </cell>
          <cell r="H47">
            <v>1.1499999999999999</v>
          </cell>
          <cell r="I47">
            <v>296.01950647500001</v>
          </cell>
          <cell r="J47">
            <v>301.93989660450001</v>
          </cell>
          <cell r="K47">
            <v>355.22340776999999</v>
          </cell>
          <cell r="L47">
            <v>2</v>
          </cell>
          <cell r="M47">
            <v>394.69267529999996</v>
          </cell>
          <cell r="N47">
            <v>414.42730906499997</v>
          </cell>
          <cell r="O47">
            <v>464.34432388235291</v>
          </cell>
          <cell r="P47">
            <v>510.77875627058825</v>
          </cell>
          <cell r="Q47">
            <v>1</v>
          </cell>
          <cell r="R47">
            <v>515.93813764705874</v>
          </cell>
        </row>
        <row r="48">
          <cell r="A48">
            <v>4013926</v>
          </cell>
          <cell r="C48" t="str">
            <v>BM</v>
          </cell>
          <cell r="D48" t="str">
            <v>LINE SETS,PRE-CHARGED,30FT</v>
          </cell>
          <cell r="E48">
            <v>1</v>
          </cell>
          <cell r="F48">
            <v>165</v>
          </cell>
          <cell r="G48">
            <v>222.75000000000003</v>
          </cell>
          <cell r="H48">
            <v>1.1499999999999999</v>
          </cell>
          <cell r="I48">
            <v>256.16250000000002</v>
          </cell>
          <cell r="J48">
            <v>261.28575000000001</v>
          </cell>
          <cell r="K48">
            <v>307.39500000000004</v>
          </cell>
          <cell r="L48">
            <v>2</v>
          </cell>
          <cell r="M48">
            <v>341.55</v>
          </cell>
          <cell r="N48">
            <v>358.62750000000005</v>
          </cell>
          <cell r="O48">
            <v>401.82352941176475</v>
          </cell>
          <cell r="P48">
            <v>442.00588235294128</v>
          </cell>
          <cell r="Q48">
            <v>1</v>
          </cell>
          <cell r="R48">
            <v>446.47058823529414</v>
          </cell>
        </row>
        <row r="49">
          <cell r="A49">
            <v>4016152</v>
          </cell>
          <cell r="D49" t="e">
            <v>#N/A</v>
          </cell>
          <cell r="E49">
            <v>1</v>
          </cell>
          <cell r="F49">
            <v>688.69</v>
          </cell>
          <cell r="G49">
            <v>929.7315000000001</v>
          </cell>
          <cell r="H49">
            <v>1.1499999999999999</v>
          </cell>
          <cell r="I49">
            <v>1069.191225</v>
          </cell>
          <cell r="J49">
            <v>1160.072479125</v>
          </cell>
          <cell r="K49">
            <v>1450.0905989062499</v>
          </cell>
          <cell r="L49">
            <v>2</v>
          </cell>
          <cell r="M49">
            <v>1611.2117765624998</v>
          </cell>
          <cell r="N49">
            <v>1691.7723653906248</v>
          </cell>
          <cell r="O49">
            <v>1895.5432665441176</v>
          </cell>
          <cell r="P49">
            <v>2085.0975931985295</v>
          </cell>
          <cell r="Q49">
            <v>3</v>
          </cell>
          <cell r="R49">
            <v>2369.4290831801468</v>
          </cell>
        </row>
        <row r="50">
          <cell r="A50">
            <v>4017219</v>
          </cell>
          <cell r="C50" t="str">
            <v>BM</v>
          </cell>
          <cell r="D50" t="str">
            <v>RELAY,TIME DELAY</v>
          </cell>
          <cell r="E50">
            <v>1</v>
          </cell>
          <cell r="F50">
            <v>41.800000000000004</v>
          </cell>
          <cell r="G50">
            <v>56.430000000000007</v>
          </cell>
          <cell r="H50">
            <v>1.1499999999999999</v>
          </cell>
          <cell r="I50">
            <v>64.894500000000008</v>
          </cell>
          <cell r="J50">
            <v>66.192390000000003</v>
          </cell>
          <cell r="K50">
            <v>77.873400000000004</v>
          </cell>
          <cell r="L50">
            <v>2</v>
          </cell>
          <cell r="M50">
            <v>86.525999999999996</v>
          </cell>
          <cell r="N50">
            <v>90.8523</v>
          </cell>
          <cell r="O50">
            <v>101.79529411764706</v>
          </cell>
          <cell r="P50">
            <v>111.97482352941178</v>
          </cell>
          <cell r="Q50">
            <v>1</v>
          </cell>
          <cell r="R50">
            <v>113.10588235294118</v>
          </cell>
        </row>
        <row r="51">
          <cell r="A51">
            <v>4019690</v>
          </cell>
          <cell r="C51" t="str">
            <v>BM</v>
          </cell>
          <cell r="D51" t="str">
            <v>PLATE COOLER,DK,1PSC30</v>
          </cell>
          <cell r="E51">
            <v>1</v>
          </cell>
          <cell r="F51">
            <v>3576.0560000000005</v>
          </cell>
          <cell r="G51">
            <v>4827.6756000000014</v>
          </cell>
          <cell r="H51">
            <v>1.1499999999999999</v>
          </cell>
          <cell r="I51">
            <v>5551.8269400000008</v>
          </cell>
          <cell r="J51">
            <v>6023.7322299000007</v>
          </cell>
          <cell r="K51">
            <v>7529.6652873750008</v>
          </cell>
          <cell r="L51">
            <v>2</v>
          </cell>
          <cell r="M51">
            <v>8366.2947637500001</v>
          </cell>
          <cell r="N51">
            <v>8784.6095019375007</v>
          </cell>
          <cell r="O51">
            <v>9842.6997220588237</v>
          </cell>
          <cell r="P51">
            <v>10826.969694264706</v>
          </cell>
          <cell r="Q51">
            <v>3</v>
          </cell>
          <cell r="R51">
            <v>12303.37465257353</v>
          </cell>
        </row>
        <row r="52">
          <cell r="A52">
            <v>4019691</v>
          </cell>
          <cell r="C52" t="str">
            <v>BM</v>
          </cell>
          <cell r="D52" t="str">
            <v>PLATE COOLER,DK,1PSC50</v>
          </cell>
          <cell r="E52">
            <v>1</v>
          </cell>
          <cell r="F52">
            <v>4706.4269999999997</v>
          </cell>
          <cell r="G52">
            <v>6353.6764499999999</v>
          </cell>
          <cell r="H52">
            <v>1.1499999999999999</v>
          </cell>
          <cell r="I52">
            <v>7306.7279174999994</v>
          </cell>
          <cell r="J52">
            <v>7927.7997904874992</v>
          </cell>
          <cell r="K52">
            <v>9909.7497381093726</v>
          </cell>
          <cell r="L52">
            <v>2</v>
          </cell>
          <cell r="M52">
            <v>11010.833042343747</v>
          </cell>
          <cell r="N52">
            <v>11561.374694460936</v>
          </cell>
          <cell r="O52">
            <v>12953.921226286762</v>
          </cell>
          <cell r="P52">
            <v>14249.313348915439</v>
          </cell>
          <cell r="Q52">
            <v>3</v>
          </cell>
          <cell r="R52">
            <v>16192.401532858452</v>
          </cell>
        </row>
        <row r="53">
          <cell r="A53">
            <v>4019855</v>
          </cell>
          <cell r="C53" t="str">
            <v>BM</v>
          </cell>
          <cell r="D53" t="str">
            <v>KIT,4 COMPRESSOR START</v>
          </cell>
          <cell r="E53">
            <v>1</v>
          </cell>
          <cell r="F53">
            <v>84.62</v>
          </cell>
          <cell r="G53">
            <v>114.23700000000001</v>
          </cell>
          <cell r="H53">
            <v>1.1499999999999999</v>
          </cell>
          <cell r="I53">
            <v>131.37254999999999</v>
          </cell>
          <cell r="J53">
            <v>134.000001</v>
          </cell>
          <cell r="K53">
            <v>157.64706000000001</v>
          </cell>
          <cell r="L53">
            <v>1</v>
          </cell>
          <cell r="M53">
            <v>165.94427368421054</v>
          </cell>
          <cell r="N53">
            <v>174.24148736842108</v>
          </cell>
          <cell r="O53">
            <v>195.22855727554182</v>
          </cell>
          <cell r="P53">
            <v>214.75141300309602</v>
          </cell>
          <cell r="Q53">
            <v>1</v>
          </cell>
          <cell r="R53">
            <v>216.92061919504647</v>
          </cell>
        </row>
        <row r="54">
          <cell r="A54">
            <v>4020054</v>
          </cell>
          <cell r="C54" t="str">
            <v>BM</v>
          </cell>
          <cell r="D54" t="str">
            <v>PLATE COOLER,DK,1PSC40</v>
          </cell>
          <cell r="E54">
            <v>1</v>
          </cell>
          <cell r="F54">
            <v>4158.5169999999998</v>
          </cell>
          <cell r="G54">
            <v>5613.9979499999999</v>
          </cell>
          <cell r="H54">
            <v>1.1499999999999999</v>
          </cell>
          <cell r="I54">
            <v>6456.0976424999999</v>
          </cell>
          <cell r="J54">
            <v>7004.8659421124994</v>
          </cell>
          <cell r="K54">
            <v>8756.0824276406238</v>
          </cell>
          <cell r="L54">
            <v>2</v>
          </cell>
          <cell r="M54">
            <v>9728.9804751562478</v>
          </cell>
          <cell r="N54">
            <v>10215.42949891406</v>
          </cell>
          <cell r="O54">
            <v>11445.859382536762</v>
          </cell>
          <cell r="P54">
            <v>12590.445320790439</v>
          </cell>
          <cell r="Q54">
            <v>3</v>
          </cell>
          <cell r="R54">
            <v>14307.324228170952</v>
          </cell>
        </row>
        <row r="55">
          <cell r="A55">
            <v>4020435</v>
          </cell>
          <cell r="C55" t="str">
            <v>BM</v>
          </cell>
          <cell r="D55" t="str">
            <v>PLATE COOLER,DK,3PDC50</v>
          </cell>
          <cell r="E55">
            <v>1</v>
          </cell>
          <cell r="F55">
            <v>5019.53</v>
          </cell>
          <cell r="G55">
            <v>6776.3654999999999</v>
          </cell>
          <cell r="H55">
            <v>1.1499999999999999</v>
          </cell>
          <cell r="I55">
            <v>7792.8203249999997</v>
          </cell>
          <cell r="J55">
            <v>8455.2100526249997</v>
          </cell>
          <cell r="K55">
            <v>10569.01256578125</v>
          </cell>
          <cell r="L55">
            <v>2</v>
          </cell>
          <cell r="M55">
            <v>11743.3472953125</v>
          </cell>
          <cell r="N55">
            <v>12330.514660078126</v>
          </cell>
          <cell r="O55">
            <v>13815.702700367647</v>
          </cell>
          <cell r="P55">
            <v>15197.272970404412</v>
          </cell>
          <cell r="Q55">
            <v>3</v>
          </cell>
          <cell r="R55">
            <v>17269.628375459557</v>
          </cell>
        </row>
        <row r="56">
          <cell r="A56">
            <v>4020436</v>
          </cell>
          <cell r="C56" t="str">
            <v>BM</v>
          </cell>
          <cell r="D56" t="str">
            <v>PLATE COOLER,DK,3PDC74</v>
          </cell>
          <cell r="E56">
            <v>1</v>
          </cell>
          <cell r="F56">
            <v>6426.78</v>
          </cell>
          <cell r="G56">
            <v>8676.1530000000002</v>
          </cell>
          <cell r="H56">
            <v>1.1499999999999999</v>
          </cell>
          <cell r="I56">
            <v>9977.5759500000004</v>
          </cell>
          <cell r="J56">
            <v>10825.669905750001</v>
          </cell>
          <cell r="K56">
            <v>13532.087382187501</v>
          </cell>
          <cell r="L56">
            <v>2</v>
          </cell>
          <cell r="M56">
            <v>15035.652646875002</v>
          </cell>
          <cell r="N56">
            <v>15787.435279218753</v>
          </cell>
          <cell r="O56">
            <v>17689.00311397059</v>
          </cell>
          <cell r="P56">
            <v>19457.903425367651</v>
          </cell>
          <cell r="Q56">
            <v>3</v>
          </cell>
          <cell r="R56">
            <v>22111.253892463235</v>
          </cell>
        </row>
        <row r="57">
          <cell r="A57">
            <v>4020437</v>
          </cell>
          <cell r="C57" t="str">
            <v>BM</v>
          </cell>
          <cell r="D57" t="str">
            <v>PLATE COOLER,DK,3PDC98</v>
          </cell>
          <cell r="E57">
            <v>1</v>
          </cell>
          <cell r="F57">
            <v>7784.07</v>
          </cell>
          <cell r="G57">
            <v>10508.494500000001</v>
          </cell>
          <cell r="H57">
            <v>1.1499999999999999</v>
          </cell>
          <cell r="I57">
            <v>12084.768674999999</v>
          </cell>
          <cell r="J57">
            <v>13111.974012374998</v>
          </cell>
          <cell r="K57">
            <v>16389.967515468747</v>
          </cell>
          <cell r="L57">
            <v>2</v>
          </cell>
          <cell r="M57">
            <v>18211.075017187497</v>
          </cell>
          <cell r="N57">
            <v>19121.628768046874</v>
          </cell>
          <cell r="O57">
            <v>21424.794137867644</v>
          </cell>
          <cell r="P57">
            <v>23567.273551654409</v>
          </cell>
          <cell r="Q57">
            <v>3</v>
          </cell>
          <cell r="R57">
            <v>26780.992672334552</v>
          </cell>
        </row>
        <row r="58">
          <cell r="A58">
            <v>4020438</v>
          </cell>
          <cell r="C58" t="str">
            <v>BM</v>
          </cell>
          <cell r="D58" t="str">
            <v>PLATE COOLER,DK,3PSC50</v>
          </cell>
          <cell r="E58">
            <v>1</v>
          </cell>
          <cell r="F58">
            <v>4918.7930000000006</v>
          </cell>
          <cell r="G58">
            <v>6640.3705500000015</v>
          </cell>
          <cell r="H58">
            <v>1.1499999999999999</v>
          </cell>
          <cell r="I58">
            <v>7636.4261325000007</v>
          </cell>
          <cell r="J58">
            <v>8285.5223537625006</v>
          </cell>
          <cell r="K58">
            <v>10356.902942203125</v>
          </cell>
          <cell r="L58">
            <v>2</v>
          </cell>
          <cell r="M58">
            <v>11507.66993578125</v>
          </cell>
          <cell r="N58">
            <v>12083.053432570314</v>
          </cell>
          <cell r="O58">
            <v>13538.435218566177</v>
          </cell>
          <cell r="P58">
            <v>14892.278740422797</v>
          </cell>
          <cell r="Q58">
            <v>3</v>
          </cell>
          <cell r="R58">
            <v>16923.04402320772</v>
          </cell>
        </row>
        <row r="59">
          <cell r="A59">
            <v>4020439</v>
          </cell>
          <cell r="C59" t="str">
            <v>BM</v>
          </cell>
          <cell r="D59" t="str">
            <v>PLATE COOLER,DK,3PSC74</v>
          </cell>
          <cell r="E59">
            <v>1</v>
          </cell>
          <cell r="F59">
            <v>6375.5670000000009</v>
          </cell>
          <cell r="G59">
            <v>8607.0154500000026</v>
          </cell>
          <cell r="H59">
            <v>1.1499999999999999</v>
          </cell>
          <cell r="I59">
            <v>9898.0677675000024</v>
          </cell>
          <cell r="J59">
            <v>10739.403527737502</v>
          </cell>
          <cell r="K59">
            <v>13424.254409671878</v>
          </cell>
          <cell r="L59">
            <v>2</v>
          </cell>
          <cell r="M59">
            <v>14915.838232968752</v>
          </cell>
          <cell r="N59">
            <v>15661.630144617191</v>
          </cell>
          <cell r="O59">
            <v>17548.044979963237</v>
          </cell>
          <cell r="P59">
            <v>19302.849477959564</v>
          </cell>
          <cell r="Q59">
            <v>3</v>
          </cell>
          <cell r="R59">
            <v>21935.056224954045</v>
          </cell>
        </row>
        <row r="60">
          <cell r="A60">
            <v>4020440</v>
          </cell>
          <cell r="C60" t="str">
            <v>BM</v>
          </cell>
          <cell r="D60" t="str">
            <v>PLATE COOLER,DK,3PSC98</v>
          </cell>
          <cell r="E60">
            <v>1</v>
          </cell>
          <cell r="F60">
            <v>7754.1310000000003</v>
          </cell>
          <cell r="G60">
            <v>10468.076850000001</v>
          </cell>
          <cell r="H60">
            <v>1.1499999999999999</v>
          </cell>
          <cell r="I60">
            <v>12038.288377500001</v>
          </cell>
          <cell r="J60">
            <v>13061.542889587501</v>
          </cell>
          <cell r="K60">
            <v>16326.928611984376</v>
          </cell>
          <cell r="L60">
            <v>2</v>
          </cell>
          <cell r="M60">
            <v>18141.031791093752</v>
          </cell>
          <cell r="N60">
            <v>19048.083380648441</v>
          </cell>
          <cell r="O60">
            <v>21342.390342463237</v>
          </cell>
          <cell r="P60">
            <v>23476.629376709563</v>
          </cell>
          <cell r="Q60">
            <v>3</v>
          </cell>
          <cell r="R60">
            <v>26677.987928079045</v>
          </cell>
        </row>
        <row r="61">
          <cell r="A61">
            <v>4020797</v>
          </cell>
          <cell r="C61" t="str">
            <v>BM</v>
          </cell>
          <cell r="D61" t="str">
            <v>Bomba de leche ( Pump, 2 Hp, 115-230V, 1-phase)</v>
          </cell>
          <cell r="E61">
            <v>1</v>
          </cell>
          <cell r="F61">
            <v>889.49</v>
          </cell>
          <cell r="G61">
            <v>1200.8115</v>
          </cell>
          <cell r="H61">
            <v>1.1499999999999999</v>
          </cell>
          <cell r="I61">
            <v>1380.933225</v>
          </cell>
          <cell r="J61">
            <v>1408.5518895</v>
          </cell>
          <cell r="K61">
            <v>1657.11987</v>
          </cell>
          <cell r="L61">
            <v>1</v>
          </cell>
          <cell r="M61">
            <v>1744.3367052631579</v>
          </cell>
          <cell r="N61">
            <v>1831.5535405263158</v>
          </cell>
          <cell r="O61">
            <v>2052.1608297213625</v>
          </cell>
          <cell r="P61">
            <v>2257.376912693499</v>
          </cell>
          <cell r="Q61">
            <v>2</v>
          </cell>
          <cell r="R61">
            <v>2414.3068584957205</v>
          </cell>
        </row>
        <row r="62">
          <cell r="A62">
            <v>4021773</v>
          </cell>
          <cell r="C62" t="str">
            <v>BM</v>
          </cell>
          <cell r="D62" t="str">
            <v>CONTROLLER,TEMP,1 PRB/4 RLY</v>
          </cell>
          <cell r="E62">
            <v>1</v>
          </cell>
          <cell r="F62">
            <v>242.00000000000003</v>
          </cell>
          <cell r="G62">
            <v>326.70000000000005</v>
          </cell>
          <cell r="H62">
            <v>1.1499999999999999</v>
          </cell>
          <cell r="I62">
            <v>375.70500000000004</v>
          </cell>
          <cell r="J62">
            <v>383.21910000000003</v>
          </cell>
          <cell r="K62">
            <v>450.84600000000006</v>
          </cell>
          <cell r="L62">
            <v>1</v>
          </cell>
          <cell r="M62">
            <v>474.57473684210532</v>
          </cell>
          <cell r="N62">
            <v>498.30347368421059</v>
          </cell>
          <cell r="O62">
            <v>558.32321981424161</v>
          </cell>
          <cell r="P62">
            <v>614.15554179566584</v>
          </cell>
          <cell r="Q62">
            <v>1</v>
          </cell>
          <cell r="R62">
            <v>620.35913312693515</v>
          </cell>
        </row>
        <row r="63">
          <cell r="A63">
            <v>4021935</v>
          </cell>
          <cell r="C63" t="str">
            <v>BM</v>
          </cell>
          <cell r="D63" t="str">
            <v>CONTROL ASSY,DECO-MATIC 3D</v>
          </cell>
          <cell r="E63">
            <v>1</v>
          </cell>
          <cell r="F63">
            <v>1155</v>
          </cell>
          <cell r="G63">
            <v>1559.25</v>
          </cell>
          <cell r="H63">
            <v>1.1499999999999999</v>
          </cell>
          <cell r="I63">
            <v>1793.1374999999998</v>
          </cell>
          <cell r="J63">
            <v>1829.0002499999998</v>
          </cell>
          <cell r="K63">
            <v>2151.7649999999999</v>
          </cell>
          <cell r="L63">
            <v>1</v>
          </cell>
          <cell r="M63">
            <v>2265.015789473684</v>
          </cell>
          <cell r="N63">
            <v>2378.2665789473681</v>
          </cell>
          <cell r="O63">
            <v>2664.724458204334</v>
          </cell>
          <cell r="P63">
            <v>2931.1969040247677</v>
          </cell>
          <cell r="Q63">
            <v>1</v>
          </cell>
          <cell r="R63">
            <v>2960.8049535603709</v>
          </cell>
        </row>
        <row r="64">
          <cell r="A64">
            <v>4023739</v>
          </cell>
          <cell r="C64" t="str">
            <v>BM</v>
          </cell>
          <cell r="D64" t="str">
            <v>KIT,GLACIER GUARD,PRINTR/SFTWR</v>
          </cell>
          <cell r="E64">
            <v>1</v>
          </cell>
          <cell r="F64">
            <v>366.17</v>
          </cell>
          <cell r="G64">
            <v>494.32950000000005</v>
          </cell>
          <cell r="H64">
            <v>1.1499999999999999</v>
          </cell>
          <cell r="I64">
            <v>568.478925</v>
          </cell>
          <cell r="J64">
            <v>579.84850349999999</v>
          </cell>
          <cell r="K64">
            <v>682.17471</v>
          </cell>
          <cell r="L64">
            <v>1</v>
          </cell>
          <cell r="M64">
            <v>718.07864210526316</v>
          </cell>
          <cell r="N64">
            <v>753.98257421052631</v>
          </cell>
          <cell r="O64">
            <v>844.79840247678021</v>
          </cell>
          <cell r="P64">
            <v>929.27824272445832</v>
          </cell>
          <cell r="Q64">
            <v>1</v>
          </cell>
          <cell r="R64">
            <v>938.66489164086693</v>
          </cell>
        </row>
        <row r="65">
          <cell r="A65">
            <v>4023893</v>
          </cell>
          <cell r="C65" t="str">
            <v>BM</v>
          </cell>
          <cell r="D65" t="str">
            <v>COND MOD, 5.0T,AIR,230-1-60</v>
          </cell>
          <cell r="E65">
            <v>1</v>
          </cell>
          <cell r="F65">
            <v>945.13364000000013</v>
          </cell>
          <cell r="G65">
            <v>1275.9304140000002</v>
          </cell>
          <cell r="H65">
            <v>1.1499999999999999</v>
          </cell>
          <cell r="I65">
            <v>1467.3199761000001</v>
          </cell>
          <cell r="J65">
            <v>1496.666375622</v>
          </cell>
          <cell r="K65">
            <v>1760.7839713200001</v>
          </cell>
          <cell r="L65">
            <v>1</v>
          </cell>
          <cell r="M65">
            <v>1853.4568119157896</v>
          </cell>
          <cell r="N65">
            <v>1946.129652511579</v>
          </cell>
          <cell r="O65">
            <v>2180.5374257832818</v>
          </cell>
          <cell r="P65">
            <v>2398.59116836161</v>
          </cell>
          <cell r="Q65">
            <v>1</v>
          </cell>
          <cell r="R65">
            <v>2422.8193619814242</v>
          </cell>
        </row>
        <row r="66">
          <cell r="A66">
            <v>4023894</v>
          </cell>
          <cell r="C66" t="str">
            <v>BM</v>
          </cell>
          <cell r="D66" t="str">
            <v>COND MOD, 7.5T,AIR,230-1-60</v>
          </cell>
          <cell r="E66">
            <v>1</v>
          </cell>
          <cell r="F66">
            <v>1516.9</v>
          </cell>
          <cell r="G66">
            <v>2047.8150000000003</v>
          </cell>
          <cell r="H66">
            <v>1.1499999999999999</v>
          </cell>
          <cell r="I66">
            <v>2354.9872500000001</v>
          </cell>
          <cell r="J66">
            <v>2402.0869950000001</v>
          </cell>
          <cell r="K66">
            <v>2825.9847000000004</v>
          </cell>
          <cell r="L66">
            <v>1</v>
          </cell>
          <cell r="M66">
            <v>2974.7207368421059</v>
          </cell>
          <cell r="N66">
            <v>3123.4567736842114</v>
          </cell>
          <cell r="O66">
            <v>3499.6714551083601</v>
          </cell>
          <cell r="P66">
            <v>3849.6386006191965</v>
          </cell>
          <cell r="Q66">
            <v>1</v>
          </cell>
          <cell r="R66">
            <v>3888.5238390092891</v>
          </cell>
        </row>
        <row r="67">
          <cell r="A67">
            <v>4023895</v>
          </cell>
          <cell r="C67" t="str">
            <v>BM</v>
          </cell>
          <cell r="D67" t="str">
            <v>COND MOD, 8.0T</v>
          </cell>
          <cell r="E67">
            <v>1</v>
          </cell>
          <cell r="F67">
            <v>1409.7686900000001</v>
          </cell>
          <cell r="G67">
            <v>1903.1877315000004</v>
          </cell>
          <cell r="H67">
            <v>1.1499999999999999</v>
          </cell>
          <cell r="I67">
            <v>2188.6658912250005</v>
          </cell>
          <cell r="J67">
            <v>2232.4392090495003</v>
          </cell>
          <cell r="K67">
            <v>2626.3990694700005</v>
          </cell>
          <cell r="L67">
            <v>1</v>
          </cell>
          <cell r="M67">
            <v>2764.6305994421059</v>
          </cell>
          <cell r="N67">
            <v>2902.8621294142113</v>
          </cell>
          <cell r="O67">
            <v>3252.5065875789483</v>
          </cell>
          <cell r="P67">
            <v>3577.7572463368433</v>
          </cell>
          <cell r="Q67">
            <v>1</v>
          </cell>
          <cell r="R67">
            <v>3613.8962084210534</v>
          </cell>
        </row>
        <row r="68">
          <cell r="A68">
            <v>4024162</v>
          </cell>
          <cell r="D68" t="e">
            <v>#N/A</v>
          </cell>
          <cell r="F68">
            <v>108.82</v>
          </cell>
          <cell r="G68">
            <v>146.90700000000001</v>
          </cell>
          <cell r="H68">
            <v>1.1499999999999999</v>
          </cell>
          <cell r="I68">
            <v>168.94305</v>
          </cell>
          <cell r="J68">
            <v>183.30320924999998</v>
          </cell>
          <cell r="K68">
            <v>229.12901156249995</v>
          </cell>
          <cell r="L68">
            <v>2</v>
          </cell>
          <cell r="M68">
            <v>254.58779062499994</v>
          </cell>
          <cell r="N68">
            <v>267.31718015624995</v>
          </cell>
          <cell r="O68">
            <v>299.51504779411761</v>
          </cell>
          <cell r="P68">
            <v>329.46655257352938</v>
          </cell>
          <cell r="Q68">
            <v>3</v>
          </cell>
          <cell r="R68">
            <v>374.39380974264697</v>
          </cell>
        </row>
        <row r="69">
          <cell r="A69">
            <v>4024314</v>
          </cell>
          <cell r="D69" t="e">
            <v>#N/A</v>
          </cell>
          <cell r="F69">
            <v>14.66</v>
          </cell>
          <cell r="G69">
            <v>19.791</v>
          </cell>
          <cell r="H69">
            <v>1.1499999999999999</v>
          </cell>
          <cell r="I69">
            <v>22.759649999999997</v>
          </cell>
          <cell r="J69">
            <v>24.694220249999997</v>
          </cell>
          <cell r="K69">
            <v>30.867775312499994</v>
          </cell>
          <cell r="L69">
            <v>2</v>
          </cell>
          <cell r="M69">
            <v>34.297528124999992</v>
          </cell>
          <cell r="N69">
            <v>36.012404531249992</v>
          </cell>
          <cell r="O69">
            <v>40.350033088235286</v>
          </cell>
          <cell r="P69">
            <v>44.385036397058819</v>
          </cell>
          <cell r="Q69">
            <v>3</v>
          </cell>
          <cell r="R69">
            <v>50.437541360294105</v>
          </cell>
        </row>
        <row r="70">
          <cell r="A70">
            <v>4024552</v>
          </cell>
          <cell r="C70" t="str">
            <v>BM</v>
          </cell>
          <cell r="D70" t="str">
            <v>Variador de velocidad bomba de leche (CONTROL ASSY,208-240V,OPTI-FLO)</v>
          </cell>
          <cell r="E70">
            <v>1</v>
          </cell>
          <cell r="F70">
            <v>961.40000000000009</v>
          </cell>
          <cell r="G70">
            <v>1297.8900000000001</v>
          </cell>
          <cell r="H70">
            <v>1.1499999999999999</v>
          </cell>
          <cell r="I70">
            <v>1492.5735</v>
          </cell>
          <cell r="J70">
            <v>1619.4422474999999</v>
          </cell>
          <cell r="K70">
            <v>2024.3028093749997</v>
          </cell>
          <cell r="L70">
            <v>2</v>
          </cell>
          <cell r="M70">
            <v>2249.2253437499994</v>
          </cell>
          <cell r="N70">
            <v>2361.6866109374996</v>
          </cell>
          <cell r="O70">
            <v>2646.1474632352933</v>
          </cell>
          <cell r="P70">
            <v>2910.7622095588231</v>
          </cell>
          <cell r="Q70">
            <v>3</v>
          </cell>
          <cell r="R70">
            <v>3307.6843290441166</v>
          </cell>
        </row>
        <row r="71">
          <cell r="A71">
            <v>4024553</v>
          </cell>
          <cell r="C71" t="str">
            <v>BM</v>
          </cell>
          <cell r="D71" t="str">
            <v>Variador de velocidad bomba de leche (CONTROL ASSY,208-240V,W/BYPASS)</v>
          </cell>
          <cell r="E71">
            <v>1</v>
          </cell>
          <cell r="F71">
            <v>1276</v>
          </cell>
          <cell r="G71">
            <v>1722.6000000000001</v>
          </cell>
          <cell r="H71">
            <v>1.1499999999999999</v>
          </cell>
          <cell r="I71">
            <v>1980.99</v>
          </cell>
          <cell r="J71">
            <v>2149.3741500000001</v>
          </cell>
          <cell r="K71">
            <v>2686.7176875</v>
          </cell>
          <cell r="L71">
            <v>2</v>
          </cell>
          <cell r="M71">
            <v>2985.2418750000002</v>
          </cell>
          <cell r="N71">
            <v>3134.5039687500002</v>
          </cell>
          <cell r="O71">
            <v>3512.0492647058827</v>
          </cell>
          <cell r="P71">
            <v>3863.2541911764711</v>
          </cell>
          <cell r="Q71">
            <v>3</v>
          </cell>
          <cell r="R71">
            <v>4390.0615808823532</v>
          </cell>
        </row>
        <row r="72">
          <cell r="A72">
            <v>4024554</v>
          </cell>
          <cell r="C72" t="str">
            <v>BM</v>
          </cell>
          <cell r="D72" t="str">
            <v>Variador de velocidad bomba de leche (CONTROL ASSY,380/460V,OPTI-FLO)</v>
          </cell>
          <cell r="E72">
            <v>1</v>
          </cell>
          <cell r="F72">
            <v>1124.98</v>
          </cell>
          <cell r="G72">
            <v>1518.7230000000002</v>
          </cell>
          <cell r="H72">
            <v>1.1499999999999999</v>
          </cell>
          <cell r="I72">
            <v>1746.5314500000002</v>
          </cell>
          <cell r="J72">
            <v>1894.9866232500001</v>
          </cell>
          <cell r="K72">
            <v>2368.7332790625001</v>
          </cell>
          <cell r="L72">
            <v>2</v>
          </cell>
          <cell r="M72">
            <v>2631.9258656249999</v>
          </cell>
          <cell r="N72">
            <v>2763.5221589062498</v>
          </cell>
          <cell r="O72">
            <v>3096.3833713235294</v>
          </cell>
          <cell r="P72">
            <v>3406.0217084558826</v>
          </cell>
          <cell r="Q72">
            <v>3</v>
          </cell>
          <cell r="R72">
            <v>3870.4792141544117</v>
          </cell>
        </row>
        <row r="73">
          <cell r="A73">
            <v>4024555</v>
          </cell>
          <cell r="C73" t="str">
            <v>BM</v>
          </cell>
          <cell r="D73" t="str">
            <v>Variador de velocidad bomba de leche (CONTROL ASSY,380/460V,W/BYPASS)</v>
          </cell>
          <cell r="E73">
            <v>1</v>
          </cell>
          <cell r="F73">
            <v>1557.24</v>
          </cell>
          <cell r="G73">
            <v>2102.2740000000003</v>
          </cell>
          <cell r="H73">
            <v>1.1499999999999999</v>
          </cell>
          <cell r="I73">
            <v>2417.6151</v>
          </cell>
          <cell r="J73">
            <v>2623.1123834999999</v>
          </cell>
          <cell r="K73">
            <v>3278.8904793749998</v>
          </cell>
          <cell r="L73">
            <v>2</v>
          </cell>
          <cell r="M73">
            <v>3643.2116437499999</v>
          </cell>
          <cell r="N73">
            <v>3825.3722259374999</v>
          </cell>
          <cell r="O73">
            <v>4286.1313455882355</v>
          </cell>
          <cell r="P73">
            <v>4714.7444801470592</v>
          </cell>
          <cell r="Q73">
            <v>3</v>
          </cell>
          <cell r="R73">
            <v>5357.6641819852939</v>
          </cell>
        </row>
        <row r="74">
          <cell r="A74">
            <v>4024854</v>
          </cell>
          <cell r="C74" t="str">
            <v>BM</v>
          </cell>
          <cell r="D74" t="str">
            <v>Bomba de leche ( Pump, 1.5 Hp, 115-230V, 1-phase)</v>
          </cell>
          <cell r="E74">
            <v>1</v>
          </cell>
          <cell r="F74">
            <v>550</v>
          </cell>
          <cell r="G74">
            <v>742.5</v>
          </cell>
          <cell r="H74">
            <v>1.1499999999999999</v>
          </cell>
          <cell r="I74">
            <v>853.87499999999989</v>
          </cell>
          <cell r="J74">
            <v>870.95249999999987</v>
          </cell>
          <cell r="K74">
            <v>1024.6499999999999</v>
          </cell>
          <cell r="L74">
            <v>3</v>
          </cell>
          <cell r="M74">
            <v>1205.4705882352939</v>
          </cell>
          <cell r="N74">
            <v>1265.7441176470586</v>
          </cell>
          <cell r="O74">
            <v>1418.2006920415222</v>
          </cell>
          <cell r="P74">
            <v>1560.0207612456745</v>
          </cell>
          <cell r="Q74">
            <v>2</v>
          </cell>
          <cell r="R74">
            <v>1668.4714024017908</v>
          </cell>
        </row>
        <row r="75">
          <cell r="A75">
            <v>4025967</v>
          </cell>
          <cell r="D75" t="e">
            <v>#N/A</v>
          </cell>
          <cell r="F75">
            <v>1086.81</v>
          </cell>
          <cell r="G75">
            <v>1467.1935000000001</v>
          </cell>
          <cell r="H75">
            <v>1.1499999999999999</v>
          </cell>
          <cell r="I75">
            <v>1687.2725249999999</v>
          </cell>
          <cell r="J75">
            <v>1830.6906896249998</v>
          </cell>
          <cell r="K75">
            <v>2288.3633620312494</v>
          </cell>
          <cell r="L75">
            <v>2</v>
          </cell>
          <cell r="M75">
            <v>2542.6259578124991</v>
          </cell>
          <cell r="N75">
            <v>2669.757255703124</v>
          </cell>
          <cell r="O75">
            <v>2991.324656249999</v>
          </cell>
          <cell r="P75">
            <v>3290.4571218749993</v>
          </cell>
          <cell r="Q75">
            <v>3</v>
          </cell>
          <cell r="R75">
            <v>3739.1558203124987</v>
          </cell>
        </row>
        <row r="76">
          <cell r="A76">
            <v>4025970</v>
          </cell>
          <cell r="C76" t="str">
            <v>BM</v>
          </cell>
          <cell r="D76" t="str">
            <v>COND,OUT,7.5HP,380/460V,50/60H</v>
          </cell>
          <cell r="E76">
            <v>1</v>
          </cell>
          <cell r="F76">
            <v>5575.9000000000005</v>
          </cell>
          <cell r="G76">
            <v>7527.4650000000011</v>
          </cell>
          <cell r="H76">
            <v>1.1499999999999999</v>
          </cell>
          <cell r="I76">
            <v>8656.58475</v>
          </cell>
          <cell r="J76">
            <v>8829.716445</v>
          </cell>
          <cell r="K76">
            <v>10387.9017</v>
          </cell>
          <cell r="L76">
            <v>1</v>
          </cell>
          <cell r="M76">
            <v>10934.633368421053</v>
          </cell>
          <cell r="N76">
            <v>11481.365036842106</v>
          </cell>
          <cell r="O76">
            <v>12864.274551083592</v>
          </cell>
          <cell r="P76">
            <v>14150.702006191952</v>
          </cell>
          <cell r="Q76">
            <v>1</v>
          </cell>
          <cell r="R76">
            <v>14293.638390092879</v>
          </cell>
        </row>
        <row r="77">
          <cell r="A77">
            <v>4025972</v>
          </cell>
          <cell r="C77" t="str">
            <v>BM</v>
          </cell>
          <cell r="D77" t="str">
            <v>COND,OUT,10HP,208/230V,50/60HZ</v>
          </cell>
          <cell r="E77">
            <v>1</v>
          </cell>
          <cell r="F77">
            <v>6109.4000000000005</v>
          </cell>
          <cell r="G77">
            <v>8247.69</v>
          </cell>
          <cell r="H77">
            <v>1.1499999999999999</v>
          </cell>
          <cell r="I77">
            <v>9484.843499999999</v>
          </cell>
          <cell r="J77">
            <v>9674.5403699999988</v>
          </cell>
          <cell r="K77">
            <v>11381.812199999998</v>
          </cell>
          <cell r="L77">
            <v>1</v>
          </cell>
          <cell r="M77">
            <v>11980.85494736842</v>
          </cell>
          <cell r="N77">
            <v>12579.897694736841</v>
          </cell>
          <cell r="O77">
            <v>14095.123467492258</v>
          </cell>
          <cell r="P77">
            <v>15504.635814241485</v>
          </cell>
          <cell r="Q77">
            <v>1</v>
          </cell>
          <cell r="R77">
            <v>15661.24829721362</v>
          </cell>
        </row>
        <row r="78">
          <cell r="A78">
            <v>4027130</v>
          </cell>
          <cell r="D78" t="e">
            <v>#N/A</v>
          </cell>
          <cell r="F78">
            <v>0.25</v>
          </cell>
          <cell r="G78">
            <v>0.33750000000000002</v>
          </cell>
          <cell r="H78">
            <v>1.1499999999999999</v>
          </cell>
          <cell r="I78">
            <v>0.388125</v>
          </cell>
          <cell r="J78">
            <v>0.42111562499999999</v>
          </cell>
          <cell r="K78">
            <v>0.52639453124999991</v>
          </cell>
          <cell r="L78">
            <v>2</v>
          </cell>
          <cell r="M78">
            <v>0.58488281249999985</v>
          </cell>
          <cell r="N78">
            <v>0.61412695312499987</v>
          </cell>
          <cell r="O78">
            <v>0.68809742647058803</v>
          </cell>
          <cell r="P78">
            <v>0.75690716911764688</v>
          </cell>
          <cell r="Q78">
            <v>3</v>
          </cell>
          <cell r="R78">
            <v>0.86012178308823495</v>
          </cell>
        </row>
        <row r="79">
          <cell r="A79">
            <v>4040153</v>
          </cell>
          <cell r="D79" t="str">
            <v>COND UNIT,5HP,460/380,3PH,507</v>
          </cell>
          <cell r="F79">
            <v>3858.08</v>
          </cell>
          <cell r="G79">
            <v>5208.4080000000004</v>
          </cell>
          <cell r="H79">
            <v>1.1499999999999999</v>
          </cell>
          <cell r="I79">
            <v>5989.6692000000003</v>
          </cell>
          <cell r="J79">
            <v>6498.7910819999997</v>
          </cell>
          <cell r="K79">
            <v>8123.4888524999997</v>
          </cell>
          <cell r="L79">
            <v>2</v>
          </cell>
          <cell r="M79">
            <v>9026.0987249999998</v>
          </cell>
          <cell r="N79">
            <v>9477.4036612500004</v>
          </cell>
          <cell r="O79">
            <v>10618.939676470589</v>
          </cell>
          <cell r="P79">
            <v>11680.833644117649</v>
          </cell>
          <cell r="Q79">
            <v>3</v>
          </cell>
          <cell r="R79">
            <v>13273.674595588236</v>
          </cell>
        </row>
        <row r="80">
          <cell r="A80">
            <v>4791501</v>
          </cell>
          <cell r="C80" t="str">
            <v>BM</v>
          </cell>
          <cell r="D80" t="str">
            <v xml:space="preserve"> Tanque de frio (COOLER PKG,DKF  600,W/O CONT)</v>
          </cell>
          <cell r="E80">
            <v>1</v>
          </cell>
          <cell r="F80">
            <v>8746</v>
          </cell>
          <cell r="G80">
            <v>11807.1</v>
          </cell>
          <cell r="H80">
            <v>1.1499999999999999</v>
          </cell>
          <cell r="I80">
            <v>13578.164999999999</v>
          </cell>
          <cell r="J80">
            <v>13849.728299999999</v>
          </cell>
          <cell r="K80">
            <v>16293.797999999999</v>
          </cell>
          <cell r="L80">
            <v>1</v>
          </cell>
          <cell r="M80">
            <v>17151.366315789473</v>
          </cell>
          <cell r="N80">
            <v>18008.934631578948</v>
          </cell>
          <cell r="O80">
            <v>20178.078018575852</v>
          </cell>
          <cell r="P80">
            <v>22195.885820433439</v>
          </cell>
          <cell r="Q80">
            <v>1</v>
          </cell>
          <cell r="R80">
            <v>22420.086687306502</v>
          </cell>
        </row>
        <row r="81">
          <cell r="A81">
            <v>4791511</v>
          </cell>
          <cell r="C81" t="str">
            <v>BM</v>
          </cell>
          <cell r="D81" t="str">
            <v>COOLER PKG,DKF  800S,W/O CONT</v>
          </cell>
          <cell r="E81">
            <v>1</v>
          </cell>
          <cell r="F81">
            <v>9346.41</v>
          </cell>
          <cell r="G81">
            <v>12617.6535</v>
          </cell>
          <cell r="H81">
            <v>1.1499999999999999</v>
          </cell>
          <cell r="I81">
            <v>14510.301524999999</v>
          </cell>
          <cell r="J81">
            <v>14800.507555499998</v>
          </cell>
          <cell r="K81">
            <v>17412.361829999998</v>
          </cell>
          <cell r="L81">
            <v>1</v>
          </cell>
          <cell r="M81">
            <v>18328.801926315788</v>
          </cell>
          <cell r="N81">
            <v>19245.242022631577</v>
          </cell>
          <cell r="O81">
            <v>21563.296383900928</v>
          </cell>
          <cell r="P81">
            <v>23719.626022291024</v>
          </cell>
          <cell r="Q81">
            <v>1</v>
          </cell>
          <cell r="R81">
            <v>23959.218204334364</v>
          </cell>
        </row>
        <row r="82">
          <cell r="A82">
            <v>4791520</v>
          </cell>
          <cell r="C82" t="str">
            <v>BM</v>
          </cell>
          <cell r="D82" t="str">
            <v>COOLER PKG,DKF 1000D,W/O CONT</v>
          </cell>
          <cell r="E82">
            <v>1</v>
          </cell>
          <cell r="F82">
            <v>10705.38</v>
          </cell>
          <cell r="G82">
            <v>14452.262999999999</v>
          </cell>
          <cell r="H82">
            <v>1.1499999999999999</v>
          </cell>
          <cell r="I82">
            <v>16620.102449999998</v>
          </cell>
          <cell r="J82">
            <v>16952.504498999999</v>
          </cell>
          <cell r="K82">
            <v>19944.122939999997</v>
          </cell>
          <cell r="L82">
            <v>1</v>
          </cell>
          <cell r="M82">
            <v>20993.813621052628</v>
          </cell>
          <cell r="N82">
            <v>22043.504302105259</v>
          </cell>
          <cell r="O82">
            <v>24698.604260061915</v>
          </cell>
          <cell r="P82">
            <v>27168.46468606811</v>
          </cell>
          <cell r="Q82">
            <v>1</v>
          </cell>
          <cell r="R82">
            <v>27442.893622291016</v>
          </cell>
        </row>
        <row r="83">
          <cell r="A83">
            <v>4791531</v>
          </cell>
          <cell r="C83" t="str">
            <v>BM</v>
          </cell>
          <cell r="D83" t="str">
            <v>COOLER PKG,DKF 1250,W/O CONT</v>
          </cell>
          <cell r="E83">
            <v>1</v>
          </cell>
          <cell r="F83">
            <v>16072.396124999999</v>
          </cell>
          <cell r="G83">
            <v>21697.734768750001</v>
          </cell>
          <cell r="H83">
            <v>1.1499999999999999</v>
          </cell>
          <cell r="I83">
            <v>24952.394984062499</v>
          </cell>
          <cell r="J83">
            <v>25451.442883743748</v>
          </cell>
          <cell r="K83">
            <v>29942.873980875</v>
          </cell>
          <cell r="L83">
            <v>1</v>
          </cell>
          <cell r="M83">
            <v>31518.814716710527</v>
          </cell>
          <cell r="N83">
            <v>33094.755452546058</v>
          </cell>
          <cell r="O83">
            <v>37080.958490247678</v>
          </cell>
          <cell r="P83">
            <v>40789.05433927245</v>
          </cell>
          <cell r="Q83">
            <v>1</v>
          </cell>
          <cell r="R83">
            <v>41201.064989164086</v>
          </cell>
        </row>
        <row r="84">
          <cell r="A84">
            <v>4791541</v>
          </cell>
          <cell r="C84" t="str">
            <v>BM</v>
          </cell>
          <cell r="D84" t="str">
            <v>COOLER PKG,DKF 1500,W/O CONT</v>
          </cell>
          <cell r="E84">
            <v>1</v>
          </cell>
          <cell r="F84">
            <v>26553.15</v>
          </cell>
          <cell r="G84">
            <v>35846.752500000002</v>
          </cell>
          <cell r="H84">
            <v>1.1499999999999999</v>
          </cell>
          <cell r="I84">
            <v>41223.765375000003</v>
          </cell>
          <cell r="J84">
            <v>42048.240682500007</v>
          </cell>
          <cell r="K84">
            <v>49468.51845000001</v>
          </cell>
          <cell r="L84">
            <v>1</v>
          </cell>
          <cell r="M84">
            <v>52072.124684210539</v>
          </cell>
          <cell r="N84">
            <v>54675.730918421068</v>
          </cell>
          <cell r="O84">
            <v>61261.323157894753</v>
          </cell>
          <cell r="P84">
            <v>67387.45547368424</v>
          </cell>
          <cell r="Q84">
            <v>1</v>
          </cell>
          <cell r="R84">
            <v>68068.136842105276</v>
          </cell>
        </row>
        <row r="85">
          <cell r="A85">
            <v>4791551</v>
          </cell>
          <cell r="C85" t="str">
            <v>BM</v>
          </cell>
          <cell r="D85" t="str">
            <v>COOLER PKG,DKF 2000,W/O CONT</v>
          </cell>
          <cell r="E85">
            <v>1</v>
          </cell>
          <cell r="F85">
            <v>26815.54</v>
          </cell>
          <cell r="G85">
            <v>36200.979000000007</v>
          </cell>
          <cell r="H85">
            <v>1.1499999999999999</v>
          </cell>
          <cell r="I85">
            <v>41631.125850000004</v>
          </cell>
          <cell r="J85">
            <v>42463.748367000007</v>
          </cell>
          <cell r="K85">
            <v>49957.351020000009</v>
          </cell>
          <cell r="L85">
            <v>1</v>
          </cell>
          <cell r="M85">
            <v>52586.685284210536</v>
          </cell>
          <cell r="N85">
            <v>55216.019548421064</v>
          </cell>
          <cell r="O85">
            <v>61866.688569659455</v>
          </cell>
          <cell r="P85">
            <v>68053.3574266254</v>
          </cell>
          <cell r="Q85">
            <v>1</v>
          </cell>
          <cell r="R85">
            <v>68740.765077399396</v>
          </cell>
        </row>
        <row r="86">
          <cell r="A86">
            <v>4791831</v>
          </cell>
          <cell r="C86" t="str">
            <v>BM</v>
          </cell>
          <cell r="D86" t="str">
            <v>COOLER PKG,GLCR 2500,W/O CONT</v>
          </cell>
          <cell r="E86">
            <v>1</v>
          </cell>
          <cell r="F86">
            <v>31506.25</v>
          </cell>
          <cell r="G86">
            <v>42533.4375</v>
          </cell>
          <cell r="H86">
            <v>1.1499999999999999</v>
          </cell>
          <cell r="I86">
            <v>48913.453124999993</v>
          </cell>
          <cell r="J86">
            <v>49891.722187499996</v>
          </cell>
          <cell r="K86">
            <v>58696.143749999996</v>
          </cell>
          <cell r="L86">
            <v>1</v>
          </cell>
          <cell r="M86">
            <v>61785.414473684206</v>
          </cell>
          <cell r="N86">
            <v>64874.685197368417</v>
          </cell>
          <cell r="O86">
            <v>72688.722910216718</v>
          </cell>
          <cell r="P86">
            <v>79957.595201238393</v>
          </cell>
          <cell r="Q86">
            <v>1</v>
          </cell>
          <cell r="R86">
            <v>80765.247678018568</v>
          </cell>
        </row>
        <row r="87">
          <cell r="A87">
            <v>4791836</v>
          </cell>
          <cell r="C87" t="str">
            <v>BM</v>
          </cell>
          <cell r="D87" t="str">
            <v>COOLER PKG,GLCR 3000,W/O CONT</v>
          </cell>
          <cell r="E87">
            <v>1</v>
          </cell>
          <cell r="F87">
            <v>36540.43</v>
          </cell>
          <cell r="G87">
            <v>49329.580500000004</v>
          </cell>
          <cell r="H87">
            <v>1.1499999999999999</v>
          </cell>
          <cell r="I87">
            <v>56729.017574999998</v>
          </cell>
          <cell r="J87">
            <v>57863.597926499999</v>
          </cell>
          <cell r="K87">
            <v>68074.821089999998</v>
          </cell>
          <cell r="L87">
            <v>1</v>
          </cell>
          <cell r="M87">
            <v>71657.706410526313</v>
          </cell>
          <cell r="N87">
            <v>75240.591731052627</v>
          </cell>
          <cell r="O87">
            <v>84303.184012383907</v>
          </cell>
          <cell r="P87">
            <v>92733.502413622307</v>
          </cell>
          <cell r="Q87">
            <v>1</v>
          </cell>
          <cell r="R87">
            <v>93670.204458204345</v>
          </cell>
        </row>
        <row r="88">
          <cell r="A88">
            <v>4791841</v>
          </cell>
          <cell r="C88" t="str">
            <v>BM</v>
          </cell>
          <cell r="D88" t="str">
            <v>COOLER PKG,GLCR 4000,W/O CONT</v>
          </cell>
          <cell r="E88">
            <v>1</v>
          </cell>
          <cell r="F88">
            <v>44702.01</v>
          </cell>
          <cell r="G88">
            <v>60347.713500000005</v>
          </cell>
          <cell r="H88">
            <v>1.1499999999999999</v>
          </cell>
          <cell r="I88">
            <v>69399.870525000006</v>
          </cell>
          <cell r="J88">
            <v>70787.867935500006</v>
          </cell>
          <cell r="K88">
            <v>83279.844630000007</v>
          </cell>
          <cell r="L88">
            <v>1</v>
          </cell>
          <cell r="M88">
            <v>87662.994347368425</v>
          </cell>
          <cell r="N88">
            <v>92046.144064736844</v>
          </cell>
          <cell r="O88">
            <v>103132.9345263158</v>
          </cell>
          <cell r="P88">
            <v>113446.2279789474</v>
          </cell>
          <cell r="Q88">
            <v>1</v>
          </cell>
          <cell r="R88">
            <v>114592.14947368423</v>
          </cell>
        </row>
        <row r="89">
          <cell r="A89">
            <v>4791846</v>
          </cell>
          <cell r="C89" t="str">
            <v>BM</v>
          </cell>
          <cell r="D89" t="str">
            <v>COOLER PKG,GLCR,5000,W/0 CONT</v>
          </cell>
          <cell r="E89">
            <v>1</v>
          </cell>
          <cell r="F89">
            <v>27166.26</v>
          </cell>
          <cell r="G89">
            <v>36674.451000000001</v>
          </cell>
          <cell r="H89">
            <v>1.1499999999999999</v>
          </cell>
          <cell r="I89">
            <v>42175.618649999997</v>
          </cell>
          <cell r="J89">
            <v>43019.131022999994</v>
          </cell>
          <cell r="K89">
            <v>50610.742379999996</v>
          </cell>
          <cell r="L89">
            <v>1</v>
          </cell>
          <cell r="M89">
            <v>53274.465663157891</v>
          </cell>
          <cell r="N89">
            <v>55938.188946315786</v>
          </cell>
          <cell r="O89">
            <v>62675.841956656346</v>
          </cell>
          <cell r="P89">
            <v>68943.42615232199</v>
          </cell>
          <cell r="Q89">
            <v>1</v>
          </cell>
          <cell r="R89">
            <v>69639.824396284821</v>
          </cell>
        </row>
        <row r="90">
          <cell r="A90">
            <v>4791851</v>
          </cell>
          <cell r="C90" t="str">
            <v>BM</v>
          </cell>
          <cell r="D90" t="str">
            <v>COOLER PKG,GLCR,6000,W/0 CONT</v>
          </cell>
          <cell r="E90">
            <v>1</v>
          </cell>
          <cell r="F90">
            <v>29507.88</v>
          </cell>
          <cell r="G90">
            <v>39835.638000000006</v>
          </cell>
          <cell r="H90">
            <v>1.1499999999999999</v>
          </cell>
          <cell r="I90">
            <v>45810.983700000004</v>
          </cell>
          <cell r="J90">
            <v>46727.203374000004</v>
          </cell>
          <cell r="K90">
            <v>54973.180440000004</v>
          </cell>
          <cell r="L90">
            <v>1</v>
          </cell>
          <cell r="M90">
            <v>57866.505726315794</v>
          </cell>
          <cell r="N90">
            <v>60759.831012631585</v>
          </cell>
          <cell r="O90">
            <v>68078.242030959766</v>
          </cell>
          <cell r="P90">
            <v>74886.066234055746</v>
          </cell>
          <cell r="Q90">
            <v>1</v>
          </cell>
          <cell r="R90">
            <v>75642.491145510852</v>
          </cell>
        </row>
        <row r="91">
          <cell r="A91">
            <v>4791856</v>
          </cell>
          <cell r="C91" t="str">
            <v>BM</v>
          </cell>
          <cell r="D91" t="str">
            <v>COOLER PKG,GLCR,7000,W/0 CONT</v>
          </cell>
          <cell r="E91">
            <v>1</v>
          </cell>
          <cell r="F91">
            <v>32191.74</v>
          </cell>
          <cell r="G91">
            <v>43458.849000000002</v>
          </cell>
          <cell r="H91">
            <v>1.1499999999999999</v>
          </cell>
          <cell r="I91">
            <v>49977.676350000002</v>
          </cell>
          <cell r="J91">
            <v>50977.229877000005</v>
          </cell>
          <cell r="K91">
            <v>59973.211620000009</v>
          </cell>
          <cell r="L91">
            <v>1</v>
          </cell>
          <cell r="M91">
            <v>63129.696442105276</v>
          </cell>
          <cell r="N91">
            <v>66286.181264210536</v>
          </cell>
          <cell r="O91">
            <v>74270.231108359148</v>
          </cell>
          <cell r="P91">
            <v>81697.254219195063</v>
          </cell>
          <cell r="Q91">
            <v>1</v>
          </cell>
          <cell r="R91">
            <v>82522.479009287941</v>
          </cell>
        </row>
        <row r="92">
          <cell r="A92">
            <v>4791861</v>
          </cell>
          <cell r="C92" t="str">
            <v>BM</v>
          </cell>
          <cell r="D92" t="str">
            <v>COOLER PKG,GLCR,8000,W/0 CONT</v>
          </cell>
          <cell r="E92">
            <v>1</v>
          </cell>
          <cell r="F92">
            <v>35051</v>
          </cell>
          <cell r="G92">
            <v>47318.850000000006</v>
          </cell>
          <cell r="H92">
            <v>1.1499999999999999</v>
          </cell>
          <cell r="I92">
            <v>54416.677500000005</v>
          </cell>
          <cell r="J92">
            <v>55505.011050000008</v>
          </cell>
          <cell r="K92">
            <v>65300.013000000014</v>
          </cell>
          <cell r="L92">
            <v>1</v>
          </cell>
          <cell r="M92">
            <v>68736.855789473702</v>
          </cell>
          <cell r="N92">
            <v>72173.698578947384</v>
          </cell>
          <cell r="O92">
            <v>80866.889164086708</v>
          </cell>
          <cell r="P92">
            <v>88953.578080495383</v>
          </cell>
          <cell r="Q92">
            <v>1</v>
          </cell>
          <cell r="R92">
            <v>89852.099071207456</v>
          </cell>
        </row>
        <row r="93">
          <cell r="A93">
            <v>4791881</v>
          </cell>
          <cell r="C93" t="str">
            <v>BM</v>
          </cell>
          <cell r="D93" t="str">
            <v>CPRSR,MOD,PKG, 3HP,230-1-60</v>
          </cell>
          <cell r="E93">
            <v>1</v>
          </cell>
          <cell r="F93">
            <v>1292.5</v>
          </cell>
          <cell r="G93">
            <v>1744.8750000000002</v>
          </cell>
          <cell r="H93">
            <v>1.1499999999999999</v>
          </cell>
          <cell r="I93">
            <v>2006.60625</v>
          </cell>
          <cell r="J93">
            <v>2046.7383750000001</v>
          </cell>
          <cell r="K93">
            <v>2407.9275000000002</v>
          </cell>
          <cell r="L93">
            <v>1</v>
          </cell>
          <cell r="M93">
            <v>2534.6605263157899</v>
          </cell>
          <cell r="N93">
            <v>2661.3935526315795</v>
          </cell>
          <cell r="O93">
            <v>2981.9535603715176</v>
          </cell>
          <cell r="P93">
            <v>3280.1489164086697</v>
          </cell>
          <cell r="Q93">
            <v>1</v>
          </cell>
          <cell r="R93">
            <v>3313.2817337461306</v>
          </cell>
        </row>
        <row r="94">
          <cell r="A94">
            <v>4791882</v>
          </cell>
          <cell r="C94" t="str">
            <v>BM</v>
          </cell>
          <cell r="D94" t="str">
            <v>CPRSR,MOD,PKG, 4HP,230-1-60</v>
          </cell>
          <cell r="E94">
            <v>1</v>
          </cell>
          <cell r="F94">
            <v>1237.3992400000002</v>
          </cell>
          <cell r="G94">
            <v>1670.4889740000003</v>
          </cell>
          <cell r="H94">
            <v>1.1499999999999999</v>
          </cell>
          <cell r="I94">
            <v>1921.0623201000003</v>
          </cell>
          <cell r="J94">
            <v>1959.4835665020003</v>
          </cell>
          <cell r="K94">
            <v>2305.2747841200003</v>
          </cell>
          <cell r="L94">
            <v>1</v>
          </cell>
          <cell r="M94">
            <v>2426.6050359157898</v>
          </cell>
          <cell r="N94">
            <v>2547.9352877115793</v>
          </cell>
          <cell r="O94">
            <v>2854.8294540185761</v>
          </cell>
          <cell r="P94">
            <v>3140.3123994204338</v>
          </cell>
          <cell r="Q94">
            <v>1</v>
          </cell>
          <cell r="R94">
            <v>3172.0327266873069</v>
          </cell>
        </row>
        <row r="95">
          <cell r="A95">
            <v>4791883</v>
          </cell>
          <cell r="C95" t="str">
            <v>BM</v>
          </cell>
          <cell r="D95" t="str">
            <v>CPRSR,MOD,PKG, 4HP,230-3-60</v>
          </cell>
          <cell r="E95">
            <v>1</v>
          </cell>
          <cell r="F95">
            <v>1177</v>
          </cell>
          <cell r="G95">
            <v>1588.95</v>
          </cell>
          <cell r="H95">
            <v>1.1499999999999999</v>
          </cell>
          <cell r="I95">
            <v>1827.2925</v>
          </cell>
          <cell r="J95">
            <v>1863.83835</v>
          </cell>
          <cell r="K95">
            <v>2192.7510000000002</v>
          </cell>
          <cell r="L95">
            <v>1</v>
          </cell>
          <cell r="M95">
            <v>2308.1589473684212</v>
          </cell>
          <cell r="N95">
            <v>2423.5668947368422</v>
          </cell>
          <cell r="O95">
            <v>2715.4811145510839</v>
          </cell>
          <cell r="P95">
            <v>2987.0292260061924</v>
          </cell>
          <cell r="Q95">
            <v>1</v>
          </cell>
          <cell r="R95">
            <v>3017.2012383900933</v>
          </cell>
        </row>
        <row r="96">
          <cell r="A96">
            <v>4791885</v>
          </cell>
          <cell r="C96" t="str">
            <v>BM</v>
          </cell>
          <cell r="D96" t="str">
            <v>CPRSR,MOD,PKG, 5HP,230-1-60</v>
          </cell>
          <cell r="E96">
            <v>1</v>
          </cell>
          <cell r="F96">
            <v>1248.5</v>
          </cell>
          <cell r="G96">
            <v>1685.4750000000001</v>
          </cell>
          <cell r="H96">
            <v>1.1499999999999999</v>
          </cell>
          <cell r="I96">
            <v>1938.2962500000001</v>
          </cell>
          <cell r="J96">
            <v>1977.062175</v>
          </cell>
          <cell r="K96">
            <v>2325.9555</v>
          </cell>
          <cell r="L96">
            <v>1</v>
          </cell>
          <cell r="M96">
            <v>2448.3742105263159</v>
          </cell>
          <cell r="N96">
            <v>2570.7929210526318</v>
          </cell>
          <cell r="O96">
            <v>2880.4402476780187</v>
          </cell>
          <cell r="P96">
            <v>3168.4842724458208</v>
          </cell>
          <cell r="Q96">
            <v>1</v>
          </cell>
          <cell r="R96">
            <v>3200.4891640866872</v>
          </cell>
        </row>
        <row r="97">
          <cell r="A97">
            <v>4791886</v>
          </cell>
          <cell r="C97" t="str">
            <v>BM</v>
          </cell>
          <cell r="D97" t="str">
            <v>CPRSR,MOD,PKG, 5HP,230-3-60</v>
          </cell>
          <cell r="E97">
            <v>1</v>
          </cell>
          <cell r="F97">
            <v>1261.7834900000003</v>
          </cell>
          <cell r="G97">
            <v>1703.4077115000005</v>
          </cell>
          <cell r="H97">
            <v>1.1499999999999999</v>
          </cell>
          <cell r="I97">
            <v>1958.9188682250003</v>
          </cell>
          <cell r="J97">
            <v>1998.0972455895003</v>
          </cell>
          <cell r="K97">
            <v>2350.7026418700002</v>
          </cell>
          <cell r="L97">
            <v>1</v>
          </cell>
          <cell r="M97">
            <v>2474.4238335473688</v>
          </cell>
          <cell r="N97">
            <v>2598.1450252247373</v>
          </cell>
          <cell r="O97">
            <v>2911.0868629969045</v>
          </cell>
          <cell r="P97">
            <v>3202.1955492965953</v>
          </cell>
          <cell r="Q97">
            <v>1</v>
          </cell>
          <cell r="R97">
            <v>3234.5409588854495</v>
          </cell>
        </row>
        <row r="98">
          <cell r="A98">
            <v>4791887</v>
          </cell>
          <cell r="C98" t="str">
            <v>BM</v>
          </cell>
          <cell r="D98" t="str">
            <v>CPRSR,MOD,PKG, 5HP,460-3-60</v>
          </cell>
          <cell r="E98">
            <v>1</v>
          </cell>
          <cell r="F98">
            <v>1261.7834900000003</v>
          </cell>
          <cell r="G98">
            <v>1703.4077115000005</v>
          </cell>
          <cell r="H98">
            <v>1.1499999999999999</v>
          </cell>
          <cell r="I98">
            <v>1958.9188682250003</v>
          </cell>
          <cell r="J98">
            <v>1998.0972455895003</v>
          </cell>
          <cell r="K98">
            <v>2350.7026418700002</v>
          </cell>
          <cell r="L98">
            <v>1</v>
          </cell>
          <cell r="M98">
            <v>2474.4238335473688</v>
          </cell>
          <cell r="N98">
            <v>2598.1450252247373</v>
          </cell>
          <cell r="O98">
            <v>2911.0868629969045</v>
          </cell>
          <cell r="P98">
            <v>3202.1955492965953</v>
          </cell>
          <cell r="Q98">
            <v>1</v>
          </cell>
          <cell r="R98">
            <v>3234.5409588854495</v>
          </cell>
        </row>
        <row r="99">
          <cell r="A99">
            <v>4791898</v>
          </cell>
          <cell r="C99" t="str">
            <v>BM</v>
          </cell>
          <cell r="D99" t="str">
            <v>CPRSR,PKG,7.5HP,230V,50/60</v>
          </cell>
          <cell r="E99">
            <v>1</v>
          </cell>
          <cell r="F99">
            <v>2096.6387200000004</v>
          </cell>
          <cell r="G99">
            <v>2830.4622720000007</v>
          </cell>
          <cell r="H99">
            <v>1.1499999999999999</v>
          </cell>
          <cell r="I99">
            <v>3255.0316128000004</v>
          </cell>
          <cell r="J99">
            <v>3320.1322450560006</v>
          </cell>
          <cell r="K99">
            <v>3906.0379353600006</v>
          </cell>
          <cell r="L99">
            <v>1</v>
          </cell>
          <cell r="M99">
            <v>4111.6188793263163</v>
          </cell>
          <cell r="N99">
            <v>4317.1998232926326</v>
          </cell>
          <cell r="O99">
            <v>4837.1986815603723</v>
          </cell>
          <cell r="P99">
            <v>5320.9185497164099</v>
          </cell>
          <cell r="Q99">
            <v>1</v>
          </cell>
          <cell r="R99">
            <v>5374.6652017337465</v>
          </cell>
        </row>
        <row r="100">
          <cell r="A100">
            <v>4791899</v>
          </cell>
          <cell r="C100" t="str">
            <v>BM</v>
          </cell>
          <cell r="D100" t="str">
            <v>CPRSR,PKG,7.5HP,380/460V,50/60</v>
          </cell>
          <cell r="E100">
            <v>1</v>
          </cell>
          <cell r="F100">
            <v>2306.7000000000003</v>
          </cell>
          <cell r="G100">
            <v>3114.0450000000005</v>
          </cell>
          <cell r="H100">
            <v>1.1499999999999999</v>
          </cell>
          <cell r="I100">
            <v>3581.1517500000004</v>
          </cell>
          <cell r="J100">
            <v>3652.7747850000005</v>
          </cell>
          <cell r="K100">
            <v>4297.3821000000007</v>
          </cell>
          <cell r="L100">
            <v>1</v>
          </cell>
          <cell r="M100">
            <v>4523.5601052631591</v>
          </cell>
          <cell r="N100">
            <v>4749.7381105263175</v>
          </cell>
          <cell r="O100">
            <v>5321.8354179566577</v>
          </cell>
          <cell r="P100">
            <v>5854.018959752324</v>
          </cell>
          <cell r="Q100">
            <v>1</v>
          </cell>
          <cell r="R100">
            <v>5913.1504643962862</v>
          </cell>
        </row>
        <row r="101">
          <cell r="A101">
            <v>5100356</v>
          </cell>
          <cell r="D101" t="e">
            <v>#N/A</v>
          </cell>
          <cell r="F101">
            <v>201.83</v>
          </cell>
          <cell r="G101">
            <v>272.47050000000002</v>
          </cell>
          <cell r="H101">
            <v>1.1499999999999999</v>
          </cell>
          <cell r="I101">
            <v>313.34107499999999</v>
          </cell>
          <cell r="J101">
            <v>339.97506637499998</v>
          </cell>
          <cell r="K101">
            <v>424.96883296874995</v>
          </cell>
          <cell r="L101">
            <v>2</v>
          </cell>
          <cell r="M101">
            <v>472.18759218749994</v>
          </cell>
          <cell r="N101">
            <v>495.79697179687497</v>
          </cell>
          <cell r="O101">
            <v>555.51481433823528</v>
          </cell>
          <cell r="P101">
            <v>611.06629577205888</v>
          </cell>
          <cell r="Q101">
            <v>3</v>
          </cell>
          <cell r="R101">
            <v>694.3935179227941</v>
          </cell>
        </row>
        <row r="102">
          <cell r="A102">
            <v>5100544</v>
          </cell>
          <cell r="C102" t="str">
            <v>BM</v>
          </cell>
          <cell r="D102" t="str">
            <v>Aplicador de sellador Ambic (TWINDIPPER,AMBIC,BLUE  )</v>
          </cell>
          <cell r="E102">
            <v>1</v>
          </cell>
          <cell r="F102">
            <v>6.2846250000000001</v>
          </cell>
          <cell r="G102">
            <v>8.484243750000001</v>
          </cell>
          <cell r="H102">
            <v>1</v>
          </cell>
          <cell r="I102">
            <v>8.484243750000001</v>
          </cell>
          <cell r="J102">
            <v>9.2054044687500003</v>
          </cell>
          <cell r="K102">
            <v>11.506755585937499</v>
          </cell>
          <cell r="L102">
            <v>1</v>
          </cell>
          <cell r="M102">
            <v>12.112374300986842</v>
          </cell>
          <cell r="N102">
            <v>12.717993016036184</v>
          </cell>
          <cell r="O102">
            <v>14.24985211880805</v>
          </cell>
          <cell r="P102">
            <v>15.674837330688856</v>
          </cell>
          <cell r="Q102">
            <v>3</v>
          </cell>
          <cell r="R102">
            <v>17.812315148510063</v>
          </cell>
        </row>
        <row r="103">
          <cell r="A103">
            <v>5100636</v>
          </cell>
          <cell r="D103" t="e">
            <v>#N/A</v>
          </cell>
          <cell r="F103">
            <v>13.780874999999998</v>
          </cell>
          <cell r="G103">
            <v>18.60418125</v>
          </cell>
          <cell r="H103">
            <v>1.1499999999999999</v>
          </cell>
          <cell r="I103">
            <v>21.394808437499997</v>
          </cell>
          <cell r="J103">
            <v>23.213367154687496</v>
          </cell>
          <cell r="K103">
            <v>29.016708943359369</v>
          </cell>
          <cell r="L103">
            <v>2</v>
          </cell>
          <cell r="M103">
            <v>32.240787714843741</v>
          </cell>
          <cell r="N103">
            <v>33.852827100585927</v>
          </cell>
          <cell r="O103">
            <v>37.930338488051461</v>
          </cell>
          <cell r="P103">
            <v>41.723372336856613</v>
          </cell>
          <cell r="Q103">
            <v>3</v>
          </cell>
          <cell r="R103">
            <v>47.412923110064327</v>
          </cell>
        </row>
        <row r="104">
          <cell r="A104">
            <v>5100750</v>
          </cell>
          <cell r="C104" t="str">
            <v>BM</v>
          </cell>
          <cell r="D104" t="str">
            <v>AL2U adaptable a 960016-01tipo delaval estriada</v>
          </cell>
          <cell r="E104">
            <v>100</v>
          </cell>
          <cell r="F104">
            <v>203.50000000000003</v>
          </cell>
          <cell r="G104">
            <v>274.72500000000008</v>
          </cell>
          <cell r="H104">
            <v>1.1499999999999999</v>
          </cell>
          <cell r="I104">
            <v>315.93375000000009</v>
          </cell>
          <cell r="J104">
            <v>342.78811875000008</v>
          </cell>
          <cell r="K104">
            <v>428.48514843750007</v>
          </cell>
          <cell r="L104">
            <v>3</v>
          </cell>
          <cell r="M104">
            <v>504.10017463235306</v>
          </cell>
          <cell r="N104">
            <v>529.30518336397074</v>
          </cell>
          <cell r="O104">
            <v>593.05902897923886</v>
          </cell>
          <cell r="P104">
            <v>652.3649318771628</v>
          </cell>
          <cell r="Q104">
            <v>3</v>
          </cell>
          <cell r="R104">
            <v>741.32378622404849</v>
          </cell>
        </row>
        <row r="105">
          <cell r="A105">
            <v>5100751</v>
          </cell>
          <cell r="C105" t="str">
            <v>BM</v>
          </cell>
          <cell r="D105" t="str">
            <v>AL36U adaptable a 960036-01 tipo delaval TF 350</v>
          </cell>
          <cell r="E105">
            <v>100</v>
          </cell>
          <cell r="F105">
            <v>203.50000000000003</v>
          </cell>
          <cell r="G105">
            <v>274.72500000000008</v>
          </cell>
          <cell r="H105">
            <v>1.1499999999999999</v>
          </cell>
          <cell r="I105">
            <v>315.93375000000009</v>
          </cell>
          <cell r="J105">
            <v>342.78811875000008</v>
          </cell>
          <cell r="K105">
            <v>428.48514843750007</v>
          </cell>
          <cell r="L105">
            <v>3</v>
          </cell>
          <cell r="M105">
            <v>504.10017463235306</v>
          </cell>
          <cell r="N105">
            <v>529.30518336397074</v>
          </cell>
          <cell r="O105">
            <v>593.05902897923886</v>
          </cell>
          <cell r="P105">
            <v>652.3649318771628</v>
          </cell>
          <cell r="Q105">
            <v>3</v>
          </cell>
          <cell r="R105">
            <v>741.32378622404849</v>
          </cell>
        </row>
        <row r="106">
          <cell r="A106">
            <v>5100752</v>
          </cell>
          <cell r="C106" t="str">
            <v>BM</v>
          </cell>
          <cell r="D106" t="str">
            <v>AL9U adaptable a 999009-01tipo delavaltipo harmony</v>
          </cell>
          <cell r="E106">
            <v>100</v>
          </cell>
          <cell r="F106">
            <v>204.83</v>
          </cell>
          <cell r="G106">
            <v>276.52050000000003</v>
          </cell>
          <cell r="H106">
            <v>1.1499999999999999</v>
          </cell>
          <cell r="I106">
            <v>317.99857500000002</v>
          </cell>
          <cell r="J106">
            <v>345.02845387500003</v>
          </cell>
          <cell r="K106">
            <v>431.28556734375002</v>
          </cell>
          <cell r="L106">
            <v>3</v>
          </cell>
          <cell r="M106">
            <v>507.39478511029415</v>
          </cell>
          <cell r="N106">
            <v>532.76452436580882</v>
          </cell>
          <cell r="O106">
            <v>596.93504130622841</v>
          </cell>
          <cell r="P106">
            <v>656.62854543685125</v>
          </cell>
          <cell r="Q106">
            <v>3</v>
          </cell>
          <cell r="R106">
            <v>746.16880163278552</v>
          </cell>
        </row>
        <row r="107">
          <cell r="A107">
            <v>5100753</v>
          </cell>
          <cell r="C107" t="str">
            <v>BM</v>
          </cell>
          <cell r="D107" t="str">
            <v>BOS-IR adaptable a 186644160 tipo Bosio irlanda</v>
          </cell>
          <cell r="E107">
            <v>100</v>
          </cell>
          <cell r="F107">
            <v>203.50000000000003</v>
          </cell>
          <cell r="G107">
            <v>274.72500000000008</v>
          </cell>
          <cell r="H107">
            <v>1.1499999999999999</v>
          </cell>
          <cell r="I107">
            <v>315.93375000000009</v>
          </cell>
          <cell r="J107">
            <v>342.78811875000008</v>
          </cell>
          <cell r="K107">
            <v>428.48514843750007</v>
          </cell>
          <cell r="L107">
            <v>3</v>
          </cell>
          <cell r="M107">
            <v>504.10017463235306</v>
          </cell>
          <cell r="N107">
            <v>529.30518336397074</v>
          </cell>
          <cell r="O107">
            <v>593.05902897923886</v>
          </cell>
          <cell r="P107">
            <v>652.3649318771628</v>
          </cell>
          <cell r="Q107">
            <v>3</v>
          </cell>
          <cell r="R107">
            <v>741.32378622404849</v>
          </cell>
        </row>
        <row r="108">
          <cell r="A108">
            <v>5100754</v>
          </cell>
          <cell r="C108" t="str">
            <v>BM</v>
          </cell>
          <cell r="D108" t="str">
            <v>Tipo surge 10062</v>
          </cell>
          <cell r="E108">
            <v>100</v>
          </cell>
          <cell r="F108">
            <v>228</v>
          </cell>
          <cell r="G108">
            <v>307.8</v>
          </cell>
          <cell r="H108">
            <v>1.1499999999999999</v>
          </cell>
          <cell r="I108">
            <v>353.96999999999997</v>
          </cell>
          <cell r="J108">
            <v>384.05744999999996</v>
          </cell>
          <cell r="K108">
            <v>480.07181249999991</v>
          </cell>
          <cell r="L108">
            <v>3</v>
          </cell>
          <cell r="M108">
            <v>564.7903676470587</v>
          </cell>
          <cell r="N108">
            <v>593.02988602941161</v>
          </cell>
          <cell r="O108">
            <v>664.4592560553632</v>
          </cell>
          <cell r="P108">
            <v>730.90518166089953</v>
          </cell>
          <cell r="Q108">
            <v>3</v>
          </cell>
          <cell r="R108">
            <v>830.57407006920391</v>
          </cell>
        </row>
        <row r="109">
          <cell r="A109">
            <v>8500457</v>
          </cell>
          <cell r="C109" t="str">
            <v>BM</v>
          </cell>
          <cell r="D109" t="str">
            <v>Filtro de leche (FILTER,IN-LINE, 1.50X36.00,TC)</v>
          </cell>
          <cell r="E109">
            <v>1</v>
          </cell>
          <cell r="F109">
            <v>686.26800000000003</v>
          </cell>
          <cell r="G109">
            <v>926.46180000000015</v>
          </cell>
          <cell r="H109">
            <v>1.1499999999999999</v>
          </cell>
          <cell r="I109">
            <v>1065.4310700000001</v>
          </cell>
          <cell r="J109">
            <v>1155.9927109500002</v>
          </cell>
          <cell r="K109">
            <v>1444.9908886875</v>
          </cell>
          <cell r="L109">
            <v>3</v>
          </cell>
          <cell r="M109">
            <v>1699.9892808088237</v>
          </cell>
          <cell r="N109">
            <v>1784.988744849265</v>
          </cell>
          <cell r="O109">
            <v>1999.9873891868515</v>
          </cell>
          <cell r="P109">
            <v>2199.9861281055369</v>
          </cell>
          <cell r="Q109">
            <v>3</v>
          </cell>
          <cell r="R109">
            <v>2499.984236483564</v>
          </cell>
        </row>
        <row r="110">
          <cell r="A110">
            <v>8500479</v>
          </cell>
          <cell r="C110" t="str">
            <v>BM</v>
          </cell>
          <cell r="D110" t="str">
            <v>Curva final de caneria(U-BEND,SS,W/FERL,4.0,6CC)</v>
          </cell>
          <cell r="E110">
            <v>1</v>
          </cell>
          <cell r="F110">
            <v>187.00000000000003</v>
          </cell>
          <cell r="G110">
            <v>252.45000000000005</v>
          </cell>
          <cell r="H110">
            <v>1.1499999999999999</v>
          </cell>
          <cell r="I110">
            <v>290.31750000000005</v>
          </cell>
          <cell r="J110">
            <v>314.99448750000005</v>
          </cell>
          <cell r="K110">
            <v>393.74310937500002</v>
          </cell>
          <cell r="L110">
            <v>2</v>
          </cell>
          <cell r="M110">
            <v>437.49234375000003</v>
          </cell>
          <cell r="N110">
            <v>459.36696093750004</v>
          </cell>
          <cell r="O110">
            <v>514.69687500000009</v>
          </cell>
          <cell r="P110">
            <v>566.16656250000017</v>
          </cell>
          <cell r="Q110">
            <v>3</v>
          </cell>
          <cell r="R110">
            <v>643.37109375000011</v>
          </cell>
        </row>
        <row r="111">
          <cell r="A111">
            <v>8500543</v>
          </cell>
          <cell r="C111" t="str">
            <v>BM</v>
          </cell>
          <cell r="D111" t="str">
            <v>Soporte con Abrazadera (CLAMP,2.0 IN,VINYL-COATED)</v>
          </cell>
          <cell r="E111" t="str">
            <v>1A</v>
          </cell>
          <cell r="F111">
            <v>6.6000000000000005</v>
          </cell>
          <cell r="G111">
            <v>8.9100000000000019</v>
          </cell>
          <cell r="H111">
            <v>1.1499999999999999</v>
          </cell>
          <cell r="I111">
            <v>10.246500000000001</v>
          </cell>
          <cell r="J111">
            <v>11.117452500000001</v>
          </cell>
          <cell r="K111">
            <v>13.896815625</v>
          </cell>
          <cell r="L111">
            <v>2</v>
          </cell>
          <cell r="M111">
            <v>15.440906249999999</v>
          </cell>
          <cell r="N111">
            <v>16.212951562499999</v>
          </cell>
          <cell r="O111">
            <v>18.165772058823528</v>
          </cell>
          <cell r="P111">
            <v>19.982349264705881</v>
          </cell>
          <cell r="Q111">
            <v>3</v>
          </cell>
          <cell r="R111">
            <v>22.707215073529408</v>
          </cell>
        </row>
        <row r="112">
          <cell r="A112">
            <v>8500823</v>
          </cell>
          <cell r="C112" t="str">
            <v>BM</v>
          </cell>
          <cell r="D112" t="str">
            <v>Conector(NIPPLE ASSY,STR,PLSTC,1.5 IN)</v>
          </cell>
          <cell r="E112">
            <v>1</v>
          </cell>
          <cell r="F112">
            <v>3.3000000000000003</v>
          </cell>
          <cell r="G112">
            <v>4.455000000000001</v>
          </cell>
          <cell r="H112">
            <v>1.1499999999999999</v>
          </cell>
          <cell r="I112">
            <v>5.1232500000000005</v>
          </cell>
          <cell r="J112">
            <v>5.5587262500000003</v>
          </cell>
          <cell r="K112">
            <v>6.9484078125000002</v>
          </cell>
          <cell r="L112">
            <v>2</v>
          </cell>
          <cell r="M112">
            <v>7.7204531249999997</v>
          </cell>
          <cell r="N112">
            <v>8.1064757812499995</v>
          </cell>
          <cell r="O112">
            <v>9.0828860294117639</v>
          </cell>
          <cell r="P112">
            <v>9.9911746323529407</v>
          </cell>
          <cell r="Q112">
            <v>3</v>
          </cell>
          <cell r="R112">
            <v>11.353607536764704</v>
          </cell>
        </row>
        <row r="113">
          <cell r="A113">
            <v>8500834</v>
          </cell>
          <cell r="C113" t="str">
            <v>BM</v>
          </cell>
          <cell r="D113" t="str">
            <v>Conector (NIPPLE ASSY,STR,PLSTC,2,5 IN)</v>
          </cell>
          <cell r="E113">
            <v>1</v>
          </cell>
          <cell r="F113">
            <v>5.5</v>
          </cell>
          <cell r="G113">
            <v>7.4250000000000007</v>
          </cell>
          <cell r="H113">
            <v>1.1499999999999999</v>
          </cell>
          <cell r="I113">
            <v>8.5387500000000003</v>
          </cell>
          <cell r="J113">
            <v>9.2645437499999996</v>
          </cell>
          <cell r="K113">
            <v>11.580679687499998</v>
          </cell>
          <cell r="L113">
            <v>2</v>
          </cell>
          <cell r="M113">
            <v>12.867421874999998</v>
          </cell>
          <cell r="N113">
            <v>13.510792968749998</v>
          </cell>
          <cell r="O113">
            <v>15.13814338235294</v>
          </cell>
          <cell r="P113">
            <v>16.651957720588236</v>
          </cell>
          <cell r="Q113">
            <v>3</v>
          </cell>
          <cell r="R113">
            <v>18.922679227941174</v>
          </cell>
        </row>
        <row r="114">
          <cell r="A114">
            <v>8500835</v>
          </cell>
          <cell r="C114" t="str">
            <v>BM</v>
          </cell>
          <cell r="D114" t="str">
            <v>Conector (NIPPLE ASSY,STR,PLSTC,3 IN)</v>
          </cell>
          <cell r="E114">
            <v>1</v>
          </cell>
          <cell r="F114">
            <v>2.2000000000000002</v>
          </cell>
          <cell r="G114">
            <v>2.9700000000000006</v>
          </cell>
          <cell r="H114">
            <v>1.1499999999999999</v>
          </cell>
          <cell r="I114">
            <v>3.4155000000000006</v>
          </cell>
          <cell r="J114">
            <v>3.7058175000000007</v>
          </cell>
          <cell r="K114">
            <v>4.6322718750000007</v>
          </cell>
          <cell r="L114">
            <v>2</v>
          </cell>
          <cell r="M114">
            <v>5.146968750000001</v>
          </cell>
          <cell r="N114">
            <v>5.4043171875000011</v>
          </cell>
          <cell r="O114">
            <v>6.0552573529411777</v>
          </cell>
          <cell r="P114">
            <v>6.6607830882352959</v>
          </cell>
          <cell r="Q114">
            <v>3</v>
          </cell>
          <cell r="R114">
            <v>7.5690716911764717</v>
          </cell>
        </row>
        <row r="115">
          <cell r="A115">
            <v>8501475</v>
          </cell>
          <cell r="C115" t="str">
            <v>BM</v>
          </cell>
          <cell r="D115" t="str">
            <v>Unidad final de 60 litros (RCVR ASSY,60H)</v>
          </cell>
          <cell r="E115">
            <v>1</v>
          </cell>
          <cell r="F115">
            <v>3759.8</v>
          </cell>
          <cell r="G115">
            <v>5075.7300000000005</v>
          </cell>
          <cell r="H115">
            <v>1.1499999999999999</v>
          </cell>
          <cell r="I115">
            <v>5837.0895</v>
          </cell>
          <cell r="J115">
            <v>6333.2421075000002</v>
          </cell>
          <cell r="K115">
            <v>7916.5526343749998</v>
          </cell>
          <cell r="L115">
            <v>1</v>
          </cell>
          <cell r="M115">
            <v>8333.2132993421055</v>
          </cell>
          <cell r="N115">
            <v>8749.8739643092104</v>
          </cell>
          <cell r="O115">
            <v>9803.7803521671831</v>
          </cell>
          <cell r="P115">
            <v>10784.158387383903</v>
          </cell>
          <cell r="Q115">
            <v>3</v>
          </cell>
          <cell r="R115">
            <v>12254.725440208978</v>
          </cell>
        </row>
        <row r="116">
          <cell r="A116">
            <v>8501503</v>
          </cell>
          <cell r="C116" t="str">
            <v>BM</v>
          </cell>
          <cell r="D116" t="str">
            <v>GAUGE,DIGITAL VACUUM</v>
          </cell>
          <cell r="E116">
            <v>1</v>
          </cell>
          <cell r="F116">
            <v>176</v>
          </cell>
          <cell r="G116">
            <v>237.60000000000002</v>
          </cell>
          <cell r="H116">
            <v>1.1499999999999999</v>
          </cell>
          <cell r="I116">
            <v>273.24</v>
          </cell>
          <cell r="J116">
            <v>296.46539999999999</v>
          </cell>
          <cell r="K116">
            <v>370.58174999999994</v>
          </cell>
          <cell r="L116">
            <v>3</v>
          </cell>
          <cell r="M116">
            <v>435.97852941176467</v>
          </cell>
          <cell r="N116">
            <v>457.77745588235291</v>
          </cell>
          <cell r="O116">
            <v>512.91591695501722</v>
          </cell>
          <cell r="P116">
            <v>564.207508650519</v>
          </cell>
          <cell r="Q116">
            <v>3</v>
          </cell>
          <cell r="R116">
            <v>641.1448961937715</v>
          </cell>
        </row>
        <row r="117">
          <cell r="A117">
            <v>8502058</v>
          </cell>
          <cell r="C117" t="str">
            <v>BM</v>
          </cell>
          <cell r="D117" t="str">
            <v>KIT,AFM,W/DIGITAL VAC GAUGE</v>
          </cell>
          <cell r="E117">
            <v>1</v>
          </cell>
          <cell r="F117">
            <v>455.40000000000003</v>
          </cell>
          <cell r="G117">
            <v>614.79000000000008</v>
          </cell>
          <cell r="H117">
            <v>1.1499999999999999</v>
          </cell>
          <cell r="I117">
            <v>707.00850000000003</v>
          </cell>
          <cell r="J117">
            <v>767.10422249999999</v>
          </cell>
          <cell r="K117">
            <v>958.8802781249999</v>
          </cell>
          <cell r="L117">
            <v>3</v>
          </cell>
          <cell r="M117">
            <v>1128.094444852941</v>
          </cell>
          <cell r="N117">
            <v>1184.4991670955881</v>
          </cell>
          <cell r="O117">
            <v>1327.1699351211071</v>
          </cell>
          <cell r="P117">
            <v>1459.8869286332178</v>
          </cell>
          <cell r="Q117">
            <v>3</v>
          </cell>
          <cell r="R117">
            <v>1658.9624189013837</v>
          </cell>
        </row>
        <row r="118">
          <cell r="A118">
            <v>8502256</v>
          </cell>
          <cell r="C118" t="str">
            <v>BM</v>
          </cell>
          <cell r="D118" t="str">
            <v>HOLDER,PROBE,1-1/2 IN</v>
          </cell>
          <cell r="E118">
            <v>1</v>
          </cell>
          <cell r="F118">
            <v>3.3667500000000001</v>
          </cell>
          <cell r="G118">
            <v>4.5451125000000001</v>
          </cell>
          <cell r="H118">
            <v>1.1499999999999999</v>
          </cell>
          <cell r="I118">
            <v>5.2268793749999993</v>
          </cell>
          <cell r="J118">
            <v>5.6711641218749991</v>
          </cell>
          <cell r="K118">
            <v>7.0889551523437486</v>
          </cell>
          <cell r="L118">
            <v>2</v>
          </cell>
          <cell r="M118">
            <v>7.8766168359374982</v>
          </cell>
          <cell r="N118">
            <v>8.2704476777343743</v>
          </cell>
          <cell r="O118">
            <v>9.2666080422794099</v>
          </cell>
          <cell r="P118">
            <v>10.193268846507351</v>
          </cell>
          <cell r="Q118">
            <v>3</v>
          </cell>
          <cell r="R118">
            <v>11.583260052849262</v>
          </cell>
        </row>
        <row r="119">
          <cell r="A119">
            <v>8502366</v>
          </cell>
          <cell r="C119" t="str">
            <v>BM</v>
          </cell>
          <cell r="D119" t="str">
            <v>Kit de Poleas (KIT,PULLEY,BP-140,5HP MOTOR)</v>
          </cell>
          <cell r="E119">
            <v>1</v>
          </cell>
          <cell r="F119">
            <v>29.700000000000003</v>
          </cell>
          <cell r="G119">
            <v>40.095000000000006</v>
          </cell>
          <cell r="H119">
            <v>1.1499999999999999</v>
          </cell>
          <cell r="I119">
            <v>46.109250000000003</v>
          </cell>
          <cell r="J119">
            <v>50.028536250000002</v>
          </cell>
          <cell r="K119">
            <v>62.535670312500002</v>
          </cell>
          <cell r="L119">
            <v>2</v>
          </cell>
          <cell r="M119">
            <v>69.484078124999996</v>
          </cell>
          <cell r="N119">
            <v>72.958282031249993</v>
          </cell>
          <cell r="O119">
            <v>81.745974264705879</v>
          </cell>
          <cell r="P119">
            <v>89.920571691176477</v>
          </cell>
          <cell r="Q119">
            <v>3</v>
          </cell>
          <cell r="R119">
            <v>102.18246783088235</v>
          </cell>
        </row>
        <row r="120">
          <cell r="A120">
            <v>8502705</v>
          </cell>
          <cell r="C120" t="str">
            <v>BM</v>
          </cell>
          <cell r="D120" t="str">
            <v>KIT,PUMP MOD,PIPELINE</v>
          </cell>
          <cell r="E120">
            <v>1</v>
          </cell>
          <cell r="F120">
            <v>795.41</v>
          </cell>
          <cell r="G120">
            <v>1073.8035</v>
          </cell>
          <cell r="H120">
            <v>1.1499999999999999</v>
          </cell>
          <cell r="I120">
            <v>1234.8740249999998</v>
          </cell>
          <cell r="J120">
            <v>1259.5715054999998</v>
          </cell>
          <cell r="K120">
            <v>1481.8488299999999</v>
          </cell>
          <cell r="L120">
            <v>2</v>
          </cell>
          <cell r="M120">
            <v>1646.4986999999999</v>
          </cell>
          <cell r="N120">
            <v>1728.823635</v>
          </cell>
          <cell r="O120">
            <v>1937.057294117647</v>
          </cell>
          <cell r="P120">
            <v>2130.7630235294118</v>
          </cell>
          <cell r="Q120">
            <v>1</v>
          </cell>
          <cell r="R120">
            <v>2152.2858823529409</v>
          </cell>
        </row>
        <row r="121">
          <cell r="A121">
            <v>8502796</v>
          </cell>
          <cell r="C121" t="str">
            <v>BM</v>
          </cell>
          <cell r="D121" t="str">
            <v>Valvula derivadora(VALVE,DIVERTER,230V,50HZ)</v>
          </cell>
          <cell r="E121">
            <v>1</v>
          </cell>
          <cell r="F121">
            <v>232.55</v>
          </cell>
          <cell r="G121">
            <v>313.94250000000005</v>
          </cell>
          <cell r="H121">
            <v>1.1499999999999999</v>
          </cell>
          <cell r="I121">
            <v>361.03387500000002</v>
          </cell>
          <cell r="J121">
            <v>391.72175437499999</v>
          </cell>
          <cell r="K121">
            <v>489.65219296874994</v>
          </cell>
          <cell r="L121">
            <v>2</v>
          </cell>
          <cell r="M121">
            <v>544.05799218749996</v>
          </cell>
          <cell r="N121">
            <v>571.26089179687494</v>
          </cell>
          <cell r="O121">
            <v>640.06822610294114</v>
          </cell>
          <cell r="P121">
            <v>704.07504871323533</v>
          </cell>
          <cell r="Q121">
            <v>3</v>
          </cell>
          <cell r="R121">
            <v>800.0852826286764</v>
          </cell>
        </row>
        <row r="122">
          <cell r="A122">
            <v>8503022</v>
          </cell>
          <cell r="C122" t="str">
            <v>BM</v>
          </cell>
          <cell r="D122" t="str">
            <v>Ducha de lavado(CUP,JETTER,R/MAG-SERIES)</v>
          </cell>
          <cell r="E122">
            <v>1</v>
          </cell>
          <cell r="F122">
            <v>2.06975</v>
          </cell>
          <cell r="G122">
            <v>2.7941625000000001</v>
          </cell>
          <cell r="H122">
            <v>1.1499999999999999</v>
          </cell>
          <cell r="I122">
            <v>3.2132868749999997</v>
          </cell>
          <cell r="J122">
            <v>3.4864162593749994</v>
          </cell>
          <cell r="K122">
            <v>4.3580203242187494</v>
          </cell>
          <cell r="L122">
            <v>2</v>
          </cell>
          <cell r="M122">
            <v>4.8422448046874988</v>
          </cell>
          <cell r="N122">
            <v>5.084357044921874</v>
          </cell>
          <cell r="O122">
            <v>5.6967585937499985</v>
          </cell>
          <cell r="P122">
            <v>6.2664344531249991</v>
          </cell>
          <cell r="Q122">
            <v>3</v>
          </cell>
          <cell r="R122">
            <v>7.1209482421874979</v>
          </cell>
        </row>
        <row r="123">
          <cell r="A123">
            <v>8503023</v>
          </cell>
          <cell r="C123" t="str">
            <v>BM</v>
          </cell>
          <cell r="D123" t="str">
            <v>CUP,JETTER,DK-SERIES/RM1</v>
          </cell>
          <cell r="E123">
            <v>1</v>
          </cell>
          <cell r="F123">
            <v>1.51</v>
          </cell>
          <cell r="G123">
            <v>2.0385</v>
          </cell>
          <cell r="H123">
            <v>1.1499999999999999</v>
          </cell>
          <cell r="I123">
            <v>2.3442749999999997</v>
          </cell>
          <cell r="J123">
            <v>2.5435383749999994</v>
          </cell>
          <cell r="K123">
            <v>3.1794229687499991</v>
          </cell>
          <cell r="L123">
            <v>2</v>
          </cell>
          <cell r="M123">
            <v>3.532692187499999</v>
          </cell>
          <cell r="N123">
            <v>3.7093267968749992</v>
          </cell>
          <cell r="O123">
            <v>4.156108455882352</v>
          </cell>
          <cell r="P123">
            <v>4.5717193014705879</v>
          </cell>
          <cell r="Q123">
            <v>3</v>
          </cell>
          <cell r="R123">
            <v>5.1951355698529396</v>
          </cell>
        </row>
        <row r="124">
          <cell r="A124">
            <v>8504032</v>
          </cell>
          <cell r="C124" t="str">
            <v>BM</v>
          </cell>
          <cell r="D124" t="str">
            <v>FILTER,SOCK, 4.88X17.00, 500CS</v>
          </cell>
          <cell r="E124">
            <v>1</v>
          </cell>
          <cell r="F124">
            <v>80.201000000000008</v>
          </cell>
          <cell r="G124">
            <v>108.27135000000001</v>
          </cell>
          <cell r="H124">
            <v>1.1499999999999999</v>
          </cell>
          <cell r="I124">
            <v>124.51205250000001</v>
          </cell>
          <cell r="J124">
            <v>135.09557696250002</v>
          </cell>
          <cell r="K124">
            <v>168.86947120312502</v>
          </cell>
          <cell r="L124">
            <v>2</v>
          </cell>
          <cell r="M124">
            <v>187.63274578125001</v>
          </cell>
          <cell r="N124">
            <v>197.0143830703125</v>
          </cell>
          <cell r="O124">
            <v>220.7444068014706</v>
          </cell>
          <cell r="P124">
            <v>242.81884748161769</v>
          </cell>
          <cell r="Q124">
            <v>3</v>
          </cell>
          <cell r="R124">
            <v>275.93050850183823</v>
          </cell>
        </row>
        <row r="125">
          <cell r="A125">
            <v>8504059</v>
          </cell>
          <cell r="C125" t="str">
            <v>BM</v>
          </cell>
          <cell r="D125" t="str">
            <v>Soporte caneria(HANGER,1.5",TUBE,PLASTIC,CLAMP)</v>
          </cell>
          <cell r="E125">
            <v>1</v>
          </cell>
          <cell r="F125">
            <v>7.7000000000000011</v>
          </cell>
          <cell r="G125">
            <v>10.395000000000001</v>
          </cell>
          <cell r="H125">
            <v>1.1499999999999999</v>
          </cell>
          <cell r="I125">
            <v>11.95425</v>
          </cell>
          <cell r="J125">
            <v>12.97036125</v>
          </cell>
          <cell r="K125">
            <v>16.212951562499999</v>
          </cell>
          <cell r="L125">
            <v>2</v>
          </cell>
          <cell r="M125">
            <v>18.014390624999997</v>
          </cell>
          <cell r="N125">
            <v>18.915110156249998</v>
          </cell>
          <cell r="O125">
            <v>21.193400735294116</v>
          </cell>
          <cell r="P125">
            <v>23.312740808823531</v>
          </cell>
          <cell r="Q125">
            <v>3</v>
          </cell>
          <cell r="R125">
            <v>26.491750919117642</v>
          </cell>
        </row>
        <row r="126">
          <cell r="A126">
            <v>8504060</v>
          </cell>
          <cell r="C126" t="str">
            <v>BM</v>
          </cell>
          <cell r="D126" t="str">
            <v>Soporte caneria(HANGER,2.0",TUBE,PLASTIC,CLAMP)</v>
          </cell>
          <cell r="E126">
            <v>1</v>
          </cell>
          <cell r="F126">
            <v>9.9</v>
          </cell>
          <cell r="G126">
            <v>13.365000000000002</v>
          </cell>
          <cell r="H126">
            <v>1.1499999999999999</v>
          </cell>
          <cell r="I126">
            <v>15.369750000000002</v>
          </cell>
          <cell r="J126">
            <v>16.676178750000002</v>
          </cell>
          <cell r="K126">
            <v>20.8452234375</v>
          </cell>
          <cell r="L126">
            <v>2</v>
          </cell>
          <cell r="M126">
            <v>23.161359375</v>
          </cell>
          <cell r="N126">
            <v>24.31942734375</v>
          </cell>
          <cell r="O126">
            <v>27.248658088235295</v>
          </cell>
          <cell r="P126">
            <v>29.973523897058826</v>
          </cell>
          <cell r="Q126">
            <v>3</v>
          </cell>
          <cell r="R126">
            <v>34.060822610294117</v>
          </cell>
        </row>
        <row r="127">
          <cell r="A127">
            <v>8504062</v>
          </cell>
          <cell r="C127" t="str">
            <v>BM</v>
          </cell>
          <cell r="D127" t="str">
            <v>Soporte caneria(HANGER,3.0",PIPE,PLASTIC,CLAMP)</v>
          </cell>
          <cell r="E127">
            <v>1</v>
          </cell>
          <cell r="F127">
            <v>12.782</v>
          </cell>
          <cell r="G127">
            <v>17.255700000000001</v>
          </cell>
          <cell r="H127">
            <v>1.1499999999999999</v>
          </cell>
          <cell r="I127">
            <v>19.844055000000001</v>
          </cell>
          <cell r="J127">
            <v>21.530799675000001</v>
          </cell>
          <cell r="K127">
            <v>26.91349959375</v>
          </cell>
          <cell r="L127">
            <v>2</v>
          </cell>
          <cell r="M127">
            <v>29.903888437500001</v>
          </cell>
          <cell r="N127">
            <v>31.399082859375003</v>
          </cell>
          <cell r="O127">
            <v>35.181045220588238</v>
          </cell>
          <cell r="P127">
            <v>38.699149742647066</v>
          </cell>
          <cell r="Q127">
            <v>3</v>
          </cell>
          <cell r="R127">
            <v>43.976306525735296</v>
          </cell>
        </row>
        <row r="128">
          <cell r="A128">
            <v>8504064</v>
          </cell>
          <cell r="C128" t="str">
            <v>BM</v>
          </cell>
          <cell r="D128" t="str">
            <v>NUT,SS,HANGER,PIPELINE</v>
          </cell>
          <cell r="E128">
            <v>1</v>
          </cell>
          <cell r="F128">
            <v>2.3020800000000001</v>
          </cell>
          <cell r="G128">
            <v>3.1078080000000003</v>
          </cell>
          <cell r="H128">
            <v>1.1499999999999999</v>
          </cell>
          <cell r="I128">
            <v>3.5739792000000001</v>
          </cell>
          <cell r="J128">
            <v>3.8777674320000002</v>
          </cell>
          <cell r="K128">
            <v>4.8472092900000003</v>
          </cell>
          <cell r="L128">
            <v>2</v>
          </cell>
          <cell r="M128">
            <v>5.3857881000000001</v>
          </cell>
          <cell r="N128">
            <v>5.6550775050000004</v>
          </cell>
          <cell r="O128">
            <v>6.3362212941176477</v>
          </cell>
          <cell r="P128">
            <v>6.9698434235294133</v>
          </cell>
          <cell r="Q128">
            <v>3</v>
          </cell>
          <cell r="R128">
            <v>7.9202766176470591</v>
          </cell>
        </row>
        <row r="129">
          <cell r="A129">
            <v>8504083</v>
          </cell>
          <cell r="C129" t="str">
            <v>BM</v>
          </cell>
          <cell r="D129" t="str">
            <v>Soporte caneria(HANGER,4.0",TUBE,PLASTIC,CLAMP)</v>
          </cell>
          <cell r="E129">
            <v>1</v>
          </cell>
          <cell r="F129">
            <v>20.900000000000002</v>
          </cell>
          <cell r="G129">
            <v>28.215000000000003</v>
          </cell>
          <cell r="H129">
            <v>1.1499999999999999</v>
          </cell>
          <cell r="I129">
            <v>32.447250000000004</v>
          </cell>
          <cell r="J129">
            <v>35.205266250000001</v>
          </cell>
          <cell r="K129">
            <v>44.0065828125</v>
          </cell>
          <cell r="L129">
            <v>2</v>
          </cell>
          <cell r="M129">
            <v>48.896203125</v>
          </cell>
          <cell r="N129">
            <v>51.34101328125</v>
          </cell>
          <cell r="O129">
            <v>57.524944852941175</v>
          </cell>
          <cell r="P129">
            <v>63.277439338235297</v>
          </cell>
          <cell r="Q129">
            <v>3</v>
          </cell>
          <cell r="R129">
            <v>71.906181066176458</v>
          </cell>
        </row>
        <row r="130">
          <cell r="A130">
            <v>8504084</v>
          </cell>
          <cell r="C130" t="str">
            <v>BM</v>
          </cell>
          <cell r="D130" t="str">
            <v>Soporte caneria(HANGER,2.5",TUBE,PLASTIC,CLAMP)</v>
          </cell>
          <cell r="E130">
            <v>1</v>
          </cell>
          <cell r="F130">
            <v>13.871</v>
          </cell>
          <cell r="G130">
            <v>18.725850000000001</v>
          </cell>
          <cell r="H130">
            <v>1.1499999999999999</v>
          </cell>
          <cell r="I130">
            <v>21.534727499999999</v>
          </cell>
          <cell r="J130">
            <v>23.365179337499999</v>
          </cell>
          <cell r="K130">
            <v>29.206474171874998</v>
          </cell>
          <cell r="L130">
            <v>2</v>
          </cell>
          <cell r="M130">
            <v>32.451637968749999</v>
          </cell>
          <cell r="N130">
            <v>34.074219867187502</v>
          </cell>
          <cell r="O130">
            <v>38.17839761029412</v>
          </cell>
          <cell r="P130">
            <v>41.996237371323538</v>
          </cell>
          <cell r="Q130">
            <v>3</v>
          </cell>
          <cell r="R130">
            <v>47.722997012867644</v>
          </cell>
        </row>
        <row r="131">
          <cell r="A131">
            <v>8507233</v>
          </cell>
          <cell r="D131" t="str">
            <v>VALVE,4-WAY,5-PORT,2 POS</v>
          </cell>
          <cell r="F131">
            <v>39.049999999999997</v>
          </cell>
          <cell r="G131">
            <v>52.717500000000001</v>
          </cell>
          <cell r="H131">
            <v>1.1499999999999999</v>
          </cell>
          <cell r="I131">
            <v>60.625124999999997</v>
          </cell>
          <cell r="J131">
            <v>65.778260625000001</v>
          </cell>
          <cell r="K131">
            <v>82.222825781249995</v>
          </cell>
          <cell r="L131">
            <v>2</v>
          </cell>
          <cell r="M131">
            <v>91.358695312499989</v>
          </cell>
          <cell r="N131">
            <v>95.926630078124987</v>
          </cell>
          <cell r="O131">
            <v>107.48081801470587</v>
          </cell>
          <cell r="P131">
            <v>118.22889981617647</v>
          </cell>
          <cell r="Q131">
            <v>3</v>
          </cell>
          <cell r="R131">
            <v>134.35102251838234</v>
          </cell>
        </row>
        <row r="132">
          <cell r="A132">
            <v>8509901</v>
          </cell>
          <cell r="C132" t="str">
            <v>BM</v>
          </cell>
          <cell r="D132" t="str">
            <v>CLAMP,TEE,1-1/4 PIPE</v>
          </cell>
          <cell r="E132">
            <v>1</v>
          </cell>
          <cell r="F132">
            <v>4.0480000000000009</v>
          </cell>
          <cell r="G132">
            <v>5.4648000000000012</v>
          </cell>
          <cell r="H132">
            <v>1.1499999999999999</v>
          </cell>
          <cell r="I132">
            <v>6.2845200000000006</v>
          </cell>
          <cell r="J132">
            <v>6.8187042</v>
          </cell>
          <cell r="K132">
            <v>8.5233802499999989</v>
          </cell>
          <cell r="L132">
            <v>2</v>
          </cell>
          <cell r="M132">
            <v>9.470422499999998</v>
          </cell>
          <cell r="N132">
            <v>9.9439436249999975</v>
          </cell>
          <cell r="O132">
            <v>11.141673529411763</v>
          </cell>
          <cell r="P132">
            <v>12.25584088235294</v>
          </cell>
          <cell r="Q132">
            <v>3</v>
          </cell>
          <cell r="R132">
            <v>13.927091911764704</v>
          </cell>
        </row>
        <row r="133">
          <cell r="A133">
            <v>8510176</v>
          </cell>
          <cell r="C133" t="str">
            <v>BM</v>
          </cell>
          <cell r="D133" t="str">
            <v>CUP,JETTER,COMPETITIVE</v>
          </cell>
          <cell r="E133">
            <v>1</v>
          </cell>
          <cell r="F133">
            <v>2.06975</v>
          </cell>
          <cell r="G133">
            <v>2.7941625000000001</v>
          </cell>
          <cell r="H133">
            <v>1.1499999999999999</v>
          </cell>
          <cell r="I133">
            <v>3.2132868749999997</v>
          </cell>
          <cell r="J133">
            <v>3.4864162593749994</v>
          </cell>
          <cell r="K133">
            <v>4.3580203242187494</v>
          </cell>
          <cell r="L133">
            <v>2</v>
          </cell>
          <cell r="M133">
            <v>4.8422448046874988</v>
          </cell>
          <cell r="N133">
            <v>5.084357044921874</v>
          </cell>
          <cell r="O133">
            <v>5.6967585937499985</v>
          </cell>
          <cell r="P133">
            <v>6.2664344531249991</v>
          </cell>
          <cell r="Q133">
            <v>3</v>
          </cell>
          <cell r="R133">
            <v>7.1209482421874979</v>
          </cell>
        </row>
        <row r="134">
          <cell r="A134">
            <v>8510270</v>
          </cell>
          <cell r="C134" t="str">
            <v>BM</v>
          </cell>
          <cell r="D134" t="str">
            <v>REGULATOR ASSY,DARI-VAC 159</v>
          </cell>
          <cell r="E134">
            <v>1</v>
          </cell>
          <cell r="F134">
            <v>265.20800000000003</v>
          </cell>
          <cell r="G134">
            <v>358.03080000000006</v>
          </cell>
          <cell r="H134">
            <v>1.1499999999999999</v>
          </cell>
          <cell r="I134">
            <v>411.73542000000003</v>
          </cell>
          <cell r="J134">
            <v>446.7329307</v>
          </cell>
          <cell r="K134">
            <v>558.416163375</v>
          </cell>
          <cell r="L134">
            <v>2</v>
          </cell>
          <cell r="M134">
            <v>620.46240375000002</v>
          </cell>
          <cell r="N134">
            <v>651.48552393750003</v>
          </cell>
          <cell r="O134">
            <v>729.95576911764715</v>
          </cell>
          <cell r="P134">
            <v>802.95134602941198</v>
          </cell>
          <cell r="Q134">
            <v>3</v>
          </cell>
          <cell r="R134">
            <v>912.44471139705888</v>
          </cell>
        </row>
        <row r="135">
          <cell r="A135">
            <v>8511124</v>
          </cell>
          <cell r="C135" t="str">
            <v>BM</v>
          </cell>
          <cell r="D135" t="str">
            <v>REGULATOR ASSY,DARI-VAC 106</v>
          </cell>
          <cell r="E135">
            <v>1</v>
          </cell>
          <cell r="F135">
            <v>219.48075</v>
          </cell>
          <cell r="G135">
            <v>296.2990125</v>
          </cell>
          <cell r="H135">
            <v>1.1499999999999999</v>
          </cell>
          <cell r="I135">
            <v>340.74386437499999</v>
          </cell>
          <cell r="J135">
            <v>369.70709284687496</v>
          </cell>
          <cell r="K135">
            <v>462.1338660585937</v>
          </cell>
          <cell r="L135">
            <v>2</v>
          </cell>
          <cell r="M135">
            <v>513.48207339843748</v>
          </cell>
          <cell r="N135">
            <v>539.1561770683594</v>
          </cell>
          <cell r="O135">
            <v>604.09655693933826</v>
          </cell>
          <cell r="P135">
            <v>664.50621263327218</v>
          </cell>
          <cell r="Q135">
            <v>3</v>
          </cell>
          <cell r="R135">
            <v>755.12069617417274</v>
          </cell>
        </row>
        <row r="136">
          <cell r="A136">
            <v>8511838</v>
          </cell>
          <cell r="C136" t="str">
            <v>BM</v>
          </cell>
          <cell r="D136" t="str">
            <v>RCVR,STD 60L,3.0INL,3/9X12</v>
          </cell>
          <cell r="E136">
            <v>1</v>
          </cell>
          <cell r="F136">
            <v>1452.6935000000001</v>
          </cell>
          <cell r="G136">
            <v>1961.1362250000002</v>
          </cell>
          <cell r="H136">
            <v>1.1499999999999999</v>
          </cell>
          <cell r="I136">
            <v>2255.3066587500002</v>
          </cell>
          <cell r="J136">
            <v>2447.0077247437503</v>
          </cell>
          <cell r="K136">
            <v>3058.7596559296876</v>
          </cell>
          <cell r="L136">
            <v>2</v>
          </cell>
          <cell r="M136">
            <v>3398.6218399218751</v>
          </cell>
          <cell r="N136">
            <v>3568.5529319179691</v>
          </cell>
          <cell r="O136">
            <v>3998.3786352022062</v>
          </cell>
          <cell r="P136">
            <v>4398.2164987224269</v>
          </cell>
          <cell r="Q136">
            <v>3</v>
          </cell>
          <cell r="R136">
            <v>4997.973294002757</v>
          </cell>
        </row>
        <row r="137">
          <cell r="A137">
            <v>8511880</v>
          </cell>
          <cell r="C137" t="str">
            <v>BM</v>
          </cell>
          <cell r="D137" t="str">
            <v xml:space="preserve"> Valvula reguladora 215 (REGULATOR ASSY,VAC,BVR-215)</v>
          </cell>
          <cell r="E137">
            <v>1</v>
          </cell>
          <cell r="F137">
            <v>96.800000000000011</v>
          </cell>
          <cell r="G137">
            <v>130.68000000000004</v>
          </cell>
          <cell r="H137">
            <v>1.1499999999999999</v>
          </cell>
          <cell r="I137">
            <v>150.28200000000004</v>
          </cell>
          <cell r="J137">
            <v>163.05597000000003</v>
          </cell>
          <cell r="K137">
            <v>203.81996250000003</v>
          </cell>
          <cell r="L137">
            <v>2</v>
          </cell>
          <cell r="M137">
            <v>226.46662500000002</v>
          </cell>
          <cell r="N137">
            <v>237.78995625000005</v>
          </cell>
          <cell r="O137">
            <v>266.43132352941177</v>
          </cell>
          <cell r="P137">
            <v>293.07445588235299</v>
          </cell>
          <cell r="Q137">
            <v>3</v>
          </cell>
          <cell r="R137">
            <v>333.03915441176468</v>
          </cell>
        </row>
        <row r="138">
          <cell r="A138">
            <v>8512005</v>
          </cell>
          <cell r="C138" t="str">
            <v>BM</v>
          </cell>
          <cell r="D138" t="str">
            <v>tubo corto (TUBE,7",PULSE,SHORT,CLEAR)</v>
          </cell>
          <cell r="E138">
            <v>1</v>
          </cell>
          <cell r="F138">
            <v>1.95</v>
          </cell>
          <cell r="G138">
            <v>2.6325000000000003</v>
          </cell>
          <cell r="H138">
            <v>1.1499999999999999</v>
          </cell>
          <cell r="I138">
            <v>3.0273750000000001</v>
          </cell>
          <cell r="J138">
            <v>3.2847018750000001</v>
          </cell>
          <cell r="K138">
            <v>4.1058773437499996</v>
          </cell>
          <cell r="L138">
            <v>1</v>
          </cell>
          <cell r="M138">
            <v>4.3219761513157895</v>
          </cell>
          <cell r="N138">
            <v>4.5380749588815794</v>
          </cell>
          <cell r="O138">
            <v>5.0846778250773994</v>
          </cell>
          <cell r="P138">
            <v>5.5931456075851402</v>
          </cell>
          <cell r="Q138">
            <v>3</v>
          </cell>
          <cell r="R138">
            <v>6.3558472813467493</v>
          </cell>
        </row>
        <row r="139">
          <cell r="A139">
            <v>8512008</v>
          </cell>
          <cell r="C139" t="str">
            <v>BM</v>
          </cell>
          <cell r="D139" t="str">
            <v>Tubo Corto(TUBE,9",PULSE,SHORT,CLR,CS/100)</v>
          </cell>
          <cell r="E139">
            <v>100</v>
          </cell>
          <cell r="F139">
            <v>38</v>
          </cell>
          <cell r="G139">
            <v>51.300000000000004</v>
          </cell>
          <cell r="H139">
            <v>1.1499999999999999</v>
          </cell>
          <cell r="I139">
            <v>58.994999999999997</v>
          </cell>
          <cell r="J139">
            <v>64.009574999999998</v>
          </cell>
          <cell r="K139">
            <v>80.011968749999994</v>
          </cell>
          <cell r="L139">
            <v>1</v>
          </cell>
          <cell r="M139">
            <v>84.223124999999996</v>
          </cell>
          <cell r="N139">
            <v>88.434281249999998</v>
          </cell>
          <cell r="O139">
            <v>99.086029411764699</v>
          </cell>
          <cell r="P139">
            <v>108.99463235294118</v>
          </cell>
          <cell r="Q139">
            <v>3</v>
          </cell>
          <cell r="R139">
            <v>123.85753676470587</v>
          </cell>
        </row>
        <row r="140">
          <cell r="A140">
            <v>8512168</v>
          </cell>
          <cell r="C140" t="str">
            <v>BM</v>
          </cell>
          <cell r="D140" t="str">
            <v>ANALYZER ASSY,PT-V</v>
          </cell>
          <cell r="E140">
            <v>1</v>
          </cell>
          <cell r="F140">
            <v>3954.01</v>
          </cell>
          <cell r="G140">
            <v>5337.9135000000006</v>
          </cell>
          <cell r="H140">
            <v>1.1499999999999999</v>
          </cell>
          <cell r="I140">
            <v>6138.6005249999998</v>
          </cell>
          <cell r="J140">
            <v>6660.3815696249994</v>
          </cell>
          <cell r="K140">
            <v>8325.4769620312491</v>
          </cell>
          <cell r="L140">
            <v>2</v>
          </cell>
          <cell r="M140">
            <v>9250.5299578124996</v>
          </cell>
          <cell r="N140">
            <v>9713.0564557031248</v>
          </cell>
          <cell r="O140">
            <v>10882.976420955882</v>
          </cell>
          <cell r="P140">
            <v>11971.274063051471</v>
          </cell>
          <cell r="Q140">
            <v>3</v>
          </cell>
          <cell r="R140">
            <v>13603.720526194851</v>
          </cell>
        </row>
        <row r="141">
          <cell r="A141">
            <v>8512707</v>
          </cell>
          <cell r="C141" t="str">
            <v>BM</v>
          </cell>
          <cell r="D141" t="str">
            <v>CONT,10HP/3PH,5HP/1PH,230V,ACS</v>
          </cell>
          <cell r="E141">
            <v>1</v>
          </cell>
          <cell r="F141">
            <v>2987.22</v>
          </cell>
          <cell r="G141">
            <v>4032.7469999999998</v>
          </cell>
          <cell r="H141">
            <v>1.1499999999999999</v>
          </cell>
          <cell r="I141">
            <v>4637.6590499999993</v>
          </cell>
          <cell r="J141">
            <v>5031.8600692499995</v>
          </cell>
          <cell r="K141">
            <v>6289.8250865624987</v>
          </cell>
          <cell r="L141">
            <v>1</v>
          </cell>
          <cell r="M141">
            <v>6620.8685121710514</v>
          </cell>
          <cell r="N141">
            <v>6951.9119377796042</v>
          </cell>
          <cell r="O141">
            <v>7789.2570731424139</v>
          </cell>
          <cell r="P141">
            <v>8568.1827804566565</v>
          </cell>
          <cell r="Q141">
            <v>3</v>
          </cell>
          <cell r="R141">
            <v>9736.5713414280162</v>
          </cell>
        </row>
        <row r="142">
          <cell r="A142">
            <v>8512708</v>
          </cell>
          <cell r="C142" t="str">
            <v>BM</v>
          </cell>
          <cell r="D142" t="str">
            <v>CONT,15HP/3PH,7.5HP/1PH,230V</v>
          </cell>
          <cell r="E142">
            <v>1</v>
          </cell>
          <cell r="F142">
            <v>2840.32</v>
          </cell>
          <cell r="G142">
            <v>3834.4320000000007</v>
          </cell>
          <cell r="H142">
            <v>1.1499999999999999</v>
          </cell>
          <cell r="I142">
            <v>4409.5968000000003</v>
          </cell>
          <cell r="J142">
            <v>4784.4125279999998</v>
          </cell>
          <cell r="K142">
            <v>5980.5156599999991</v>
          </cell>
          <cell r="L142">
            <v>2</v>
          </cell>
          <cell r="M142">
            <v>6645.0173999999988</v>
          </cell>
          <cell r="N142">
            <v>6977.2682699999987</v>
          </cell>
          <cell r="O142">
            <v>7817.6675294117631</v>
          </cell>
          <cell r="P142">
            <v>8599.4342823529405</v>
          </cell>
          <cell r="Q142">
            <v>3</v>
          </cell>
          <cell r="R142">
            <v>9772.084411764703</v>
          </cell>
        </row>
        <row r="143">
          <cell r="A143">
            <v>8512709</v>
          </cell>
          <cell r="C143" t="str">
            <v>BM</v>
          </cell>
          <cell r="D143" t="str">
            <v>CONT,20HP/3PH,10HP/1PH,230V</v>
          </cell>
          <cell r="E143">
            <v>1</v>
          </cell>
          <cell r="F143">
            <v>3340.12</v>
          </cell>
          <cell r="G143">
            <v>4509.1620000000003</v>
          </cell>
          <cell r="H143">
            <v>1.1499999999999999</v>
          </cell>
          <cell r="I143">
            <v>5185.5362999999998</v>
          </cell>
          <cell r="J143">
            <v>5626.3068854999992</v>
          </cell>
          <cell r="K143">
            <v>7032.8836068749988</v>
          </cell>
          <cell r="L143">
            <v>1</v>
          </cell>
          <cell r="M143">
            <v>7403.0353756578934</v>
          </cell>
          <cell r="N143">
            <v>7773.187144440788</v>
          </cell>
          <cell r="O143">
            <v>8709.4533831269327</v>
          </cell>
          <cell r="P143">
            <v>9580.3987214396275</v>
          </cell>
          <cell r="Q143">
            <v>3</v>
          </cell>
          <cell r="R143">
            <v>10886.816728908665</v>
          </cell>
        </row>
        <row r="144">
          <cell r="A144">
            <v>8512711</v>
          </cell>
          <cell r="D144" t="e">
            <v>#N/A</v>
          </cell>
          <cell r="F144">
            <v>1431.01</v>
          </cell>
          <cell r="G144">
            <v>1931.8635000000002</v>
          </cell>
          <cell r="H144">
            <v>1.1499999999999999</v>
          </cell>
          <cell r="I144">
            <v>2221.6430249999999</v>
          </cell>
          <cell r="J144">
            <v>2410.4826821249999</v>
          </cell>
          <cell r="K144">
            <v>3013.1033526562496</v>
          </cell>
          <cell r="L144">
            <v>2</v>
          </cell>
          <cell r="M144">
            <v>3347.8926140624994</v>
          </cell>
          <cell r="N144">
            <v>3515.2872447656246</v>
          </cell>
          <cell r="O144">
            <v>3938.6971930147051</v>
          </cell>
          <cell r="P144">
            <v>4332.5669123161761</v>
          </cell>
          <cell r="Q144">
            <v>3</v>
          </cell>
          <cell r="R144">
            <v>4923.3714912683809</v>
          </cell>
        </row>
        <row r="145">
          <cell r="A145">
            <v>8512712</v>
          </cell>
          <cell r="C145" t="str">
            <v>BM</v>
          </cell>
          <cell r="D145" t="str">
            <v>CONT,15HP/3PH,500V,ACS550</v>
          </cell>
          <cell r="E145">
            <v>1</v>
          </cell>
          <cell r="F145">
            <v>3172.73</v>
          </cell>
          <cell r="G145">
            <v>4283.1855000000005</v>
          </cell>
          <cell r="H145">
            <v>1.1499999999999999</v>
          </cell>
          <cell r="I145">
            <v>4925.6633250000004</v>
          </cell>
          <cell r="J145">
            <v>5344.3447076250004</v>
          </cell>
          <cell r="K145">
            <v>6680.4308845312498</v>
          </cell>
          <cell r="L145">
            <v>1</v>
          </cell>
          <cell r="M145">
            <v>7032.0325100328946</v>
          </cell>
          <cell r="N145">
            <v>7383.6341355345394</v>
          </cell>
          <cell r="O145">
            <v>8272.9794235681111</v>
          </cell>
          <cell r="P145">
            <v>9100.2773659249233</v>
          </cell>
          <cell r="Q145">
            <v>3</v>
          </cell>
          <cell r="R145">
            <v>10341.224279460139</v>
          </cell>
        </row>
        <row r="146">
          <cell r="A146">
            <v>8512713</v>
          </cell>
          <cell r="C146" t="str">
            <v>BM</v>
          </cell>
          <cell r="D146" t="str">
            <v>CONT,20HP/3PH,500V,ACS550</v>
          </cell>
          <cell r="E146">
            <v>1</v>
          </cell>
          <cell r="F146">
            <v>3578.27</v>
          </cell>
          <cell r="G146">
            <v>4830.6644999999999</v>
          </cell>
          <cell r="H146">
            <v>1.1499999999999999</v>
          </cell>
          <cell r="I146">
            <v>5555.2641749999993</v>
          </cell>
          <cell r="J146">
            <v>6027.4616298749988</v>
          </cell>
          <cell r="K146">
            <v>7534.3270373437481</v>
          </cell>
          <cell r="L146">
            <v>1</v>
          </cell>
          <cell r="M146">
            <v>7930.8705656249986</v>
          </cell>
          <cell r="N146">
            <v>8327.414093906249</v>
          </cell>
          <cell r="O146">
            <v>9330.4359595588212</v>
          </cell>
          <cell r="P146">
            <v>10263.479555514705</v>
          </cell>
          <cell r="Q146">
            <v>3</v>
          </cell>
          <cell r="R146">
            <v>11663.044949448526</v>
          </cell>
        </row>
        <row r="147">
          <cell r="A147">
            <v>8512714</v>
          </cell>
          <cell r="C147" t="str">
            <v>BM</v>
          </cell>
          <cell r="D147" t="str">
            <v>CONT,30HP/3PH,500V,ACS550</v>
          </cell>
          <cell r="E147">
            <v>1</v>
          </cell>
          <cell r="F147">
            <v>4427.0600000000004</v>
          </cell>
          <cell r="G147">
            <v>5976.5310000000009</v>
          </cell>
          <cell r="H147">
            <v>1.1499999999999999</v>
          </cell>
          <cell r="I147">
            <v>6873.0106500000002</v>
          </cell>
          <cell r="J147">
            <v>7457.2165552500001</v>
          </cell>
          <cell r="K147">
            <v>9321.5206940624994</v>
          </cell>
          <cell r="L147">
            <v>2</v>
          </cell>
          <cell r="M147">
            <v>10357.245215624998</v>
          </cell>
          <cell r="N147">
            <v>10875.107476406249</v>
          </cell>
          <cell r="O147">
            <v>12184.994371323528</v>
          </cell>
          <cell r="P147">
            <v>13403.493808455882</v>
          </cell>
          <cell r="Q147">
            <v>3</v>
          </cell>
          <cell r="R147">
            <v>15231.242964154409</v>
          </cell>
        </row>
        <row r="148">
          <cell r="A148">
            <v>8512715</v>
          </cell>
          <cell r="C148" t="str">
            <v>BM</v>
          </cell>
          <cell r="D148" t="str">
            <v>CONT AS,10HP/3PH,5HP/1PH,203V</v>
          </cell>
          <cell r="E148">
            <v>1</v>
          </cell>
          <cell r="F148">
            <v>2912.85</v>
          </cell>
          <cell r="G148">
            <v>3932.3475000000003</v>
          </cell>
          <cell r="H148">
            <v>1.1499999999999999</v>
          </cell>
          <cell r="I148">
            <v>4522.1996250000002</v>
          </cell>
          <cell r="J148">
            <v>4906.586593125</v>
          </cell>
          <cell r="K148">
            <v>6133.2332414062494</v>
          </cell>
          <cell r="L148">
            <v>1</v>
          </cell>
          <cell r="M148">
            <v>6456.0349909539473</v>
          </cell>
          <cell r="N148">
            <v>6778.8367405016452</v>
          </cell>
          <cell r="O148">
            <v>7595.3352834752322</v>
          </cell>
          <cell r="P148">
            <v>8354.8688118227565</v>
          </cell>
          <cell r="Q148">
            <v>3</v>
          </cell>
          <cell r="R148">
            <v>9494.1691043440405</v>
          </cell>
        </row>
        <row r="149">
          <cell r="A149">
            <v>8512716</v>
          </cell>
          <cell r="C149" t="str">
            <v>BM</v>
          </cell>
          <cell r="D149" t="str">
            <v>CONT AS,15HP/3PH,7.5HP/1PH,230</v>
          </cell>
          <cell r="E149">
            <v>1</v>
          </cell>
          <cell r="F149">
            <v>3254.4</v>
          </cell>
          <cell r="G149">
            <v>4393.4400000000005</v>
          </cell>
          <cell r="H149">
            <v>1.1499999999999999</v>
          </cell>
          <cell r="I149">
            <v>5052.4560000000001</v>
          </cell>
          <cell r="J149">
            <v>5481.9147599999997</v>
          </cell>
          <cell r="K149">
            <v>6852.3934499999996</v>
          </cell>
          <cell r="L149">
            <v>2</v>
          </cell>
          <cell r="M149">
            <v>7613.7704999999996</v>
          </cell>
          <cell r="N149">
            <v>7994.4590250000001</v>
          </cell>
          <cell r="O149">
            <v>8957.3770588235293</v>
          </cell>
          <cell r="P149">
            <v>9853.1147647058824</v>
          </cell>
          <cell r="Q149">
            <v>3</v>
          </cell>
          <cell r="R149">
            <v>11196.721323529411</v>
          </cell>
        </row>
        <row r="150">
          <cell r="A150">
            <v>8512717</v>
          </cell>
          <cell r="C150" t="str">
            <v>BM</v>
          </cell>
          <cell r="D150" t="str">
            <v>CONT AS,20HP/3PH,10HP/1PH,230V</v>
          </cell>
          <cell r="E150">
            <v>1</v>
          </cell>
          <cell r="F150">
            <v>3718.62</v>
          </cell>
          <cell r="G150">
            <v>5020.1370000000006</v>
          </cell>
          <cell r="H150">
            <v>1.1499999999999999</v>
          </cell>
          <cell r="I150">
            <v>5773.1575499999999</v>
          </cell>
          <cell r="J150">
            <v>6263.8759417499996</v>
          </cell>
          <cell r="K150">
            <v>7829.8449271874988</v>
          </cell>
          <cell r="L150">
            <v>1</v>
          </cell>
          <cell r="M150">
            <v>8241.9420286184195</v>
          </cell>
          <cell r="N150">
            <v>8654.0391300493411</v>
          </cell>
          <cell r="O150">
            <v>9696.4023866099051</v>
          </cell>
          <cell r="P150">
            <v>10666.042625270897</v>
          </cell>
          <cell r="Q150">
            <v>3</v>
          </cell>
          <cell r="R150">
            <v>12120.50298326238</v>
          </cell>
        </row>
        <row r="151">
          <cell r="A151">
            <v>8512719</v>
          </cell>
          <cell r="C151" t="str">
            <v>BM</v>
          </cell>
          <cell r="D151" t="str">
            <v>Variador de velocidad 10 hp(VSD Controller Assy 10 hp 3 phase,500 V)</v>
          </cell>
          <cell r="E151">
            <v>1</v>
          </cell>
          <cell r="F151">
            <v>2645.67</v>
          </cell>
          <cell r="G151">
            <v>3571.6545000000006</v>
          </cell>
          <cell r="H151">
            <v>1.1499999999999999</v>
          </cell>
          <cell r="I151">
            <v>4107.4026750000003</v>
          </cell>
          <cell r="J151">
            <v>4456.5319023749998</v>
          </cell>
          <cell r="K151">
            <v>5570.6648779687494</v>
          </cell>
          <cell r="L151">
            <v>1</v>
          </cell>
          <cell r="M151">
            <v>5863.8577662828948</v>
          </cell>
          <cell r="N151">
            <v>6157.0506545970402</v>
          </cell>
          <cell r="O151">
            <v>6898.6561956269352</v>
          </cell>
          <cell r="P151">
            <v>7588.5218151896297</v>
          </cell>
          <cell r="Q151">
            <v>3</v>
          </cell>
          <cell r="R151">
            <v>8623.3202445336683</v>
          </cell>
        </row>
        <row r="152">
          <cell r="A152">
            <v>8512720</v>
          </cell>
          <cell r="C152" t="str">
            <v>BM</v>
          </cell>
          <cell r="D152" t="str">
            <v>Variador de velocidad 15 hp(VSD Controller Assy 15 hp 3 phase,500 V)</v>
          </cell>
          <cell r="E152">
            <v>1</v>
          </cell>
          <cell r="F152">
            <v>3141.45</v>
          </cell>
          <cell r="G152">
            <v>4240.9575000000004</v>
          </cell>
          <cell r="H152">
            <v>1.1499999999999999</v>
          </cell>
          <cell r="I152">
            <v>4877.1011250000001</v>
          </cell>
          <cell r="J152">
            <v>5291.6547206249998</v>
          </cell>
          <cell r="K152">
            <v>6614.5684007812497</v>
          </cell>
          <cell r="L152">
            <v>1</v>
          </cell>
          <cell r="M152">
            <v>6962.7035797697372</v>
          </cell>
          <cell r="N152">
            <v>7310.8387587582247</v>
          </cell>
          <cell r="O152">
            <v>8191.4159761996907</v>
          </cell>
          <cell r="P152">
            <v>9010.5575738196603</v>
          </cell>
          <cell r="Q152">
            <v>3</v>
          </cell>
          <cell r="R152">
            <v>10239.269970249612</v>
          </cell>
        </row>
        <row r="153">
          <cell r="A153">
            <v>8512721</v>
          </cell>
          <cell r="C153" t="str">
            <v>BM</v>
          </cell>
          <cell r="D153" t="str">
            <v>Variador de Velocidad 20 hp(VSD Controller Assy 20 hp 3 phase,500 V)</v>
          </cell>
          <cell r="E153">
            <v>1</v>
          </cell>
          <cell r="F153">
            <v>3725.08</v>
          </cell>
          <cell r="G153">
            <v>5028.8580000000002</v>
          </cell>
          <cell r="H153">
            <v>1.1499999999999999</v>
          </cell>
          <cell r="I153">
            <v>5783.1867000000002</v>
          </cell>
          <cell r="J153">
            <v>6274.7575694999996</v>
          </cell>
          <cell r="K153">
            <v>7843.446961874999</v>
          </cell>
          <cell r="L153">
            <v>1</v>
          </cell>
          <cell r="M153">
            <v>8256.259959868421</v>
          </cell>
          <cell r="N153">
            <v>8669.072957861843</v>
          </cell>
          <cell r="O153">
            <v>9713.2470116099066</v>
          </cell>
          <cell r="P153">
            <v>10684.571712770898</v>
          </cell>
          <cell r="Q153">
            <v>3</v>
          </cell>
          <cell r="R153">
            <v>12141.558764512383</v>
          </cell>
        </row>
        <row r="154">
          <cell r="A154">
            <v>8512722</v>
          </cell>
          <cell r="C154" t="str">
            <v>BM</v>
          </cell>
          <cell r="D154" t="str">
            <v>Variador de velocidad 30 hp(VSD Controller Assy 30 hp 3 phase,500 V)</v>
          </cell>
          <cell r="E154">
            <v>1</v>
          </cell>
          <cell r="F154">
            <v>4452</v>
          </cell>
          <cell r="G154">
            <v>6010.2000000000007</v>
          </cell>
          <cell r="H154">
            <v>1.1499999999999999</v>
          </cell>
          <cell r="I154">
            <v>6911.7300000000005</v>
          </cell>
          <cell r="J154">
            <v>7499.2270500000004</v>
          </cell>
          <cell r="K154">
            <v>9374.0338124999998</v>
          </cell>
          <cell r="L154">
            <v>1</v>
          </cell>
          <cell r="M154">
            <v>9867.404013157895</v>
          </cell>
          <cell r="N154">
            <v>10360.77421381579</v>
          </cell>
          <cell r="O154">
            <v>11608.710603715172</v>
          </cell>
          <cell r="P154">
            <v>12769.581664086691</v>
          </cell>
          <cell r="Q154">
            <v>3</v>
          </cell>
          <cell r="R154">
            <v>14510.888254643964</v>
          </cell>
        </row>
        <row r="155">
          <cell r="A155">
            <v>8513219</v>
          </cell>
          <cell r="C155" t="str">
            <v>BM</v>
          </cell>
          <cell r="D155" t="str">
            <v>ANALYZER ASSY,PT-V,W/EXT TRANS</v>
          </cell>
          <cell r="E155">
            <v>1</v>
          </cell>
          <cell r="F155">
            <v>5295.29</v>
          </cell>
          <cell r="G155">
            <v>7148.6415000000006</v>
          </cell>
          <cell r="H155">
            <v>1.1499999999999999</v>
          </cell>
          <cell r="I155">
            <v>8220.9377249999998</v>
          </cell>
          <cell r="J155">
            <v>8919.7174316250002</v>
          </cell>
          <cell r="K155">
            <v>11149.646789531249</v>
          </cell>
          <cell r="L155">
            <v>2</v>
          </cell>
          <cell r="M155">
            <v>12388.496432812499</v>
          </cell>
          <cell r="N155">
            <v>13007.921254453124</v>
          </cell>
          <cell r="O155">
            <v>14574.701685661763</v>
          </cell>
          <cell r="P155">
            <v>16032.171854227941</v>
          </cell>
          <cell r="Q155">
            <v>3</v>
          </cell>
          <cell r="R155">
            <v>18218.377107077202</v>
          </cell>
        </row>
        <row r="156">
          <cell r="A156">
            <v>8513452</v>
          </cell>
          <cell r="C156" t="str">
            <v>BM</v>
          </cell>
          <cell r="D156" t="str">
            <v>Pezonera(LINER,MAG 300MX,CS/100)</v>
          </cell>
          <cell r="E156">
            <v>100</v>
          </cell>
          <cell r="F156">
            <v>278</v>
          </cell>
          <cell r="G156">
            <v>375.3</v>
          </cell>
          <cell r="H156">
            <v>1.1499999999999999</v>
          </cell>
          <cell r="I156">
            <v>431.59499999999997</v>
          </cell>
          <cell r="J156">
            <v>468.28057499999994</v>
          </cell>
          <cell r="K156">
            <v>585.35071874999994</v>
          </cell>
          <cell r="L156">
            <v>2</v>
          </cell>
          <cell r="M156">
            <v>650.38968749999992</v>
          </cell>
          <cell r="N156">
            <v>682.90917187499997</v>
          </cell>
          <cell r="O156">
            <v>765.16433823529405</v>
          </cell>
          <cell r="P156">
            <v>841.68077205882355</v>
          </cell>
          <cell r="Q156">
            <v>3</v>
          </cell>
          <cell r="R156">
            <v>956.45542279411757</v>
          </cell>
        </row>
        <row r="157">
          <cell r="A157">
            <v>8513453</v>
          </cell>
          <cell r="C157" t="str">
            <v>BM</v>
          </cell>
          <cell r="D157" t="str">
            <v>Pezonera( LINER,MAG 300MX,VENTED,CS/100</v>
          </cell>
          <cell r="E157">
            <v>100</v>
          </cell>
          <cell r="F157">
            <v>278</v>
          </cell>
          <cell r="G157">
            <v>375.3</v>
          </cell>
          <cell r="H157">
            <v>1.1499999999999999</v>
          </cell>
          <cell r="I157">
            <v>431.59499999999997</v>
          </cell>
          <cell r="J157">
            <v>468.28057499999994</v>
          </cell>
          <cell r="K157">
            <v>585.35071874999994</v>
          </cell>
          <cell r="L157">
            <v>2</v>
          </cell>
          <cell r="M157">
            <v>650.38968749999992</v>
          </cell>
          <cell r="N157">
            <v>682.90917187499997</v>
          </cell>
          <cell r="O157">
            <v>765.16433823529405</v>
          </cell>
          <cell r="P157">
            <v>841.68077205882355</v>
          </cell>
          <cell r="Q157">
            <v>3</v>
          </cell>
          <cell r="R157">
            <v>956.45542279411757</v>
          </cell>
        </row>
        <row r="158">
          <cell r="A158">
            <v>8513454</v>
          </cell>
          <cell r="C158" t="str">
            <v>BM</v>
          </cell>
          <cell r="D158" t="str">
            <v>Pezonera(LINER,MAG 400MX,CS/100)</v>
          </cell>
          <cell r="E158">
            <v>100</v>
          </cell>
          <cell r="F158">
            <v>278</v>
          </cell>
          <cell r="G158">
            <v>375.3</v>
          </cell>
          <cell r="H158">
            <v>1.1499999999999999</v>
          </cell>
          <cell r="I158">
            <v>431.59499999999997</v>
          </cell>
          <cell r="J158">
            <v>468.28057499999994</v>
          </cell>
          <cell r="K158">
            <v>585.35071874999994</v>
          </cell>
          <cell r="L158">
            <v>3</v>
          </cell>
          <cell r="M158">
            <v>688.64790441176467</v>
          </cell>
          <cell r="N158">
            <v>723.08029963235299</v>
          </cell>
          <cell r="O158">
            <v>810.17400519031139</v>
          </cell>
          <cell r="P158">
            <v>891.19140570934258</v>
          </cell>
          <cell r="Q158">
            <v>3</v>
          </cell>
          <cell r="R158">
            <v>1012.7175064878892</v>
          </cell>
        </row>
        <row r="159">
          <cell r="A159">
            <v>8513456</v>
          </cell>
          <cell r="C159" t="str">
            <v>BM</v>
          </cell>
          <cell r="D159" t="str">
            <v>Pezonera(LINER,MAG 500MX,CS/100)</v>
          </cell>
          <cell r="E159">
            <v>100</v>
          </cell>
          <cell r="F159">
            <v>278</v>
          </cell>
          <cell r="G159">
            <v>375.3</v>
          </cell>
          <cell r="H159">
            <v>1.1499999999999999</v>
          </cell>
          <cell r="I159">
            <v>431.59499999999997</v>
          </cell>
          <cell r="J159">
            <v>468.28057499999994</v>
          </cell>
          <cell r="K159">
            <v>585.35071874999994</v>
          </cell>
          <cell r="L159">
            <v>3</v>
          </cell>
          <cell r="M159">
            <v>688.64790441176467</v>
          </cell>
          <cell r="N159">
            <v>723.08029963235299</v>
          </cell>
          <cell r="O159">
            <v>810.17400519031139</v>
          </cell>
          <cell r="P159">
            <v>891.19140570934258</v>
          </cell>
          <cell r="Q159">
            <v>3</v>
          </cell>
          <cell r="R159">
            <v>1012.7175064878892</v>
          </cell>
        </row>
        <row r="160">
          <cell r="A160">
            <v>8513457</v>
          </cell>
          <cell r="C160" t="str">
            <v>BM</v>
          </cell>
          <cell r="D160" t="str">
            <v>Pezonera(LINER,MAG 500MX,VENTED,CS/100)</v>
          </cell>
          <cell r="E160">
            <v>100</v>
          </cell>
          <cell r="F160">
            <v>278</v>
          </cell>
          <cell r="G160">
            <v>375.3</v>
          </cell>
          <cell r="H160">
            <v>1.1499999999999999</v>
          </cell>
          <cell r="I160">
            <v>431.59499999999997</v>
          </cell>
          <cell r="J160">
            <v>468.28057499999994</v>
          </cell>
          <cell r="K160">
            <v>585.35071874999994</v>
          </cell>
          <cell r="L160">
            <v>3</v>
          </cell>
          <cell r="M160">
            <v>688.64790441176467</v>
          </cell>
          <cell r="N160">
            <v>723.08029963235299</v>
          </cell>
          <cell r="O160">
            <v>810.17400519031139</v>
          </cell>
          <cell r="P160">
            <v>891.19140570934258</v>
          </cell>
          <cell r="Q160">
            <v>3</v>
          </cell>
          <cell r="R160">
            <v>1012.7175064878892</v>
          </cell>
        </row>
        <row r="161">
          <cell r="A161">
            <v>8513525</v>
          </cell>
          <cell r="C161" t="str">
            <v>BM</v>
          </cell>
          <cell r="D161" t="str">
            <v>KIT,DIGITAL AIRFLOW METER</v>
          </cell>
          <cell r="E161">
            <v>1</v>
          </cell>
          <cell r="F161">
            <v>865.46</v>
          </cell>
          <cell r="G161">
            <v>1168.3710000000001</v>
          </cell>
          <cell r="H161">
            <v>1.1499999999999999</v>
          </cell>
          <cell r="I161">
            <v>1343.6266499999999</v>
          </cell>
          <cell r="J161">
            <v>1457.8349152499998</v>
          </cell>
          <cell r="K161">
            <v>1822.2936440624997</v>
          </cell>
          <cell r="L161">
            <v>2</v>
          </cell>
          <cell r="M161">
            <v>2024.7707156249996</v>
          </cell>
          <cell r="N161">
            <v>2126.0092514062499</v>
          </cell>
          <cell r="O161">
            <v>2382.0831948529408</v>
          </cell>
          <cell r="P161">
            <v>2620.2915143382352</v>
          </cell>
          <cell r="Q161">
            <v>3</v>
          </cell>
          <cell r="R161">
            <v>2977.6039935661756</v>
          </cell>
        </row>
        <row r="162">
          <cell r="A162">
            <v>8514230</v>
          </cell>
          <cell r="C162" t="str">
            <v>BM</v>
          </cell>
          <cell r="D162" t="str">
            <v>Vacuometro(GAUGE,VACUUM,3.5 IN,0-30 IN HG)</v>
          </cell>
          <cell r="E162">
            <v>1</v>
          </cell>
          <cell r="F162">
            <v>7.7000000000000011</v>
          </cell>
          <cell r="G162">
            <v>10.395000000000001</v>
          </cell>
          <cell r="H162">
            <v>1.1499999999999999</v>
          </cell>
          <cell r="I162">
            <v>11.95425</v>
          </cell>
          <cell r="J162">
            <v>12.97036125</v>
          </cell>
          <cell r="K162">
            <v>16.212951562499999</v>
          </cell>
          <cell r="L162">
            <v>2</v>
          </cell>
          <cell r="M162">
            <v>18.014390624999997</v>
          </cell>
          <cell r="N162">
            <v>18.915110156249998</v>
          </cell>
          <cell r="O162">
            <v>21.193400735294116</v>
          </cell>
          <cell r="P162">
            <v>23.312740808823531</v>
          </cell>
          <cell r="Q162">
            <v>3</v>
          </cell>
          <cell r="R162">
            <v>26.491750919117642</v>
          </cell>
        </row>
        <row r="163">
          <cell r="A163">
            <v>8514247</v>
          </cell>
          <cell r="C163" t="str">
            <v>BM</v>
          </cell>
          <cell r="D163" t="str">
            <v>ADAPTER ASSY,100 CFM</v>
          </cell>
          <cell r="E163">
            <v>1</v>
          </cell>
          <cell r="F163">
            <v>22</v>
          </cell>
          <cell r="G163">
            <v>29.700000000000003</v>
          </cell>
          <cell r="H163">
            <v>1.1499999999999999</v>
          </cell>
          <cell r="I163">
            <v>34.155000000000001</v>
          </cell>
          <cell r="J163">
            <v>37.058174999999999</v>
          </cell>
          <cell r="K163">
            <v>46.322718749999993</v>
          </cell>
          <cell r="L163">
            <v>2</v>
          </cell>
          <cell r="M163">
            <v>51.469687499999992</v>
          </cell>
          <cell r="N163">
            <v>54.043171874999992</v>
          </cell>
          <cell r="O163">
            <v>60.55257352941176</v>
          </cell>
          <cell r="P163">
            <v>66.607830882352943</v>
          </cell>
          <cell r="Q163">
            <v>3</v>
          </cell>
          <cell r="R163">
            <v>75.690716911764696</v>
          </cell>
        </row>
        <row r="164">
          <cell r="A164">
            <v>8514723</v>
          </cell>
          <cell r="C164" t="str">
            <v>BM</v>
          </cell>
          <cell r="D164" t="str">
            <v>CUP,JETTER,RUBBER</v>
          </cell>
          <cell r="E164">
            <v>1</v>
          </cell>
          <cell r="F164">
            <v>2.06975</v>
          </cell>
          <cell r="G164">
            <v>2.7941625000000001</v>
          </cell>
          <cell r="H164">
            <v>1.1499999999999999</v>
          </cell>
          <cell r="I164">
            <v>3.2132868749999997</v>
          </cell>
          <cell r="J164">
            <v>3.4864162593749994</v>
          </cell>
          <cell r="K164">
            <v>4.3580203242187494</v>
          </cell>
          <cell r="L164">
            <v>2</v>
          </cell>
          <cell r="M164">
            <v>4.8422448046874988</v>
          </cell>
          <cell r="N164">
            <v>5.084357044921874</v>
          </cell>
          <cell r="O164">
            <v>5.6967585937499985</v>
          </cell>
          <cell r="P164">
            <v>6.2664344531249991</v>
          </cell>
          <cell r="Q164">
            <v>3</v>
          </cell>
          <cell r="R164">
            <v>7.1209482421874979</v>
          </cell>
        </row>
        <row r="165">
          <cell r="A165">
            <v>8515452</v>
          </cell>
          <cell r="C165" t="str">
            <v>BM</v>
          </cell>
          <cell r="D165" t="str">
            <v>Recibidor de 60 litros(RCVR,STD 60L,2.5INL,3/9X12)</v>
          </cell>
          <cell r="E165">
            <v>1</v>
          </cell>
          <cell r="F165">
            <v>800.80000000000007</v>
          </cell>
          <cell r="G165">
            <v>1081.0800000000002</v>
          </cell>
          <cell r="H165">
            <v>1.1499999999999999</v>
          </cell>
          <cell r="I165">
            <v>1243.2420000000002</v>
          </cell>
          <cell r="J165">
            <v>1348.9175700000001</v>
          </cell>
          <cell r="K165">
            <v>1686.1469625</v>
          </cell>
          <cell r="L165">
            <v>2</v>
          </cell>
          <cell r="M165">
            <v>1873.496625</v>
          </cell>
          <cell r="N165">
            <v>1967.1714562500001</v>
          </cell>
          <cell r="O165">
            <v>2204.1136764705884</v>
          </cell>
          <cell r="P165">
            <v>2424.5250441176477</v>
          </cell>
          <cell r="Q165">
            <v>3</v>
          </cell>
          <cell r="R165">
            <v>2755.1420955882354</v>
          </cell>
        </row>
        <row r="166">
          <cell r="A166">
            <v>8515464</v>
          </cell>
          <cell r="C166" t="str">
            <v>BM</v>
          </cell>
          <cell r="D166" t="str">
            <v>RCVR,STD 85L,2-3,3/9X18</v>
          </cell>
          <cell r="E166">
            <v>1</v>
          </cell>
          <cell r="F166">
            <v>1343.83</v>
          </cell>
          <cell r="G166">
            <v>1814.1704999999999</v>
          </cell>
          <cell r="H166">
            <v>1.1499999999999999</v>
          </cell>
          <cell r="I166">
            <v>2086.2960749999997</v>
          </cell>
          <cell r="J166">
            <v>2263.6312413749997</v>
          </cell>
          <cell r="K166">
            <v>2829.5390517187493</v>
          </cell>
          <cell r="L166">
            <v>2</v>
          </cell>
          <cell r="M166">
            <v>3143.932279687499</v>
          </cell>
          <cell r="N166">
            <v>3301.1288936718743</v>
          </cell>
          <cell r="O166">
            <v>3698.7438584558813</v>
          </cell>
          <cell r="P166">
            <v>4068.61824430147</v>
          </cell>
          <cell r="Q166">
            <v>3</v>
          </cell>
          <cell r="R166">
            <v>4623.4298230698514</v>
          </cell>
        </row>
        <row r="167">
          <cell r="A167">
            <v>8515868</v>
          </cell>
          <cell r="C167" t="str">
            <v>BM</v>
          </cell>
          <cell r="D167" t="str">
            <v>KIT,BVR-500 REGULATOR &amp; FILTER</v>
          </cell>
          <cell r="E167">
            <v>1</v>
          </cell>
          <cell r="F167">
            <v>233.19703000000001</v>
          </cell>
          <cell r="G167">
            <v>314.81599050000005</v>
          </cell>
          <cell r="H167">
            <v>1.1499999999999999</v>
          </cell>
          <cell r="I167">
            <v>362.03838907500005</v>
          </cell>
          <cell r="J167">
            <v>392.81165214637502</v>
          </cell>
          <cell r="K167">
            <v>491.01456518296874</v>
          </cell>
          <cell r="L167">
            <v>2</v>
          </cell>
          <cell r="M167">
            <v>545.5717390921875</v>
          </cell>
          <cell r="N167">
            <v>572.85032604679691</v>
          </cell>
          <cell r="O167">
            <v>641.84910481433826</v>
          </cell>
          <cell r="P167">
            <v>706.03401529577218</v>
          </cell>
          <cell r="Q167">
            <v>3</v>
          </cell>
          <cell r="R167">
            <v>802.31138101792283</v>
          </cell>
        </row>
        <row r="168">
          <cell r="A168">
            <v>8515894</v>
          </cell>
          <cell r="C168" t="str">
            <v>BM</v>
          </cell>
          <cell r="D168" t="str">
            <v>KIT,BVR-500 W/2 REMOTES</v>
          </cell>
          <cell r="E168">
            <v>1</v>
          </cell>
          <cell r="F168">
            <v>326.70000000000005</v>
          </cell>
          <cell r="G168">
            <v>441.04500000000007</v>
          </cell>
          <cell r="H168">
            <v>1.1499999999999999</v>
          </cell>
          <cell r="I168">
            <v>507.20175000000006</v>
          </cell>
          <cell r="J168">
            <v>550.31389875000002</v>
          </cell>
          <cell r="K168">
            <v>687.89237343749994</v>
          </cell>
          <cell r="L168">
            <v>2</v>
          </cell>
          <cell r="M168">
            <v>764.32485937499996</v>
          </cell>
          <cell r="N168">
            <v>802.54110234375003</v>
          </cell>
          <cell r="O168">
            <v>899.20571691176474</v>
          </cell>
          <cell r="P168">
            <v>989.12628860294126</v>
          </cell>
          <cell r="Q168">
            <v>3</v>
          </cell>
          <cell r="R168">
            <v>1124.0071461397058</v>
          </cell>
        </row>
        <row r="169">
          <cell r="A169">
            <v>8516009</v>
          </cell>
          <cell r="C169" t="str">
            <v>BM</v>
          </cell>
          <cell r="D169" t="str">
            <v>KIT,RGLTR &amp; FILTER,BVR-215</v>
          </cell>
          <cell r="E169">
            <v>1</v>
          </cell>
          <cell r="F169">
            <v>124.80149000000002</v>
          </cell>
          <cell r="G169">
            <v>168.48201150000003</v>
          </cell>
          <cell r="H169">
            <v>1.1499999999999999</v>
          </cell>
          <cell r="I169">
            <v>193.754313225</v>
          </cell>
          <cell r="J169">
            <v>210.22342984912501</v>
          </cell>
          <cell r="K169">
            <v>262.77928731140622</v>
          </cell>
          <cell r="L169">
            <v>2</v>
          </cell>
          <cell r="M169">
            <v>291.97698590156244</v>
          </cell>
          <cell r="N169">
            <v>306.57583519664058</v>
          </cell>
          <cell r="O169">
            <v>343.50233635477935</v>
          </cell>
          <cell r="P169">
            <v>377.85256999025734</v>
          </cell>
          <cell r="Q169">
            <v>3</v>
          </cell>
          <cell r="R169">
            <v>429.37792044347418</v>
          </cell>
        </row>
        <row r="170">
          <cell r="A170">
            <v>8516258</v>
          </cell>
          <cell r="C170" t="str">
            <v>BM</v>
          </cell>
          <cell r="D170" t="str">
            <v>RCVR ASSY,380V,50HZ,1PH</v>
          </cell>
          <cell r="E170">
            <v>1</v>
          </cell>
          <cell r="F170">
            <v>3970.53</v>
          </cell>
          <cell r="G170">
            <v>5360.2155000000002</v>
          </cell>
          <cell r="H170">
            <v>1.1499999999999999</v>
          </cell>
          <cell r="I170">
            <v>6164.2478249999995</v>
          </cell>
          <cell r="J170">
            <v>6688.208890124999</v>
          </cell>
          <cell r="K170">
            <v>8360.2611126562479</v>
          </cell>
          <cell r="L170">
            <v>2</v>
          </cell>
          <cell r="M170">
            <v>9289.179014062498</v>
          </cell>
          <cell r="N170">
            <v>9753.6379647656231</v>
          </cell>
          <cell r="O170">
            <v>10928.445898897056</v>
          </cell>
          <cell r="P170">
            <v>12021.290488786763</v>
          </cell>
          <cell r="Q170">
            <v>3</v>
          </cell>
          <cell r="R170">
            <v>13660.557373621319</v>
          </cell>
        </row>
        <row r="171">
          <cell r="A171">
            <v>8517422</v>
          </cell>
          <cell r="D171" t="str">
            <v>RCVR,60L,3E,1.5" OUTLET,BLANK</v>
          </cell>
          <cell r="F171">
            <v>990.43</v>
          </cell>
          <cell r="G171">
            <v>1337.0805</v>
          </cell>
          <cell r="H171">
            <v>1.1499999999999999</v>
          </cell>
          <cell r="I171">
            <v>1537.6425749999999</v>
          </cell>
          <cell r="J171">
            <v>1668.3421938749998</v>
          </cell>
          <cell r="K171">
            <v>2085.4277423437497</v>
          </cell>
          <cell r="L171">
            <v>2</v>
          </cell>
          <cell r="M171">
            <v>2317.1419359374995</v>
          </cell>
          <cell r="N171">
            <v>2432.9990327343744</v>
          </cell>
          <cell r="O171">
            <v>2726.0493363970581</v>
          </cell>
          <cell r="P171">
            <v>2998.654270036764</v>
          </cell>
          <cell r="Q171">
            <v>3</v>
          </cell>
          <cell r="R171">
            <v>3407.5616704963227</v>
          </cell>
        </row>
        <row r="172">
          <cell r="A172">
            <v>8517439</v>
          </cell>
          <cell r="C172" t="str">
            <v>BM</v>
          </cell>
          <cell r="D172" t="str">
            <v>Kit de T para lavado e injecto con tapones(TEE ASSY,2.00 IN)</v>
          </cell>
          <cell r="E172">
            <v>1</v>
          </cell>
          <cell r="F172">
            <v>77.33475</v>
          </cell>
          <cell r="G172">
            <v>104.40191250000001</v>
          </cell>
          <cell r="H172">
            <v>1.1499999999999999</v>
          </cell>
          <cell r="I172">
            <v>120.06219937500001</v>
          </cell>
          <cell r="J172">
            <v>130.267486321875</v>
          </cell>
          <cell r="K172">
            <v>162.83435790234373</v>
          </cell>
          <cell r="L172">
            <v>2</v>
          </cell>
          <cell r="M172">
            <v>180.92706433593747</v>
          </cell>
          <cell r="N172">
            <v>189.97341755273436</v>
          </cell>
          <cell r="O172">
            <v>212.85536980698527</v>
          </cell>
          <cell r="P172">
            <v>234.1409067876838</v>
          </cell>
          <cell r="Q172">
            <v>3</v>
          </cell>
          <cell r="R172">
            <v>266.06921225873157</v>
          </cell>
        </row>
        <row r="173">
          <cell r="A173">
            <v>8517443</v>
          </cell>
          <cell r="C173" t="str">
            <v>BM</v>
          </cell>
          <cell r="D173" t="str">
            <v>RCVR ASSY,L/JAR &amp; TEE,60HZ,1PH</v>
          </cell>
          <cell r="E173">
            <v>1</v>
          </cell>
          <cell r="F173">
            <v>1850.2</v>
          </cell>
          <cell r="G173">
            <v>2497.7700000000004</v>
          </cell>
          <cell r="H173">
            <v>1.1499999999999999</v>
          </cell>
          <cell r="I173">
            <v>2872.4355000000005</v>
          </cell>
          <cell r="J173">
            <v>3116.5925175000007</v>
          </cell>
          <cell r="K173">
            <v>3895.7406468750005</v>
          </cell>
          <cell r="L173">
            <v>2</v>
          </cell>
          <cell r="M173">
            <v>4328.6007187500009</v>
          </cell>
          <cell r="N173">
            <v>4545.030754687501</v>
          </cell>
          <cell r="O173">
            <v>5092.4714338235308</v>
          </cell>
          <cell r="P173">
            <v>5601.7185772058847</v>
          </cell>
          <cell r="Q173">
            <v>3</v>
          </cell>
          <cell r="R173">
            <v>6365.5892922794128</v>
          </cell>
        </row>
        <row r="174">
          <cell r="A174">
            <v>8517513</v>
          </cell>
          <cell r="C174" t="str">
            <v>BM</v>
          </cell>
          <cell r="D174" t="str">
            <v>Recibidor de 60 litros (RCVR,60L,W/LID &amp; GASKET)</v>
          </cell>
          <cell r="E174" t="str">
            <v>1E</v>
          </cell>
          <cell r="F174">
            <v>469.70000000000005</v>
          </cell>
          <cell r="G174">
            <v>634.09500000000014</v>
          </cell>
          <cell r="H174">
            <v>1.1499999999999999</v>
          </cell>
          <cell r="I174">
            <v>729.20925000000011</v>
          </cell>
          <cell r="J174">
            <v>791.19203625000011</v>
          </cell>
          <cell r="K174">
            <v>988.99004531250011</v>
          </cell>
          <cell r="L174">
            <v>2</v>
          </cell>
          <cell r="M174">
            <v>1098.8778281250002</v>
          </cell>
          <cell r="N174">
            <v>1153.8217195312502</v>
          </cell>
          <cell r="O174">
            <v>1292.7974448529415</v>
          </cell>
          <cell r="P174">
            <v>1422.0771893382357</v>
          </cell>
          <cell r="Q174">
            <v>3</v>
          </cell>
          <cell r="R174">
            <v>1615.9968060661768</v>
          </cell>
        </row>
        <row r="175">
          <cell r="A175">
            <v>8517514</v>
          </cell>
          <cell r="C175" t="str">
            <v>BM</v>
          </cell>
          <cell r="D175" t="str">
            <v>Recibidor de 85 litros (RCVR,85L,W/LID &amp; GASKET)</v>
          </cell>
          <cell r="E175" t="str">
            <v>1E</v>
          </cell>
          <cell r="F175">
            <v>942.99</v>
          </cell>
          <cell r="G175">
            <v>1273.0365000000002</v>
          </cell>
          <cell r="H175">
            <v>1.1499999999999999</v>
          </cell>
          <cell r="I175">
            <v>1463.9919750000001</v>
          </cell>
          <cell r="J175">
            <v>1588.4312928750001</v>
          </cell>
          <cell r="K175">
            <v>1985.53911609375</v>
          </cell>
          <cell r="L175">
            <v>2</v>
          </cell>
          <cell r="M175">
            <v>2206.1545734374999</v>
          </cell>
          <cell r="N175">
            <v>2316.4623021093748</v>
          </cell>
          <cell r="O175">
            <v>2595.47596875</v>
          </cell>
          <cell r="P175">
            <v>2855.0235656250002</v>
          </cell>
          <cell r="Q175">
            <v>3</v>
          </cell>
          <cell r="R175">
            <v>3244.3449609374998</v>
          </cell>
        </row>
        <row r="176">
          <cell r="A176">
            <v>8517515</v>
          </cell>
          <cell r="D176" t="str">
            <v>RCVR,60L,BLANK,3A X 1.5</v>
          </cell>
          <cell r="F176">
            <v>1390.71</v>
          </cell>
          <cell r="G176">
            <v>1877.4585000000002</v>
          </cell>
          <cell r="H176">
            <v>1.1499999999999999</v>
          </cell>
          <cell r="I176">
            <v>2159.0772750000001</v>
          </cell>
          <cell r="J176">
            <v>2342.5988433749999</v>
          </cell>
          <cell r="K176">
            <v>2928.2485542187496</v>
          </cell>
          <cell r="L176">
            <v>2</v>
          </cell>
          <cell r="M176">
            <v>3253.6095046874993</v>
          </cell>
          <cell r="N176">
            <v>3416.2899799218744</v>
          </cell>
          <cell r="O176">
            <v>3827.7758878676464</v>
          </cell>
          <cell r="P176">
            <v>4210.5534766544115</v>
          </cell>
          <cell r="Q176">
            <v>3</v>
          </cell>
          <cell r="R176">
            <v>4784.7198598345576</v>
          </cell>
        </row>
        <row r="177">
          <cell r="A177">
            <v>8517517</v>
          </cell>
          <cell r="C177" t="str">
            <v>BM</v>
          </cell>
          <cell r="D177" t="str">
            <v>Recibidor de 85 litros (RCVR,85L,LH,W/LID &amp; GASKET)</v>
          </cell>
          <cell r="E177" t="str">
            <v>1A</v>
          </cell>
          <cell r="F177">
            <v>1834.8000000000002</v>
          </cell>
          <cell r="G177">
            <v>2476.9800000000005</v>
          </cell>
          <cell r="H177">
            <v>1.1499999999999999</v>
          </cell>
          <cell r="I177">
            <v>2848.5270000000005</v>
          </cell>
          <cell r="J177">
            <v>3090.6517950000002</v>
          </cell>
          <cell r="K177">
            <v>3863.3147437500002</v>
          </cell>
          <cell r="L177">
            <v>2</v>
          </cell>
          <cell r="M177">
            <v>4292.5719374999999</v>
          </cell>
          <cell r="N177">
            <v>4507.2005343749997</v>
          </cell>
          <cell r="O177">
            <v>5050.0846323529413</v>
          </cell>
          <cell r="P177">
            <v>5555.0930955882359</v>
          </cell>
          <cell r="Q177">
            <v>3</v>
          </cell>
          <cell r="R177">
            <v>6312.6057904411764</v>
          </cell>
        </row>
        <row r="178">
          <cell r="A178">
            <v>8517518</v>
          </cell>
          <cell r="C178" t="str">
            <v>BM</v>
          </cell>
          <cell r="D178" t="str">
            <v>Recibidor de 60 litros (RCVR,60L,LH,W/LID &amp; GASKET)</v>
          </cell>
          <cell r="E178" t="str">
            <v>1A</v>
          </cell>
          <cell r="F178">
            <v>1717.8921100000002</v>
          </cell>
          <cell r="G178">
            <v>2319.1543485000007</v>
          </cell>
          <cell r="H178">
            <v>1.1499999999999999</v>
          </cell>
          <cell r="I178">
            <v>2667.0275007750006</v>
          </cell>
          <cell r="J178">
            <v>2893.7248383408755</v>
          </cell>
          <cell r="K178">
            <v>3617.1560479260943</v>
          </cell>
          <cell r="L178">
            <v>2</v>
          </cell>
          <cell r="M178">
            <v>4019.0622754734381</v>
          </cell>
          <cell r="N178">
            <v>4220.0153892471099</v>
          </cell>
          <cell r="O178">
            <v>4728.3085593805154</v>
          </cell>
          <cell r="P178">
            <v>5201.1394153185674</v>
          </cell>
          <cell r="Q178">
            <v>3</v>
          </cell>
          <cell r="R178">
            <v>5910.3856992256442</v>
          </cell>
        </row>
        <row r="179">
          <cell r="A179">
            <v>8517538</v>
          </cell>
          <cell r="C179" t="str">
            <v>BM</v>
          </cell>
          <cell r="D179" t="str">
            <v>Conjunto de complementos Recibidor menos bomba de leche(RCVR ASSY,SS,L/MILK PUMP)</v>
          </cell>
          <cell r="E179">
            <v>1</v>
          </cell>
          <cell r="F179">
            <v>1242.2040400000001</v>
          </cell>
          <cell r="G179">
            <v>1676.9754540000001</v>
          </cell>
          <cell r="H179">
            <v>1.1499999999999999</v>
          </cell>
          <cell r="I179">
            <v>1928.5217720999999</v>
          </cell>
          <cell r="J179">
            <v>2092.4461227284996</v>
          </cell>
          <cell r="K179">
            <v>2615.5576534106244</v>
          </cell>
          <cell r="L179">
            <v>2</v>
          </cell>
          <cell r="M179">
            <v>2906.1751704562494</v>
          </cell>
          <cell r="N179">
            <v>3051.4839289790621</v>
          </cell>
          <cell r="O179">
            <v>3419.02961230147</v>
          </cell>
          <cell r="P179">
            <v>3760.9325735316174</v>
          </cell>
          <cell r="Q179">
            <v>3</v>
          </cell>
          <cell r="R179">
            <v>4273.7870153768372</v>
          </cell>
        </row>
        <row r="180">
          <cell r="A180">
            <v>8517751</v>
          </cell>
          <cell r="C180" t="str">
            <v>BM</v>
          </cell>
          <cell r="D180" t="str">
            <v>Conjunto Base bomba a lobulos(PUMP ASSY,AIR-STAR,7.5HP)</v>
          </cell>
          <cell r="E180">
            <v>1</v>
          </cell>
          <cell r="F180">
            <v>897.53422000000012</v>
          </cell>
          <cell r="G180">
            <v>1211.6711970000003</v>
          </cell>
          <cell r="H180">
            <v>1.1499999999999999</v>
          </cell>
          <cell r="I180">
            <v>1393.4218765500002</v>
          </cell>
          <cell r="J180">
            <v>1511.8627360567502</v>
          </cell>
          <cell r="K180">
            <v>1889.8284200709377</v>
          </cell>
          <cell r="L180">
            <v>1</v>
          </cell>
          <cell r="M180">
            <v>1989.293073758882</v>
          </cell>
          <cell r="N180">
            <v>2088.7577274468263</v>
          </cell>
          <cell r="O180">
            <v>2340.3447926575082</v>
          </cell>
          <cell r="P180">
            <v>2574.3792719232592</v>
          </cell>
          <cell r="Q180">
            <v>3</v>
          </cell>
          <cell r="R180">
            <v>2925.4309908218852</v>
          </cell>
        </row>
        <row r="181">
          <cell r="A181">
            <v>8517752</v>
          </cell>
          <cell r="C181" t="str">
            <v>BM</v>
          </cell>
          <cell r="D181" t="str">
            <v>Conjunto Base bomba a lobulos (PUMP ASSY,AIR-STAR,10HP)</v>
          </cell>
          <cell r="E181">
            <v>1</v>
          </cell>
          <cell r="F181">
            <v>1405.8000000000002</v>
          </cell>
          <cell r="G181">
            <v>1897.8300000000004</v>
          </cell>
          <cell r="H181">
            <v>1.1499999999999999</v>
          </cell>
          <cell r="I181">
            <v>2182.5045000000005</v>
          </cell>
          <cell r="J181">
            <v>2368.0173825000006</v>
          </cell>
          <cell r="K181">
            <v>2960.0217281250007</v>
          </cell>
          <cell r="L181">
            <v>1</v>
          </cell>
          <cell r="M181">
            <v>3115.8123453947378</v>
          </cell>
          <cell r="N181">
            <v>3271.6029626644749</v>
          </cell>
          <cell r="O181">
            <v>3665.6615828173385</v>
          </cell>
          <cell r="P181">
            <v>4032.2277410990728</v>
          </cell>
          <cell r="Q181">
            <v>3</v>
          </cell>
          <cell r="R181">
            <v>4582.0769785216726</v>
          </cell>
        </row>
        <row r="182">
          <cell r="A182">
            <v>8517753</v>
          </cell>
          <cell r="C182" t="str">
            <v>BM</v>
          </cell>
          <cell r="D182" t="str">
            <v>Conjunto Base Bomba a Lobulos (PUMP ASSY,AIR-STAR,15-20HP)</v>
          </cell>
          <cell r="E182">
            <v>1</v>
          </cell>
          <cell r="F182">
            <v>1432.2</v>
          </cell>
          <cell r="G182">
            <v>1933.4700000000003</v>
          </cell>
          <cell r="H182">
            <v>1.1499999999999999</v>
          </cell>
          <cell r="I182">
            <v>2223.4905000000003</v>
          </cell>
          <cell r="J182">
            <v>2412.4871925000002</v>
          </cell>
          <cell r="K182">
            <v>3015.6089906249999</v>
          </cell>
          <cell r="L182">
            <v>1</v>
          </cell>
          <cell r="M182">
            <v>3174.3252532894739</v>
          </cell>
          <cell r="N182">
            <v>3333.041515953948</v>
          </cell>
          <cell r="O182">
            <v>3734.5002979876167</v>
          </cell>
          <cell r="P182">
            <v>4107.9503277863787</v>
          </cell>
          <cell r="Q182">
            <v>3</v>
          </cell>
          <cell r="R182">
            <v>4668.125372484521</v>
          </cell>
        </row>
        <row r="183">
          <cell r="A183">
            <v>8518667</v>
          </cell>
          <cell r="D183" t="str">
            <v>COUPLING,PVC,SCH-40,2 SXS</v>
          </cell>
          <cell r="F183">
            <v>1</v>
          </cell>
          <cell r="G183">
            <v>1.35</v>
          </cell>
          <cell r="H183">
            <v>1.1499999999999999</v>
          </cell>
          <cell r="I183">
            <v>1.5525</v>
          </cell>
          <cell r="J183">
            <v>1.6844625</v>
          </cell>
          <cell r="K183">
            <v>2.1055781249999996</v>
          </cell>
          <cell r="L183">
            <v>2</v>
          </cell>
          <cell r="M183">
            <v>2.3395312499999994</v>
          </cell>
          <cell r="N183">
            <v>2.4565078124999995</v>
          </cell>
          <cell r="O183">
            <v>2.7523897058823521</v>
          </cell>
          <cell r="P183">
            <v>3.0276286764705875</v>
          </cell>
          <cell r="Q183">
            <v>3</v>
          </cell>
          <cell r="R183">
            <v>3.4404871323529398</v>
          </cell>
        </row>
        <row r="184">
          <cell r="A184">
            <v>8519183</v>
          </cell>
          <cell r="C184" t="str">
            <v>BM</v>
          </cell>
          <cell r="D184" t="str">
            <v>TUBE,NYLON,NAT,.25 OD X .035W</v>
          </cell>
          <cell r="E184">
            <v>1</v>
          </cell>
          <cell r="F184">
            <v>0.24</v>
          </cell>
          <cell r="G184">
            <v>0.32400000000000001</v>
          </cell>
          <cell r="H184">
            <v>1.1499999999999999</v>
          </cell>
          <cell r="I184">
            <v>0.37259999999999999</v>
          </cell>
          <cell r="J184">
            <v>0.40427099999999999</v>
          </cell>
          <cell r="K184">
            <v>0.50533874999999995</v>
          </cell>
          <cell r="L184">
            <v>2</v>
          </cell>
          <cell r="M184">
            <v>0.56148749999999992</v>
          </cell>
          <cell r="N184">
            <v>0.5895618749999999</v>
          </cell>
          <cell r="O184">
            <v>0.66057352941176462</v>
          </cell>
          <cell r="P184">
            <v>0.72663088235294115</v>
          </cell>
          <cell r="Q184">
            <v>3</v>
          </cell>
          <cell r="R184">
            <v>0.82571691176470574</v>
          </cell>
        </row>
        <row r="185">
          <cell r="A185">
            <v>8519332</v>
          </cell>
          <cell r="C185" t="str">
            <v>BM</v>
          </cell>
          <cell r="D185" t="str">
            <v>Kit de poteals(KIT,PULLEY,BP-200,10 HP</v>
          </cell>
          <cell r="E185">
            <v>1</v>
          </cell>
          <cell r="F185">
            <v>41.800000000000004</v>
          </cell>
          <cell r="G185">
            <v>56.430000000000007</v>
          </cell>
          <cell r="H185">
            <v>1.1499999999999999</v>
          </cell>
          <cell r="I185">
            <v>64.894500000000008</v>
          </cell>
          <cell r="J185">
            <v>70.410532500000002</v>
          </cell>
          <cell r="K185">
            <v>88.013165624999999</v>
          </cell>
          <cell r="L185">
            <v>2</v>
          </cell>
          <cell r="M185">
            <v>97.792406249999999</v>
          </cell>
          <cell r="N185">
            <v>102.6820265625</v>
          </cell>
          <cell r="O185">
            <v>115.04988970588235</v>
          </cell>
          <cell r="P185">
            <v>126.55487867647059</v>
          </cell>
          <cell r="Q185">
            <v>3</v>
          </cell>
          <cell r="R185">
            <v>143.81236213235292</v>
          </cell>
        </row>
        <row r="186">
          <cell r="A186">
            <v>8519333</v>
          </cell>
          <cell r="C186" t="str">
            <v>BM</v>
          </cell>
          <cell r="D186" t="str">
            <v>Kit de poteals(KIT,PULLEY,BP-400,15 HP)</v>
          </cell>
          <cell r="E186">
            <v>1</v>
          </cell>
          <cell r="F186">
            <v>44</v>
          </cell>
          <cell r="G186">
            <v>59.400000000000006</v>
          </cell>
          <cell r="H186">
            <v>1.1499999999999999</v>
          </cell>
          <cell r="I186">
            <v>68.31</v>
          </cell>
          <cell r="J186">
            <v>74.116349999999997</v>
          </cell>
          <cell r="K186">
            <v>92.645437499999986</v>
          </cell>
          <cell r="L186">
            <v>2</v>
          </cell>
          <cell r="M186">
            <v>102.93937499999998</v>
          </cell>
          <cell r="N186">
            <v>108.08634374999998</v>
          </cell>
          <cell r="O186">
            <v>121.10514705882352</v>
          </cell>
          <cell r="P186">
            <v>133.21566176470589</v>
          </cell>
          <cell r="Q186">
            <v>3</v>
          </cell>
          <cell r="R186">
            <v>151.38143382352939</v>
          </cell>
        </row>
        <row r="187">
          <cell r="A187">
            <v>8523836</v>
          </cell>
          <cell r="C187" t="str">
            <v>BM</v>
          </cell>
          <cell r="D187" t="str">
            <v>PROPYENE GLYCOL,55 GAL</v>
          </cell>
          <cell r="E187">
            <v>1</v>
          </cell>
          <cell r="F187">
            <v>803.00000000000011</v>
          </cell>
          <cell r="G187">
            <v>1084.0500000000002</v>
          </cell>
          <cell r="H187">
            <v>1.1499999999999999</v>
          </cell>
          <cell r="I187">
            <v>1246.6575</v>
          </cell>
          <cell r="J187">
            <v>1271.5906500000001</v>
          </cell>
          <cell r="K187">
            <v>1495.9890000000003</v>
          </cell>
          <cell r="L187">
            <v>2</v>
          </cell>
          <cell r="M187">
            <v>1662.2100000000003</v>
          </cell>
          <cell r="N187">
            <v>1745.3205000000003</v>
          </cell>
          <cell r="O187">
            <v>1955.5411764705887</v>
          </cell>
          <cell r="P187">
            <v>2151.0952941176479</v>
          </cell>
          <cell r="Q187">
            <v>1</v>
          </cell>
          <cell r="R187">
            <v>2172.8235294117653</v>
          </cell>
        </row>
        <row r="188">
          <cell r="A188">
            <v>8524180</v>
          </cell>
          <cell r="D188" t="str">
            <v xml:space="preserve"> Aplicador con cepillo (DIPPER,THRIFTYMAX  )</v>
          </cell>
          <cell r="E188">
            <v>1</v>
          </cell>
          <cell r="F188">
            <v>70.400000000000006</v>
          </cell>
          <cell r="G188">
            <v>95.04000000000002</v>
          </cell>
          <cell r="H188">
            <v>1.1499999999999999</v>
          </cell>
          <cell r="I188">
            <v>109.29600000000002</v>
          </cell>
          <cell r="J188">
            <v>118.58616000000002</v>
          </cell>
          <cell r="K188">
            <v>148.23270000000002</v>
          </cell>
          <cell r="L188">
            <v>1</v>
          </cell>
          <cell r="M188">
            <v>156.03442105263161</v>
          </cell>
          <cell r="N188">
            <v>163.83614210526321</v>
          </cell>
          <cell r="O188">
            <v>183.56990712074307</v>
          </cell>
          <cell r="P188">
            <v>201.92689783281739</v>
          </cell>
          <cell r="Q188">
            <v>3</v>
          </cell>
          <cell r="R188">
            <v>229.46238390092881</v>
          </cell>
        </row>
        <row r="189">
          <cell r="A189">
            <v>8524190</v>
          </cell>
          <cell r="C189" t="str">
            <v>BM</v>
          </cell>
          <cell r="D189" t="str">
            <v>ALKATAB, 20 LB</v>
          </cell>
          <cell r="E189">
            <v>9</v>
          </cell>
          <cell r="F189">
            <v>42</v>
          </cell>
          <cell r="G189">
            <v>56.7</v>
          </cell>
          <cell r="H189">
            <v>1.1499999999999999</v>
          </cell>
          <cell r="I189">
            <v>65.204999999999998</v>
          </cell>
          <cell r="J189">
            <v>70.747424999999993</v>
          </cell>
          <cell r="K189">
            <v>88.434281249999984</v>
          </cell>
          <cell r="L189">
            <v>3</v>
          </cell>
          <cell r="M189">
            <v>104.04033088235292</v>
          </cell>
          <cell r="N189">
            <v>109.24234742647057</v>
          </cell>
          <cell r="O189">
            <v>122.40038927335638</v>
          </cell>
          <cell r="P189">
            <v>134.64042820069204</v>
          </cell>
          <cell r="Q189">
            <v>4</v>
          </cell>
          <cell r="R189">
            <v>163.20051903114185</v>
          </cell>
        </row>
        <row r="190">
          <cell r="A190">
            <v>8524191</v>
          </cell>
          <cell r="C190" t="str">
            <v>BM</v>
          </cell>
          <cell r="D190" t="str">
            <v>ALKATAB, 80 LB</v>
          </cell>
          <cell r="E190">
            <v>36</v>
          </cell>
          <cell r="F190">
            <v>190.0796</v>
          </cell>
          <cell r="G190">
            <v>256.60746</v>
          </cell>
          <cell r="H190">
            <v>1.1499999999999999</v>
          </cell>
          <cell r="I190">
            <v>295.09857899999997</v>
          </cell>
          <cell r="J190">
            <v>320.18195821499995</v>
          </cell>
          <cell r="K190">
            <v>400.22744776874993</v>
          </cell>
          <cell r="L190">
            <v>1</v>
          </cell>
          <cell r="M190">
            <v>421.29205028289471</v>
          </cell>
          <cell r="N190">
            <v>442.35665279703949</v>
          </cell>
          <cell r="O190">
            <v>495.63770621517028</v>
          </cell>
          <cell r="P190">
            <v>545.20147683668733</v>
          </cell>
          <cell r="Q190">
            <v>4</v>
          </cell>
          <cell r="R190">
            <v>660.85027495356042</v>
          </cell>
        </row>
        <row r="191">
          <cell r="A191">
            <v>8524193</v>
          </cell>
          <cell r="C191" t="str">
            <v>BM</v>
          </cell>
          <cell r="D191" t="str">
            <v>ACIDTAB, 20 LB</v>
          </cell>
          <cell r="E191">
            <v>9</v>
          </cell>
          <cell r="F191">
            <v>34</v>
          </cell>
          <cell r="G191">
            <v>45.900000000000006</v>
          </cell>
          <cell r="H191">
            <v>1.1499999999999999</v>
          </cell>
          <cell r="I191">
            <v>52.785000000000004</v>
          </cell>
          <cell r="J191">
            <v>57.271725000000004</v>
          </cell>
          <cell r="K191">
            <v>71.589656250000004</v>
          </cell>
          <cell r="L191">
            <v>2</v>
          </cell>
          <cell r="M191">
            <v>79.54406250000001</v>
          </cell>
          <cell r="N191">
            <v>83.521265625000012</v>
          </cell>
          <cell r="O191">
            <v>93.581250000000011</v>
          </cell>
          <cell r="P191">
            <v>102.93937500000003</v>
          </cell>
          <cell r="Q191">
            <v>5</v>
          </cell>
          <cell r="R191">
            <v>133.68750000000003</v>
          </cell>
        </row>
        <row r="192">
          <cell r="A192">
            <v>8524194</v>
          </cell>
          <cell r="C192" t="str">
            <v>BM</v>
          </cell>
          <cell r="D192" t="str">
            <v>ACIDTAB, 100 LB</v>
          </cell>
          <cell r="E192">
            <v>45</v>
          </cell>
          <cell r="F192">
            <v>173.077</v>
          </cell>
          <cell r="G192">
            <v>233.65395000000001</v>
          </cell>
          <cell r="H192">
            <v>1.1499999999999999</v>
          </cell>
          <cell r="I192">
            <v>268.7020425</v>
          </cell>
          <cell r="J192">
            <v>291.54171611250001</v>
          </cell>
          <cell r="K192">
            <v>364.42714514062499</v>
          </cell>
          <cell r="L192">
            <v>2</v>
          </cell>
          <cell r="M192">
            <v>404.91905015624997</v>
          </cell>
          <cell r="N192">
            <v>425.16500266406246</v>
          </cell>
          <cell r="O192">
            <v>476.37535312499995</v>
          </cell>
          <cell r="P192">
            <v>524.01288843750001</v>
          </cell>
          <cell r="Q192">
            <v>5</v>
          </cell>
          <cell r="R192">
            <v>680.53621874999999</v>
          </cell>
        </row>
        <row r="193">
          <cell r="A193">
            <v>8524196</v>
          </cell>
          <cell r="C193" t="str">
            <v>BM</v>
          </cell>
          <cell r="D193" t="str">
            <v>CHLORTAB, 20 LB</v>
          </cell>
          <cell r="E193">
            <v>9</v>
          </cell>
          <cell r="F193">
            <v>60</v>
          </cell>
          <cell r="G193">
            <v>81</v>
          </cell>
          <cell r="H193">
            <v>1.1499999999999999</v>
          </cell>
          <cell r="I193">
            <v>93.149999999999991</v>
          </cell>
          <cell r="J193">
            <v>101.06774999999999</v>
          </cell>
          <cell r="K193">
            <v>126.33468749999999</v>
          </cell>
          <cell r="L193">
            <v>2</v>
          </cell>
          <cell r="M193">
            <v>140.37187499999999</v>
          </cell>
          <cell r="N193">
            <v>147.39046875</v>
          </cell>
          <cell r="O193">
            <v>165.14338235294116</v>
          </cell>
          <cell r="P193">
            <v>181.65772058823529</v>
          </cell>
          <cell r="Q193">
            <v>5</v>
          </cell>
          <cell r="R193">
            <v>235.91911764705881</v>
          </cell>
        </row>
        <row r="194">
          <cell r="A194">
            <v>8524197</v>
          </cell>
          <cell r="C194" t="str">
            <v>BM</v>
          </cell>
          <cell r="D194" t="str">
            <v>CHLORTAB, 100 LB</v>
          </cell>
          <cell r="E194">
            <v>45</v>
          </cell>
          <cell r="F194">
            <v>282</v>
          </cell>
          <cell r="G194">
            <v>380.70000000000005</v>
          </cell>
          <cell r="H194">
            <v>1.1499999999999999</v>
          </cell>
          <cell r="I194">
            <v>437.80500000000001</v>
          </cell>
          <cell r="J194">
            <v>475.01842499999998</v>
          </cell>
          <cell r="K194">
            <v>593.77303124999992</v>
          </cell>
          <cell r="L194">
            <v>2</v>
          </cell>
          <cell r="M194">
            <v>659.7478124999999</v>
          </cell>
          <cell r="N194">
            <v>692.73520312499988</v>
          </cell>
          <cell r="O194">
            <v>776.1738970588234</v>
          </cell>
          <cell r="P194">
            <v>853.79128676470577</v>
          </cell>
          <cell r="Q194">
            <v>5</v>
          </cell>
          <cell r="R194">
            <v>1108.8198529411764</v>
          </cell>
        </row>
        <row r="195">
          <cell r="A195">
            <v>8524254</v>
          </cell>
          <cell r="C195" t="str">
            <v>BM</v>
          </cell>
          <cell r="D195" t="str">
            <v>ALKACLOR TAB,20 LB</v>
          </cell>
          <cell r="E195">
            <v>9</v>
          </cell>
          <cell r="F195">
            <v>67</v>
          </cell>
          <cell r="G195">
            <v>90.45</v>
          </cell>
          <cell r="H195">
            <v>1.1499999999999999</v>
          </cell>
          <cell r="I195">
            <v>104.0175</v>
          </cell>
          <cell r="J195">
            <v>112.8589875</v>
          </cell>
          <cell r="K195">
            <v>141.07373437499999</v>
          </cell>
          <cell r="L195">
            <v>3</v>
          </cell>
          <cell r="M195">
            <v>165.96909926470587</v>
          </cell>
          <cell r="N195">
            <v>174.26755422794119</v>
          </cell>
          <cell r="O195">
            <v>195.25776384083045</v>
          </cell>
          <cell r="P195">
            <v>214.78354022491351</v>
          </cell>
          <cell r="Q195">
            <v>4</v>
          </cell>
          <cell r="R195">
            <v>260.34368512110728</v>
          </cell>
        </row>
        <row r="196">
          <cell r="A196">
            <v>8524255</v>
          </cell>
          <cell r="C196" t="str">
            <v>BM</v>
          </cell>
          <cell r="D196" t="str">
            <v>ALKACLOR TAB,80 LB</v>
          </cell>
          <cell r="E196">
            <v>36</v>
          </cell>
          <cell r="F196">
            <v>221</v>
          </cell>
          <cell r="G196">
            <v>298.35000000000002</v>
          </cell>
          <cell r="H196">
            <v>1.1499999999999999</v>
          </cell>
          <cell r="I196">
            <v>343.10250000000002</v>
          </cell>
          <cell r="J196">
            <v>372.26621249999999</v>
          </cell>
          <cell r="K196">
            <v>465.33276562499998</v>
          </cell>
          <cell r="L196">
            <v>2</v>
          </cell>
          <cell r="M196">
            <v>517.03640624999991</v>
          </cell>
          <cell r="N196">
            <v>542.88822656249988</v>
          </cell>
          <cell r="O196">
            <v>608.27812499999993</v>
          </cell>
          <cell r="P196">
            <v>669.10593749999998</v>
          </cell>
          <cell r="Q196">
            <v>4</v>
          </cell>
          <cell r="R196">
            <v>811.03749999999991</v>
          </cell>
        </row>
        <row r="197">
          <cell r="A197">
            <v>8550027</v>
          </cell>
          <cell r="C197" t="str">
            <v>BM</v>
          </cell>
          <cell r="D197" t="str">
            <v>CLAMP ASSY,1-5/8 TUBE</v>
          </cell>
          <cell r="E197">
            <v>1</v>
          </cell>
          <cell r="F197">
            <v>3.3000000000000003</v>
          </cell>
          <cell r="G197">
            <v>4.455000000000001</v>
          </cell>
          <cell r="H197">
            <v>1.1499999999999999</v>
          </cell>
          <cell r="I197">
            <v>5.1232500000000005</v>
          </cell>
          <cell r="J197">
            <v>5.5587262500000003</v>
          </cell>
          <cell r="K197">
            <v>6.9484078125000002</v>
          </cell>
          <cell r="L197">
            <v>2</v>
          </cell>
          <cell r="M197">
            <v>7.7204531249999997</v>
          </cell>
          <cell r="N197">
            <v>8.1064757812499995</v>
          </cell>
          <cell r="O197">
            <v>9.0828860294117639</v>
          </cell>
          <cell r="P197">
            <v>9.9911746323529407</v>
          </cell>
          <cell r="Q197">
            <v>3</v>
          </cell>
          <cell r="R197">
            <v>11.353607536764704</v>
          </cell>
        </row>
        <row r="198">
          <cell r="A198">
            <v>8570720</v>
          </cell>
          <cell r="C198" t="str">
            <v>BM</v>
          </cell>
          <cell r="D198" t="str">
            <v>RCVR ASSY,L/JAR &amp; TEE,60HZ,3PH</v>
          </cell>
          <cell r="E198">
            <v>1</v>
          </cell>
          <cell r="F198">
            <v>1877.7</v>
          </cell>
          <cell r="G198">
            <v>2534.8950000000004</v>
          </cell>
          <cell r="H198">
            <v>1.1499999999999999</v>
          </cell>
          <cell r="I198">
            <v>2915.1292500000004</v>
          </cell>
          <cell r="J198">
            <v>3162.9152362500004</v>
          </cell>
          <cell r="K198">
            <v>3953.6440453125001</v>
          </cell>
          <cell r="L198">
            <v>2</v>
          </cell>
          <cell r="M198">
            <v>4392.9378281250001</v>
          </cell>
          <cell r="N198">
            <v>4612.5847195312499</v>
          </cell>
          <cell r="O198">
            <v>5168.1621507352947</v>
          </cell>
          <cell r="P198">
            <v>5684.9783658088245</v>
          </cell>
          <cell r="Q198">
            <v>3</v>
          </cell>
          <cell r="R198">
            <v>6460.2026884191182</v>
          </cell>
        </row>
        <row r="199">
          <cell r="A199">
            <v>8580056</v>
          </cell>
          <cell r="C199" t="str">
            <v>BM</v>
          </cell>
          <cell r="D199" t="str">
            <v>RCVR,85L,(2)3",PAR,3GX1.5,DFLO</v>
          </cell>
          <cell r="E199">
            <v>1</v>
          </cell>
          <cell r="F199">
            <v>1535.932875</v>
          </cell>
          <cell r="G199">
            <v>2073.5093812499999</v>
          </cell>
          <cell r="H199">
            <v>1.1499999999999999</v>
          </cell>
          <cell r="I199">
            <v>2384.5357884374998</v>
          </cell>
          <cell r="J199">
            <v>2587.2213304546872</v>
          </cell>
          <cell r="K199">
            <v>3234.0266630683586</v>
          </cell>
          <cell r="L199">
            <v>2</v>
          </cell>
          <cell r="M199">
            <v>3593.3629589648426</v>
          </cell>
          <cell r="N199">
            <v>3773.0311069130848</v>
          </cell>
          <cell r="O199">
            <v>4227.4858340762858</v>
          </cell>
          <cell r="P199">
            <v>4650.2344174839145</v>
          </cell>
          <cell r="Q199">
            <v>3</v>
          </cell>
          <cell r="R199">
            <v>5284.3572925953567</v>
          </cell>
        </row>
        <row r="200">
          <cell r="A200">
            <v>8581515</v>
          </cell>
          <cell r="D200" t="e">
            <v>#N/A</v>
          </cell>
          <cell r="F200">
            <v>185.51</v>
          </cell>
          <cell r="G200">
            <v>250.4385</v>
          </cell>
          <cell r="H200">
            <v>1.1499999999999999</v>
          </cell>
          <cell r="I200">
            <v>288.00427500000001</v>
          </cell>
          <cell r="J200">
            <v>312.48463837499997</v>
          </cell>
          <cell r="K200">
            <v>390.60579796874993</v>
          </cell>
          <cell r="L200">
            <v>2</v>
          </cell>
          <cell r="M200">
            <v>434.00644218749989</v>
          </cell>
          <cell r="N200">
            <v>455.70676429687489</v>
          </cell>
          <cell r="O200">
            <v>510.59581433823519</v>
          </cell>
          <cell r="P200">
            <v>561.6553957720588</v>
          </cell>
          <cell r="Q200">
            <v>3</v>
          </cell>
          <cell r="R200">
            <v>638.24476792279393</v>
          </cell>
        </row>
        <row r="201">
          <cell r="A201">
            <v>8581516</v>
          </cell>
          <cell r="D201" t="e">
            <v>#N/A</v>
          </cell>
          <cell r="F201">
            <v>687.06</v>
          </cell>
          <cell r="G201">
            <v>927.53099999999995</v>
          </cell>
          <cell r="H201">
            <v>1.1499999999999999</v>
          </cell>
          <cell r="I201">
            <v>1066.6606499999998</v>
          </cell>
          <cell r="J201">
            <v>1157.3268052499998</v>
          </cell>
          <cell r="K201">
            <v>1446.6585065624997</v>
          </cell>
          <cell r="L201">
            <v>2</v>
          </cell>
          <cell r="M201">
            <v>1607.3983406249997</v>
          </cell>
          <cell r="N201">
            <v>1687.7682576562497</v>
          </cell>
          <cell r="O201">
            <v>1891.0568713235291</v>
          </cell>
          <cell r="P201">
            <v>2080.1625584558824</v>
          </cell>
          <cell r="Q201">
            <v>3</v>
          </cell>
          <cell r="R201">
            <v>2363.8210891544113</v>
          </cell>
        </row>
        <row r="202">
          <cell r="A202">
            <v>8581518</v>
          </cell>
          <cell r="D202" t="e">
            <v>#N/A</v>
          </cell>
          <cell r="F202">
            <v>13.75</v>
          </cell>
          <cell r="G202">
            <v>18.5625</v>
          </cell>
          <cell r="H202">
            <v>1.1499999999999999</v>
          </cell>
          <cell r="I202">
            <v>21.346874999999997</v>
          </cell>
          <cell r="J202">
            <v>23.161359374999996</v>
          </cell>
          <cell r="K202">
            <v>28.951699218749994</v>
          </cell>
          <cell r="L202">
            <v>2</v>
          </cell>
          <cell r="M202">
            <v>32.168554687499991</v>
          </cell>
          <cell r="N202">
            <v>33.77698242187499</v>
          </cell>
          <cell r="O202">
            <v>37.845358455882341</v>
          </cell>
          <cell r="P202">
            <v>41.629894301470578</v>
          </cell>
          <cell r="Q202">
            <v>3</v>
          </cell>
          <cell r="R202">
            <v>47.306698069852921</v>
          </cell>
        </row>
        <row r="203">
          <cell r="A203">
            <v>8581519</v>
          </cell>
          <cell r="D203" t="e">
            <v>#N/A</v>
          </cell>
          <cell r="F203">
            <v>28.63</v>
          </cell>
          <cell r="G203">
            <v>38.650500000000001</v>
          </cell>
          <cell r="H203">
            <v>1.1499999999999999</v>
          </cell>
          <cell r="I203">
            <v>44.448074999999996</v>
          </cell>
          <cell r="J203">
            <v>48.226161374999997</v>
          </cell>
          <cell r="K203">
            <v>60.282701718749991</v>
          </cell>
          <cell r="L203">
            <v>2</v>
          </cell>
          <cell r="M203">
            <v>66.980779687499989</v>
          </cell>
          <cell r="N203">
            <v>70.329818671874989</v>
          </cell>
          <cell r="O203">
            <v>78.800917279411749</v>
          </cell>
          <cell r="P203">
            <v>86.681009007352927</v>
          </cell>
          <cell r="Q203">
            <v>3</v>
          </cell>
          <cell r="R203">
            <v>98.501146599264686</v>
          </cell>
        </row>
        <row r="204">
          <cell r="A204">
            <v>8581520</v>
          </cell>
          <cell r="D204" t="e">
            <v>#N/A</v>
          </cell>
          <cell r="F204">
            <v>72.05</v>
          </cell>
          <cell r="G204">
            <v>97.267499999999998</v>
          </cell>
          <cell r="H204">
            <v>1.1499999999999999</v>
          </cell>
          <cell r="I204">
            <v>111.85762499999998</v>
          </cell>
          <cell r="J204">
            <v>121.36552312499998</v>
          </cell>
          <cell r="K204">
            <v>151.70690390624998</v>
          </cell>
          <cell r="L204">
            <v>2</v>
          </cell>
          <cell r="M204">
            <v>168.56322656249998</v>
          </cell>
          <cell r="N204">
            <v>176.99138789062499</v>
          </cell>
          <cell r="O204">
            <v>198.30967830882352</v>
          </cell>
          <cell r="P204">
            <v>218.14064613970589</v>
          </cell>
          <cell r="Q204">
            <v>3</v>
          </cell>
          <cell r="R204">
            <v>247.88709788602938</v>
          </cell>
        </row>
        <row r="205">
          <cell r="A205">
            <v>8581522</v>
          </cell>
          <cell r="D205" t="e">
            <v>#N/A</v>
          </cell>
          <cell r="F205">
            <v>153</v>
          </cell>
          <cell r="G205">
            <v>206.55</v>
          </cell>
          <cell r="H205">
            <v>1.1499999999999999</v>
          </cell>
          <cell r="I205">
            <v>237.5325</v>
          </cell>
          <cell r="J205">
            <v>257.72276249999999</v>
          </cell>
          <cell r="K205">
            <v>322.15345312499994</v>
          </cell>
          <cell r="L205">
            <v>2</v>
          </cell>
          <cell r="M205">
            <v>357.94828124999992</v>
          </cell>
          <cell r="N205">
            <v>375.84569531249991</v>
          </cell>
          <cell r="O205">
            <v>421.11562499999991</v>
          </cell>
          <cell r="P205">
            <v>463.22718749999996</v>
          </cell>
          <cell r="Q205">
            <v>3</v>
          </cell>
          <cell r="R205">
            <v>526.39453124999989</v>
          </cell>
        </row>
        <row r="206">
          <cell r="A206">
            <v>8581526</v>
          </cell>
          <cell r="D206" t="e">
            <v>#N/A</v>
          </cell>
          <cell r="F206">
            <v>15.06</v>
          </cell>
          <cell r="G206">
            <v>20.331000000000003</v>
          </cell>
          <cell r="H206">
            <v>1.1499999999999999</v>
          </cell>
          <cell r="I206">
            <v>23.380650000000003</v>
          </cell>
          <cell r="J206">
            <v>25.368005250000003</v>
          </cell>
          <cell r="K206">
            <v>31.710006562500002</v>
          </cell>
          <cell r="L206">
            <v>2</v>
          </cell>
          <cell r="M206">
            <v>35.233340625000004</v>
          </cell>
          <cell r="N206">
            <v>36.995007656250003</v>
          </cell>
          <cell r="O206">
            <v>41.450988970588242</v>
          </cell>
          <cell r="P206">
            <v>45.596087867647071</v>
          </cell>
          <cell r="Q206">
            <v>3</v>
          </cell>
          <cell r="R206">
            <v>51.813736213235302</v>
          </cell>
        </row>
        <row r="207">
          <cell r="A207">
            <v>8581527</v>
          </cell>
          <cell r="D207" t="e">
            <v>#N/A</v>
          </cell>
          <cell r="F207">
            <v>8</v>
          </cell>
          <cell r="G207">
            <v>10.8</v>
          </cell>
          <cell r="H207">
            <v>1.1499999999999999</v>
          </cell>
          <cell r="I207">
            <v>12.42</v>
          </cell>
          <cell r="J207">
            <v>13.4757</v>
          </cell>
          <cell r="K207">
            <v>16.844624999999997</v>
          </cell>
          <cell r="L207">
            <v>2</v>
          </cell>
          <cell r="M207">
            <v>18.716249999999995</v>
          </cell>
          <cell r="N207">
            <v>19.652062499999996</v>
          </cell>
          <cell r="O207">
            <v>22.019117647058817</v>
          </cell>
          <cell r="P207">
            <v>24.2210294117647</v>
          </cell>
          <cell r="Q207">
            <v>3</v>
          </cell>
          <cell r="R207">
            <v>27.523897058823518</v>
          </cell>
        </row>
        <row r="208">
          <cell r="A208">
            <v>8581531</v>
          </cell>
          <cell r="D208" t="e">
            <v>#N/A</v>
          </cell>
          <cell r="F208">
            <v>46.38</v>
          </cell>
          <cell r="G208">
            <v>62.613000000000007</v>
          </cell>
          <cell r="H208">
            <v>1.1499999999999999</v>
          </cell>
          <cell r="I208">
            <v>72.004950000000008</v>
          </cell>
          <cell r="J208">
            <v>78.125370750000002</v>
          </cell>
          <cell r="K208">
            <v>97.656713437500002</v>
          </cell>
          <cell r="L208">
            <v>2</v>
          </cell>
          <cell r="M208">
            <v>108.507459375</v>
          </cell>
          <cell r="N208">
            <v>113.93283234375001</v>
          </cell>
          <cell r="O208">
            <v>127.65583455882353</v>
          </cell>
          <cell r="P208">
            <v>140.42141801470589</v>
          </cell>
          <cell r="Q208">
            <v>3</v>
          </cell>
          <cell r="R208">
            <v>159.5697931985294</v>
          </cell>
        </row>
        <row r="209">
          <cell r="A209">
            <v>8582480</v>
          </cell>
          <cell r="D209" t="str">
            <v>PUMP,PAINTED,BP200,5H,DSL</v>
          </cell>
          <cell r="F209">
            <v>2181</v>
          </cell>
          <cell r="G209">
            <v>2944.3500000000004</v>
          </cell>
          <cell r="H209">
            <v>1.1499999999999999</v>
          </cell>
          <cell r="I209">
            <v>3386.0025000000001</v>
          </cell>
          <cell r="J209">
            <v>3673.8127125000001</v>
          </cell>
          <cell r="K209">
            <v>4592.2658906249999</v>
          </cell>
          <cell r="L209">
            <v>2</v>
          </cell>
          <cell r="M209">
            <v>5102.5176562500001</v>
          </cell>
          <cell r="N209">
            <v>5357.6435390625002</v>
          </cell>
          <cell r="O209">
            <v>6002.9619485294124</v>
          </cell>
          <cell r="P209">
            <v>6603.2581433823543</v>
          </cell>
          <cell r="Q209">
            <v>3</v>
          </cell>
          <cell r="R209">
            <v>7503.7024356617649</v>
          </cell>
        </row>
        <row r="210">
          <cell r="A210">
            <v>8582481</v>
          </cell>
          <cell r="D210" t="str">
            <v>PUMP,PAINTED,BP400,5M,DSL</v>
          </cell>
          <cell r="F210">
            <v>2241</v>
          </cell>
          <cell r="G210">
            <v>3025.3500000000004</v>
          </cell>
          <cell r="H210">
            <v>1.1499999999999999</v>
          </cell>
          <cell r="I210">
            <v>3479.1525000000001</v>
          </cell>
          <cell r="J210">
            <v>3774.8804625000002</v>
          </cell>
          <cell r="K210">
            <v>4718.6005781249996</v>
          </cell>
          <cell r="L210">
            <v>2</v>
          </cell>
          <cell r="M210">
            <v>5242.8895312499999</v>
          </cell>
          <cell r="N210">
            <v>5505.0340078125</v>
          </cell>
          <cell r="O210">
            <v>6168.105330882353</v>
          </cell>
          <cell r="P210">
            <v>6784.9158639705893</v>
          </cell>
          <cell r="Q210">
            <v>3</v>
          </cell>
          <cell r="R210">
            <v>7710.1316636029405</v>
          </cell>
        </row>
        <row r="211">
          <cell r="A211">
            <v>8584763</v>
          </cell>
          <cell r="D211" t="str">
            <v>KIT,HEATSEEKER II,NECK</v>
          </cell>
          <cell r="F211">
            <v>68.37</v>
          </cell>
          <cell r="G211">
            <v>92.299500000000009</v>
          </cell>
          <cell r="H211">
            <v>1.1499999999999999</v>
          </cell>
          <cell r="I211">
            <v>106.144425</v>
          </cell>
          <cell r="J211">
            <v>115.16670112499999</v>
          </cell>
          <cell r="K211">
            <v>143.95837640624998</v>
          </cell>
          <cell r="L211">
            <v>2</v>
          </cell>
          <cell r="M211">
            <v>159.95375156249997</v>
          </cell>
          <cell r="N211">
            <v>167.95143914062498</v>
          </cell>
          <cell r="O211">
            <v>188.18088419117643</v>
          </cell>
          <cell r="P211">
            <v>206.99897261029409</v>
          </cell>
          <cell r="Q211">
            <v>3</v>
          </cell>
          <cell r="R211">
            <v>235.22610523897052</v>
          </cell>
        </row>
        <row r="212">
          <cell r="A212">
            <v>8589532</v>
          </cell>
          <cell r="C212" t="str">
            <v>BM</v>
          </cell>
          <cell r="D212" t="str">
            <v>Pezonera(LINER,MAG 400MX,VENTED,CS/100)</v>
          </cell>
          <cell r="E212">
            <v>100</v>
          </cell>
          <cell r="F212">
            <v>258.5</v>
          </cell>
          <cell r="G212">
            <v>348.97500000000002</v>
          </cell>
          <cell r="H212">
            <v>1.1499999999999999</v>
          </cell>
          <cell r="I212">
            <v>401.32125000000002</v>
          </cell>
          <cell r="J212">
            <v>435.43355624999998</v>
          </cell>
          <cell r="K212">
            <v>544.29194531249993</v>
          </cell>
          <cell r="L212">
            <v>4</v>
          </cell>
          <cell r="M212">
            <v>680.36493164062483</v>
          </cell>
          <cell r="N212">
            <v>714.38317822265606</v>
          </cell>
          <cell r="O212">
            <v>800.42933134191162</v>
          </cell>
          <cell r="P212">
            <v>880.47226447610285</v>
          </cell>
          <cell r="Q212">
            <v>3</v>
          </cell>
          <cell r="R212">
            <v>1000.5366641773895</v>
          </cell>
        </row>
        <row r="213">
          <cell r="A213">
            <v>10000010</v>
          </cell>
          <cell r="C213" t="str">
            <v>GM</v>
          </cell>
          <cell r="D213" t="str">
            <v>SENSOR ASSY GM/I(+)</v>
          </cell>
          <cell r="E213">
            <v>1</v>
          </cell>
          <cell r="F213">
            <v>52.800000000000004</v>
          </cell>
          <cell r="G213">
            <v>71.280000000000015</v>
          </cell>
          <cell r="H213">
            <v>1.1499999999999999</v>
          </cell>
          <cell r="I213">
            <v>81.972000000000008</v>
          </cell>
          <cell r="J213">
            <v>88.939620000000005</v>
          </cell>
          <cell r="K213">
            <v>111.174525</v>
          </cell>
          <cell r="L213">
            <v>2</v>
          </cell>
          <cell r="M213">
            <v>123.52725</v>
          </cell>
          <cell r="N213">
            <v>129.70361249999999</v>
          </cell>
          <cell r="O213">
            <v>145.32617647058822</v>
          </cell>
          <cell r="P213">
            <v>159.85879411764705</v>
          </cell>
          <cell r="Q213">
            <v>3</v>
          </cell>
          <cell r="R213">
            <v>181.65772058823526</v>
          </cell>
        </row>
        <row r="214">
          <cell r="A214">
            <v>10000020</v>
          </cell>
          <cell r="C214" t="str">
            <v>GM</v>
          </cell>
          <cell r="D214" t="str">
            <v>Indicador de Produccion GMI(INDICATOR,MILK YIELD,GMI)</v>
          </cell>
          <cell r="E214">
            <v>1</v>
          </cell>
          <cell r="F214">
            <v>330</v>
          </cell>
          <cell r="G214">
            <v>445.50000000000006</v>
          </cell>
          <cell r="H214">
            <v>1.1499999999999999</v>
          </cell>
          <cell r="I214">
            <v>512.32500000000005</v>
          </cell>
          <cell r="J214">
            <v>555.87262500000008</v>
          </cell>
          <cell r="K214">
            <v>694.84078125000008</v>
          </cell>
          <cell r="L214">
            <v>2</v>
          </cell>
          <cell r="M214">
            <v>772.04531250000002</v>
          </cell>
          <cell r="N214">
            <v>810.64757812500011</v>
          </cell>
          <cell r="O214">
            <v>908.28860294117658</v>
          </cell>
          <cell r="P214">
            <v>999.11746323529428</v>
          </cell>
          <cell r="Q214">
            <v>3</v>
          </cell>
          <cell r="R214">
            <v>1135.3607536764707</v>
          </cell>
        </row>
        <row r="215">
          <cell r="A215">
            <v>10000021</v>
          </cell>
          <cell r="C215" t="str">
            <v>GM</v>
          </cell>
          <cell r="D215" t="str">
            <v>Indicador de Produccion GMI+(INDICATOR,MILK YIELD,GMI,+SIG)</v>
          </cell>
          <cell r="E215">
            <v>1</v>
          </cell>
          <cell r="F215">
            <v>357.50000000000006</v>
          </cell>
          <cell r="G215">
            <v>482.62500000000011</v>
          </cell>
          <cell r="H215">
            <v>1.1499999999999999</v>
          </cell>
          <cell r="I215">
            <v>555.01875000000007</v>
          </cell>
          <cell r="J215">
            <v>602.19534375000001</v>
          </cell>
          <cell r="K215">
            <v>752.74417968749992</v>
          </cell>
          <cell r="L215">
            <v>2</v>
          </cell>
          <cell r="M215">
            <v>836.38242187499986</v>
          </cell>
          <cell r="N215">
            <v>878.20154296874989</v>
          </cell>
          <cell r="O215">
            <v>983.97931985294099</v>
          </cell>
          <cell r="P215">
            <v>1082.3772518382352</v>
          </cell>
          <cell r="Q215">
            <v>3</v>
          </cell>
          <cell r="R215">
            <v>1229.9741498161761</v>
          </cell>
        </row>
        <row r="216">
          <cell r="A216" t="str">
            <v>14055l</v>
          </cell>
          <cell r="C216" t="str">
            <v>DX</v>
          </cell>
          <cell r="D216" t="str">
            <v>Bomba de vacio M5(VACUUM PUMP, ASSMB, M5/5HP  L/)</v>
          </cell>
          <cell r="E216">
            <v>1</v>
          </cell>
          <cell r="F216">
            <v>2310</v>
          </cell>
          <cell r="G216">
            <v>3118.5</v>
          </cell>
          <cell r="H216">
            <v>1.1499999999999999</v>
          </cell>
          <cell r="I216">
            <v>3586.2749999999996</v>
          </cell>
          <cell r="J216">
            <v>3891.1083749999993</v>
          </cell>
          <cell r="K216">
            <v>4863.8854687499988</v>
          </cell>
          <cell r="L216">
            <v>2</v>
          </cell>
          <cell r="M216">
            <v>5404.3171874999989</v>
          </cell>
          <cell r="N216">
            <v>5674.5330468749989</v>
          </cell>
          <cell r="O216">
            <v>6358.0202205882342</v>
          </cell>
          <cell r="P216">
            <v>6993.8222426470584</v>
          </cell>
          <cell r="Q216">
            <v>3</v>
          </cell>
          <cell r="R216">
            <v>7947.5252757352928</v>
          </cell>
        </row>
        <row r="217">
          <cell r="A217" t="str">
            <v>14057l</v>
          </cell>
          <cell r="C217" t="str">
            <v>DX</v>
          </cell>
          <cell r="D217" t="str">
            <v>Bomba de vacio M5(VACUUM PUMP, ASSMB, M5/7.5HP L)</v>
          </cell>
          <cell r="E217">
            <v>1</v>
          </cell>
          <cell r="F217">
            <v>2310</v>
          </cell>
          <cell r="G217">
            <v>3118.5</v>
          </cell>
          <cell r="H217">
            <v>1.1499999999999999</v>
          </cell>
          <cell r="I217">
            <v>3586.2749999999996</v>
          </cell>
          <cell r="J217">
            <v>3891.1083749999993</v>
          </cell>
          <cell r="K217">
            <v>4863.8854687499988</v>
          </cell>
          <cell r="L217">
            <v>1</v>
          </cell>
          <cell r="M217">
            <v>5119.8794407894729</v>
          </cell>
          <cell r="N217">
            <v>5375.873412828947</v>
          </cell>
          <cell r="O217">
            <v>6023.3875773993805</v>
          </cell>
          <cell r="P217">
            <v>6625.7263351393194</v>
          </cell>
          <cell r="Q217">
            <v>3</v>
          </cell>
          <cell r="R217">
            <v>7529.2344717492251</v>
          </cell>
        </row>
        <row r="218">
          <cell r="A218" t="str">
            <v>140710l</v>
          </cell>
          <cell r="C218" t="str">
            <v>DX</v>
          </cell>
          <cell r="D218" t="str">
            <v>Bomba de vacio M 7.5(VACUUM PUMP, ASSMB, M7.5/10HP)</v>
          </cell>
          <cell r="E218">
            <v>1</v>
          </cell>
          <cell r="F218">
            <v>2574</v>
          </cell>
          <cell r="G218">
            <v>3474.9</v>
          </cell>
          <cell r="H218">
            <v>1.1499999999999999</v>
          </cell>
          <cell r="I218">
            <v>3996.1349999999998</v>
          </cell>
          <cell r="J218">
            <v>4335.8064749999994</v>
          </cell>
          <cell r="K218">
            <v>5419.7580937499988</v>
          </cell>
          <cell r="L218">
            <v>1</v>
          </cell>
          <cell r="M218">
            <v>5705.0085197368408</v>
          </cell>
          <cell r="N218">
            <v>5990.2589457236827</v>
          </cell>
          <cell r="O218">
            <v>6711.774729102166</v>
          </cell>
          <cell r="P218">
            <v>7382.9522020123832</v>
          </cell>
          <cell r="Q218">
            <v>3</v>
          </cell>
          <cell r="R218">
            <v>8389.7184113777075</v>
          </cell>
        </row>
        <row r="219">
          <cell r="A219" t="str">
            <v>14077l</v>
          </cell>
          <cell r="C219" t="str">
            <v>DX</v>
          </cell>
          <cell r="D219" t="str">
            <v>Bomba de vacio M 7.5(VACUUM PUMP, ASSMB, M7.5/7.5HP)</v>
          </cell>
          <cell r="E219">
            <v>1</v>
          </cell>
          <cell r="F219">
            <v>2574</v>
          </cell>
          <cell r="G219">
            <v>3474.9</v>
          </cell>
          <cell r="H219">
            <v>1.1499999999999999</v>
          </cell>
          <cell r="I219">
            <v>3996.1349999999998</v>
          </cell>
          <cell r="J219">
            <v>4335.8064749999994</v>
          </cell>
          <cell r="K219">
            <v>5419.7580937499988</v>
          </cell>
          <cell r="L219">
            <v>1</v>
          </cell>
          <cell r="M219">
            <v>5705.0085197368408</v>
          </cell>
          <cell r="N219">
            <v>5990.2589457236827</v>
          </cell>
          <cell r="O219">
            <v>6711.774729102166</v>
          </cell>
          <cell r="P219">
            <v>7382.9522020123832</v>
          </cell>
          <cell r="Q219">
            <v>3</v>
          </cell>
          <cell r="R219">
            <v>8389.7184113777075</v>
          </cell>
        </row>
        <row r="220">
          <cell r="A220" t="str">
            <v>32925M</v>
          </cell>
          <cell r="D220" t="e">
            <v>#N/A</v>
          </cell>
          <cell r="F220">
            <v>215.07</v>
          </cell>
          <cell r="G220">
            <v>290.34449999999998</v>
          </cell>
          <cell r="H220">
            <v>1.1499999999999999</v>
          </cell>
          <cell r="I220">
            <v>333.89617499999997</v>
          </cell>
          <cell r="J220">
            <v>362.27734987499997</v>
          </cell>
          <cell r="K220">
            <v>452.84668734374992</v>
          </cell>
          <cell r="L220">
            <v>2</v>
          </cell>
          <cell r="M220">
            <v>503.16298593749991</v>
          </cell>
          <cell r="N220">
            <v>528.32113523437488</v>
          </cell>
          <cell r="O220">
            <v>591.95645404411755</v>
          </cell>
          <cell r="P220">
            <v>651.15209944852938</v>
          </cell>
          <cell r="Q220">
            <v>3</v>
          </cell>
          <cell r="R220">
            <v>739.94556755514691</v>
          </cell>
        </row>
        <row r="221">
          <cell r="A221" t="str">
            <v>32930M</v>
          </cell>
          <cell r="D221" t="e">
            <v>#N/A</v>
          </cell>
          <cell r="F221">
            <v>153.68</v>
          </cell>
          <cell r="G221">
            <v>207.46800000000002</v>
          </cell>
          <cell r="H221">
            <v>1.1499999999999999</v>
          </cell>
          <cell r="I221">
            <v>238.5882</v>
          </cell>
          <cell r="J221">
            <v>258.86819700000001</v>
          </cell>
          <cell r="K221">
            <v>323.58524625000001</v>
          </cell>
          <cell r="L221">
            <v>2</v>
          </cell>
          <cell r="M221">
            <v>359.53916250000003</v>
          </cell>
          <cell r="N221">
            <v>377.51612062500004</v>
          </cell>
          <cell r="O221">
            <v>422.98725000000007</v>
          </cell>
          <cell r="P221">
            <v>465.28597500000012</v>
          </cell>
          <cell r="Q221">
            <v>3</v>
          </cell>
          <cell r="R221">
            <v>528.73406250000005</v>
          </cell>
        </row>
        <row r="222">
          <cell r="A222" t="str">
            <v>D00001</v>
          </cell>
          <cell r="C222" t="str">
            <v>BM</v>
          </cell>
          <cell r="D222" t="e">
            <v>#N/A</v>
          </cell>
          <cell r="E222" t="e">
            <v>#REF!</v>
          </cell>
          <cell r="F222">
            <v>14.900000000000002</v>
          </cell>
          <cell r="G222">
            <v>20.115000000000006</v>
          </cell>
          <cell r="H222">
            <v>1.1499999999999999</v>
          </cell>
          <cell r="I222">
            <v>23.132250000000006</v>
          </cell>
          <cell r="J222">
            <v>25.098491250000006</v>
          </cell>
          <cell r="K222">
            <v>31.373114062500004</v>
          </cell>
          <cell r="L222">
            <v>3</v>
          </cell>
          <cell r="M222">
            <v>36.909545955882358</v>
          </cell>
          <cell r="N222">
            <v>38.755023253676477</v>
          </cell>
          <cell r="O222">
            <v>43.42299524221454</v>
          </cell>
          <cell r="P222">
            <v>47.765294766436</v>
          </cell>
          <cell r="Q222">
            <v>5</v>
          </cell>
          <cell r="R222">
            <v>62.032850346020773</v>
          </cell>
        </row>
        <row r="223">
          <cell r="A223" t="str">
            <v>D00002</v>
          </cell>
          <cell r="C223" t="str">
            <v>BM</v>
          </cell>
          <cell r="D223" t="e">
            <v>#N/A</v>
          </cell>
          <cell r="E223" t="e">
            <v>#REF!</v>
          </cell>
          <cell r="F223">
            <v>32.89</v>
          </cell>
          <cell r="G223">
            <v>44.401500000000006</v>
          </cell>
          <cell r="H223">
            <v>1.1499999999999999</v>
          </cell>
          <cell r="I223">
            <v>51.061725000000003</v>
          </cell>
          <cell r="J223">
            <v>55.401971625000002</v>
          </cell>
          <cell r="K223">
            <v>69.252464531249998</v>
          </cell>
          <cell r="L223">
            <v>3</v>
          </cell>
          <cell r="M223">
            <v>81.473487683823535</v>
          </cell>
          <cell r="N223">
            <v>85.547162068014714</v>
          </cell>
          <cell r="O223">
            <v>95.851161980968868</v>
          </cell>
          <cell r="P223">
            <v>105.43627817906577</v>
          </cell>
          <cell r="Q223">
            <v>5</v>
          </cell>
          <cell r="R223">
            <v>136.93023140138411</v>
          </cell>
        </row>
        <row r="224">
          <cell r="A224" t="str">
            <v>D00003</v>
          </cell>
          <cell r="C224" t="str">
            <v>GRUPO JAC</v>
          </cell>
          <cell r="D224" t="e">
            <v>#N/A</v>
          </cell>
          <cell r="E224" t="e">
            <v>#N/A</v>
          </cell>
          <cell r="F224">
            <v>15.200000000000001</v>
          </cell>
          <cell r="G224">
            <v>20.520000000000003</v>
          </cell>
          <cell r="H224">
            <v>1.1499999999999999</v>
          </cell>
          <cell r="I224">
            <v>23.598000000000003</v>
          </cell>
          <cell r="J224">
            <v>25.603830000000002</v>
          </cell>
          <cell r="K224">
            <v>32.004787499999999</v>
          </cell>
          <cell r="L224">
            <v>2</v>
          </cell>
          <cell r="M224">
            <v>35.560874999999996</v>
          </cell>
          <cell r="N224">
            <v>37.338918749999998</v>
          </cell>
          <cell r="O224">
            <v>41.836323529411764</v>
          </cell>
          <cell r="P224">
            <v>46.019955882352946</v>
          </cell>
          <cell r="Q224">
            <v>3</v>
          </cell>
          <cell r="R224">
            <v>52.2954044117647</v>
          </cell>
        </row>
        <row r="225">
          <cell r="A225" t="str">
            <v>D00004</v>
          </cell>
          <cell r="C225" t="str">
            <v>BM</v>
          </cell>
          <cell r="D225" t="str">
            <v>Sellador 5000 ppm DX no drip x 25 kgrs</v>
          </cell>
          <cell r="E225">
            <v>25</v>
          </cell>
          <cell r="I225">
            <v>42.388500000000001</v>
          </cell>
          <cell r="J225">
            <v>45.991522500000002</v>
          </cell>
          <cell r="K225">
            <v>57.489403125000003</v>
          </cell>
          <cell r="L225">
            <v>1</v>
          </cell>
          <cell r="M225">
            <v>60.515161184210534</v>
          </cell>
          <cell r="N225">
            <v>63.540919243421065</v>
          </cell>
          <cell r="O225">
            <v>71.194307275541803</v>
          </cell>
          <cell r="P225">
            <v>78.313738003095992</v>
          </cell>
          <cell r="Q225">
            <v>3</v>
          </cell>
          <cell r="R225">
            <v>88.992884094427254</v>
          </cell>
        </row>
        <row r="226">
          <cell r="A226" t="str">
            <v>D00005</v>
          </cell>
          <cell r="C226" t="str">
            <v>BM</v>
          </cell>
          <cell r="D226" t="str">
            <v>Udder Blend G5 x 25</v>
          </cell>
          <cell r="E226">
            <v>25</v>
          </cell>
          <cell r="I226">
            <v>43.638500000000001</v>
          </cell>
          <cell r="J226">
            <v>47.347772499999998</v>
          </cell>
          <cell r="K226">
            <v>59.184715624999995</v>
          </cell>
          <cell r="L226">
            <v>1</v>
          </cell>
          <cell r="M226">
            <v>62.299700657894732</v>
          </cell>
          <cell r="N226">
            <v>65.414685690789469</v>
          </cell>
          <cell r="O226">
            <v>73.293765479876157</v>
          </cell>
          <cell r="P226">
            <v>80.623142027863778</v>
          </cell>
          <cell r="Q226">
            <v>2</v>
          </cell>
          <cell r="R226">
            <v>86.227959388089602</v>
          </cell>
        </row>
        <row r="227">
          <cell r="A227" t="str">
            <v>D00006</v>
          </cell>
          <cell r="C227" t="str">
            <v>BM</v>
          </cell>
          <cell r="D227" t="str">
            <v>blue max</v>
          </cell>
          <cell r="E227">
            <v>25</v>
          </cell>
          <cell r="I227">
            <v>31.086250000000003</v>
          </cell>
          <cell r="J227">
            <v>33.728581250000005</v>
          </cell>
          <cell r="K227">
            <v>42.160726562500003</v>
          </cell>
          <cell r="L227">
            <v>4</v>
          </cell>
          <cell r="M227">
            <v>52.700908203125003</v>
          </cell>
          <cell r="N227">
            <v>55.335953613281255</v>
          </cell>
          <cell r="O227">
            <v>62.001068474264713</v>
          </cell>
          <cell r="P227">
            <v>68.201175321691196</v>
          </cell>
          <cell r="Q227">
            <v>5</v>
          </cell>
          <cell r="R227">
            <v>88.572954963235304</v>
          </cell>
        </row>
        <row r="228">
          <cell r="A228" t="str">
            <v>D00007</v>
          </cell>
          <cell r="C228" t="str">
            <v>Dairy</v>
          </cell>
          <cell r="D228" t="str">
            <v>Alka DX,  Detergente alcalino clorado liquido 30 kilos</v>
          </cell>
          <cell r="E228">
            <v>30</v>
          </cell>
          <cell r="I228">
            <v>25.7</v>
          </cell>
          <cell r="J228">
            <v>27.884499999999999</v>
          </cell>
          <cell r="K228">
            <v>34.855624999999996</v>
          </cell>
          <cell r="L228">
            <v>1</v>
          </cell>
          <cell r="M228">
            <v>36.690131578947366</v>
          </cell>
          <cell r="N228">
            <v>38.524638157894735</v>
          </cell>
          <cell r="O228">
            <v>43.164860681114547</v>
          </cell>
          <cell r="P228">
            <v>47.481346749226006</v>
          </cell>
          <cell r="Q228">
            <v>3</v>
          </cell>
          <cell r="R228">
            <v>53.95607585139318</v>
          </cell>
        </row>
        <row r="229">
          <cell r="A229" t="str">
            <v>D00008</v>
          </cell>
          <cell r="C229" t="str">
            <v>Dairy</v>
          </cell>
          <cell r="D229" t="str">
            <v>Super DX, Detergente alcalino clorado en polvo x 10 kilos</v>
          </cell>
          <cell r="E229">
            <v>10</v>
          </cell>
          <cell r="I229">
            <v>23.419338677354709</v>
          </cell>
          <cell r="J229">
            <v>25.409982464929858</v>
          </cell>
          <cell r="K229">
            <v>31.762478081162321</v>
          </cell>
          <cell r="L229">
            <v>3</v>
          </cell>
          <cell r="M229">
            <v>37.36762127195567</v>
          </cell>
          <cell r="N229">
            <v>39.236002335553458</v>
          </cell>
          <cell r="O229">
            <v>43.961907378771379</v>
          </cell>
          <cell r="P229">
            <v>48.35809811664852</v>
          </cell>
          <cell r="Q229">
            <v>3</v>
          </cell>
          <cell r="R229">
            <v>54.952384223464222</v>
          </cell>
        </row>
        <row r="230">
          <cell r="A230" t="str">
            <v>D00009</v>
          </cell>
          <cell r="C230" t="str">
            <v>Dairy</v>
          </cell>
          <cell r="D230" t="e">
            <v>#N/A</v>
          </cell>
          <cell r="E230" t="e">
            <v>#N/A</v>
          </cell>
          <cell r="I230" t="e">
            <v>#REF!</v>
          </cell>
          <cell r="J230" t="e">
            <v>#REF!</v>
          </cell>
          <cell r="K230" t="e">
            <v>#REF!</v>
          </cell>
          <cell r="L230">
            <v>2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3</v>
          </cell>
          <cell r="R230" t="e">
            <v>#REF!</v>
          </cell>
        </row>
        <row r="231">
          <cell r="A231" t="str">
            <v>D00010</v>
          </cell>
          <cell r="C231" t="str">
            <v>BM</v>
          </cell>
          <cell r="D231" t="str">
            <v>PREVIUS (sellador 2500) X 25 LTS</v>
          </cell>
          <cell r="E231">
            <v>25</v>
          </cell>
          <cell r="I231">
            <v>25.81925</v>
          </cell>
          <cell r="J231">
            <v>28.013886249999999</v>
          </cell>
          <cell r="K231">
            <v>35.017357812499995</v>
          </cell>
          <cell r="L231">
            <v>2</v>
          </cell>
          <cell r="M231">
            <v>38.908175347222219</v>
          </cell>
          <cell r="N231">
            <v>40.853584114583334</v>
          </cell>
          <cell r="O231">
            <v>45.774323937908491</v>
          </cell>
          <cell r="P231">
            <v>50.351756331699342</v>
          </cell>
          <cell r="Q231">
            <v>5</v>
          </cell>
          <cell r="R231">
            <v>65.391891339869275</v>
          </cell>
        </row>
        <row r="232">
          <cell r="A232" t="str">
            <v>D00011</v>
          </cell>
          <cell r="C232" t="str">
            <v>BM</v>
          </cell>
          <cell r="D232" t="str">
            <v>Udder Blend B5 (sellador barrera 5000 x 25 lts)</v>
          </cell>
          <cell r="E232">
            <v>25</v>
          </cell>
          <cell r="I232">
            <v>45.138500000000001</v>
          </cell>
          <cell r="J232">
            <v>48.975272499999996</v>
          </cell>
          <cell r="K232">
            <v>61.219090624999993</v>
          </cell>
          <cell r="L232">
            <v>1</v>
          </cell>
          <cell r="M232">
            <v>64.441148026315787</v>
          </cell>
          <cell r="N232">
            <v>67.663205427631581</v>
          </cell>
          <cell r="O232">
            <v>75.813115325077405</v>
          </cell>
          <cell r="P232">
            <v>83.394426857585145</v>
          </cell>
          <cell r="Q232">
            <v>2</v>
          </cell>
          <cell r="R232">
            <v>89.191900382444004</v>
          </cell>
        </row>
        <row r="233">
          <cell r="A233" t="str">
            <v>D00012</v>
          </cell>
          <cell r="C233" t="str">
            <v>BM</v>
          </cell>
          <cell r="D233" t="str">
            <v>UDDER BLEND B10 (sellador Barrera 10000 X 25 LTS)</v>
          </cell>
          <cell r="E233">
            <v>25</v>
          </cell>
          <cell r="I233">
            <v>80.777000000000001</v>
          </cell>
          <cell r="J233">
            <v>87.643045000000001</v>
          </cell>
          <cell r="K233">
            <v>109.55380624999999</v>
          </cell>
          <cell r="L233">
            <v>1</v>
          </cell>
          <cell r="M233">
            <v>115.31979605263157</v>
          </cell>
          <cell r="N233">
            <v>121.08578585526315</v>
          </cell>
          <cell r="O233">
            <v>135.67034829721362</v>
          </cell>
          <cell r="P233">
            <v>149.23738312693499</v>
          </cell>
          <cell r="Q233">
            <v>2</v>
          </cell>
          <cell r="R233">
            <v>159.61217446731015</v>
          </cell>
        </row>
        <row r="234">
          <cell r="A234" t="str">
            <v>D00013</v>
          </cell>
          <cell r="C234" t="str">
            <v>BM</v>
          </cell>
          <cell r="D234" t="str">
            <v>Blue Max no drip</v>
          </cell>
          <cell r="E234">
            <v>25</v>
          </cell>
          <cell r="I234">
            <v>32.586250000000007</v>
          </cell>
          <cell r="J234">
            <v>35.35608125000001</v>
          </cell>
          <cell r="K234">
            <v>44.195101562500007</v>
          </cell>
          <cell r="L234">
            <v>4</v>
          </cell>
          <cell r="M234">
            <v>55.243876953125003</v>
          </cell>
          <cell r="N234">
            <v>58.006070800781252</v>
          </cell>
          <cell r="O234">
            <v>64.992796415441177</v>
          </cell>
          <cell r="P234">
            <v>71.492076056985297</v>
          </cell>
          <cell r="Q234">
            <v>5</v>
          </cell>
          <cell r="R234">
            <v>92.846852022058826</v>
          </cell>
        </row>
        <row r="235">
          <cell r="A235" t="str">
            <v>D00014</v>
          </cell>
          <cell r="C235" t="str">
            <v>BM</v>
          </cell>
          <cell r="D235" t="str">
            <v>Blue Max Barrier</v>
          </cell>
          <cell r="E235">
            <v>25</v>
          </cell>
          <cell r="I235">
            <v>34.586250000000007</v>
          </cell>
          <cell r="J235">
            <v>37.526081250000004</v>
          </cell>
          <cell r="K235">
            <v>46.907601562500005</v>
          </cell>
          <cell r="L235">
            <v>4</v>
          </cell>
          <cell r="M235">
            <v>58.634501953125003</v>
          </cell>
          <cell r="N235">
            <v>61.566227050781258</v>
          </cell>
          <cell r="O235">
            <v>68.981767003676481</v>
          </cell>
          <cell r="P235">
            <v>75.879943704044138</v>
          </cell>
          <cell r="Q235">
            <v>5</v>
          </cell>
          <cell r="R235">
            <v>98.54538143382355</v>
          </cell>
        </row>
        <row r="236">
          <cell r="A236" t="str">
            <v>D00015</v>
          </cell>
          <cell r="C236" t="str">
            <v>GRUPO JAC</v>
          </cell>
          <cell r="D236" t="str">
            <v xml:space="preserve">JABON EN POLVO TIPO SKIP       </v>
          </cell>
          <cell r="E236">
            <v>10</v>
          </cell>
          <cell r="I236">
            <v>59</v>
          </cell>
          <cell r="J236">
            <v>0.62759803921568624</v>
          </cell>
          <cell r="K236">
            <v>0.78449754901960778</v>
          </cell>
          <cell r="L236">
            <v>1</v>
          </cell>
          <cell r="M236">
            <v>0.82578689370485037</v>
          </cell>
          <cell r="N236">
            <v>0.86707623839009296</v>
          </cell>
          <cell r="O236">
            <v>0.97151399259394167</v>
          </cell>
          <cell r="P236">
            <v>1.068665391853336</v>
          </cell>
          <cell r="Q236">
            <v>3</v>
          </cell>
          <cell r="R236">
            <v>1.2143924907424271</v>
          </cell>
        </row>
        <row r="237">
          <cell r="A237" t="str">
            <v>D00016</v>
          </cell>
          <cell r="C237" t="str">
            <v>GRUPO JAC</v>
          </cell>
          <cell r="D237" t="str">
            <v xml:space="preserve">JABON EN POLVO TIPO ALA       </v>
          </cell>
          <cell r="E237">
            <v>10</v>
          </cell>
          <cell r="I237">
            <v>47</v>
          </cell>
          <cell r="J237">
            <v>0.49995098039215685</v>
          </cell>
          <cell r="K237">
            <v>0.62493872549019602</v>
          </cell>
          <cell r="L237">
            <v>2</v>
          </cell>
          <cell r="M237">
            <v>0.69437636165577332</v>
          </cell>
          <cell r="N237">
            <v>0.72909517973856197</v>
          </cell>
          <cell r="O237">
            <v>0.81691336665385095</v>
          </cell>
          <cell r="P237">
            <v>0.89860470331923614</v>
          </cell>
          <cell r="Q237">
            <v>3</v>
          </cell>
          <cell r="R237">
            <v>1.0211417083173135</v>
          </cell>
        </row>
        <row r="238">
          <cell r="A238" t="str">
            <v>D00017</v>
          </cell>
          <cell r="C238" t="str">
            <v>GRUPO JAC</v>
          </cell>
          <cell r="D238" t="str">
            <v xml:space="preserve">JABON LIQUIDO PARA ROPA      </v>
          </cell>
          <cell r="E238">
            <v>4</v>
          </cell>
          <cell r="I238">
            <v>16</v>
          </cell>
          <cell r="J238">
            <v>0.17019607843137255</v>
          </cell>
          <cell r="K238">
            <v>0.21274509803921568</v>
          </cell>
          <cell r="L238">
            <v>2</v>
          </cell>
          <cell r="M238">
            <v>0.23638344226579519</v>
          </cell>
          <cell r="N238">
            <v>0.24820261437908497</v>
          </cell>
          <cell r="O238">
            <v>0.27809816737152376</v>
          </cell>
          <cell r="P238">
            <v>0.30590798410867615</v>
          </cell>
          <cell r="Q238">
            <v>3</v>
          </cell>
          <cell r="R238">
            <v>0.34762270921440469</v>
          </cell>
        </row>
        <row r="239">
          <cell r="A239" t="str">
            <v>D00018</v>
          </cell>
          <cell r="C239" t="str">
            <v>GRUPO JAC</v>
          </cell>
          <cell r="D239" t="str">
            <v>ANTIGRASA</v>
          </cell>
          <cell r="E239">
            <v>4</v>
          </cell>
          <cell r="I239">
            <v>12</v>
          </cell>
          <cell r="J239">
            <v>0.12764705882352942</v>
          </cell>
          <cell r="K239">
            <v>0.15955882352941175</v>
          </cell>
          <cell r="L239">
            <v>2</v>
          </cell>
          <cell r="M239">
            <v>0.17728758169934639</v>
          </cell>
          <cell r="N239">
            <v>0.1861519607843137</v>
          </cell>
          <cell r="O239">
            <v>0.20857362552864281</v>
          </cell>
          <cell r="P239">
            <v>0.22943098808150711</v>
          </cell>
          <cell r="Q239">
            <v>3</v>
          </cell>
          <cell r="R239">
            <v>0.26071703191080348</v>
          </cell>
        </row>
        <row r="240">
          <cell r="A240" t="str">
            <v>D00019</v>
          </cell>
          <cell r="C240" t="str">
            <v>GRUPO JAC</v>
          </cell>
          <cell r="D240" t="str">
            <v xml:space="preserve">JABON PARA MANOS C/ DESINFESTANTE    </v>
          </cell>
          <cell r="E240">
            <v>4</v>
          </cell>
          <cell r="I240">
            <v>17</v>
          </cell>
          <cell r="J240">
            <v>0.18083333333333335</v>
          </cell>
          <cell r="K240">
            <v>0.22604166666666667</v>
          </cell>
          <cell r="L240">
            <v>2</v>
          </cell>
          <cell r="M240">
            <v>0.25115740740740738</v>
          </cell>
          <cell r="N240">
            <v>0.26371527777777776</v>
          </cell>
          <cell r="O240">
            <v>0.295479302832244</v>
          </cell>
          <cell r="P240">
            <v>0.32502723311546844</v>
          </cell>
          <cell r="Q240">
            <v>3</v>
          </cell>
          <cell r="R240">
            <v>0.36934912854030499</v>
          </cell>
        </row>
        <row r="241">
          <cell r="A241" t="str">
            <v>D00020</v>
          </cell>
          <cell r="C241" t="str">
            <v>GRUPO JAC</v>
          </cell>
          <cell r="D241" t="str">
            <v xml:space="preserve">SUAVISANTE </v>
          </cell>
          <cell r="E241">
            <v>4</v>
          </cell>
          <cell r="I241">
            <v>6.5</v>
          </cell>
          <cell r="J241">
            <v>6.9142156862745094E-2</v>
          </cell>
          <cell r="K241">
            <v>8.6427696078431357E-2</v>
          </cell>
          <cell r="L241">
            <v>2</v>
          </cell>
          <cell r="M241">
            <v>9.6030773420479276E-2</v>
          </cell>
          <cell r="N241">
            <v>0.10083231209150324</v>
          </cell>
          <cell r="O241">
            <v>0.11297738049468151</v>
          </cell>
          <cell r="P241">
            <v>0.12427511854414967</v>
          </cell>
          <cell r="Q241">
            <v>3</v>
          </cell>
          <cell r="R241">
            <v>0.14122172561835186</v>
          </cell>
        </row>
        <row r="242">
          <cell r="A242" t="str">
            <v>D00021</v>
          </cell>
          <cell r="C242" t="str">
            <v>GRUPO JAC</v>
          </cell>
          <cell r="D242" t="str">
            <v>LAVAVAJILLA</v>
          </cell>
          <cell r="E242">
            <v>4</v>
          </cell>
          <cell r="I242">
            <v>7</v>
          </cell>
          <cell r="J242">
            <v>7.4460784313725492E-2</v>
          </cell>
          <cell r="K242">
            <v>9.3075980392156865E-2</v>
          </cell>
          <cell r="L242">
            <v>2</v>
          </cell>
          <cell r="M242">
            <v>0.1034177559912854</v>
          </cell>
          <cell r="N242">
            <v>0.10858864379084968</v>
          </cell>
          <cell r="O242">
            <v>0.12166794822504165</v>
          </cell>
          <cell r="P242">
            <v>0.13383474304754583</v>
          </cell>
          <cell r="Q242">
            <v>3</v>
          </cell>
          <cell r="R242">
            <v>0.15208493528130204</v>
          </cell>
        </row>
        <row r="243">
          <cell r="A243" t="str">
            <v>D00022</v>
          </cell>
          <cell r="C243" t="str">
            <v>GRUPO JAC</v>
          </cell>
          <cell r="D243" t="str">
            <v xml:space="preserve">LIMPIAVIDRIOS    </v>
          </cell>
          <cell r="E243">
            <v>4</v>
          </cell>
          <cell r="I243">
            <v>8.5</v>
          </cell>
          <cell r="J243">
            <v>9.0416666666666673E-2</v>
          </cell>
          <cell r="K243">
            <v>0.11302083333333333</v>
          </cell>
          <cell r="L243">
            <v>2</v>
          </cell>
          <cell r="M243">
            <v>0.12557870370370369</v>
          </cell>
          <cell r="N243">
            <v>0.13185763888888888</v>
          </cell>
          <cell r="O243">
            <v>0.147739651416122</v>
          </cell>
          <cell r="P243">
            <v>0.16251361655773422</v>
          </cell>
          <cell r="Q243">
            <v>3</v>
          </cell>
          <cell r="R243">
            <v>0.1846745642701525</v>
          </cell>
        </row>
        <row r="244">
          <cell r="A244" t="str">
            <v>D00023</v>
          </cell>
          <cell r="C244" t="str">
            <v>GRUPO JAC</v>
          </cell>
          <cell r="D244" t="str">
            <v xml:space="preserve">DESODORANTE DE PISO             </v>
          </cell>
          <cell r="E244">
            <v>4</v>
          </cell>
          <cell r="I244">
            <v>5.5</v>
          </cell>
          <cell r="J244">
            <v>5.8504901960784304E-2</v>
          </cell>
          <cell r="K244">
            <v>7.3131127450980382E-2</v>
          </cell>
          <cell r="L244">
            <v>2</v>
          </cell>
          <cell r="M244">
            <v>8.1256808278867096E-2</v>
          </cell>
          <cell r="N244">
            <v>8.531964869281046E-2</v>
          </cell>
          <cell r="O244">
            <v>9.5596245033961288E-2</v>
          </cell>
          <cell r="P244">
            <v>0.10515586953735742</v>
          </cell>
          <cell r="Q244">
            <v>3</v>
          </cell>
          <cell r="R244">
            <v>0.1194953062924516</v>
          </cell>
        </row>
        <row r="245">
          <cell r="A245" t="str">
            <v>D00024</v>
          </cell>
          <cell r="C245" t="str">
            <v>GRUPO JAC</v>
          </cell>
          <cell r="D245" t="str">
            <v>LAVAVAJILLAS CONCENTRADO</v>
          </cell>
          <cell r="E245">
            <v>4</v>
          </cell>
          <cell r="I245">
            <v>16</v>
          </cell>
          <cell r="J245">
            <v>0.17019607843137255</v>
          </cell>
          <cell r="K245">
            <v>0.21274509803921568</v>
          </cell>
          <cell r="L245">
            <v>2</v>
          </cell>
          <cell r="M245">
            <v>0.23638344226579519</v>
          </cell>
          <cell r="N245">
            <v>0.24820261437908497</v>
          </cell>
          <cell r="O245">
            <v>0.27809816737152376</v>
          </cell>
          <cell r="P245">
            <v>0.30590798410867615</v>
          </cell>
          <cell r="Q245">
            <v>3</v>
          </cell>
          <cell r="R245">
            <v>0.34762270921440469</v>
          </cell>
        </row>
        <row r="246">
          <cell r="A246" t="str">
            <v>D00025</v>
          </cell>
          <cell r="C246" t="str">
            <v>DX</v>
          </cell>
          <cell r="D246" t="str">
            <v>Udder Blend G5 x 200</v>
          </cell>
          <cell r="E246">
            <v>200</v>
          </cell>
          <cell r="I246">
            <v>316.358</v>
          </cell>
          <cell r="J246">
            <v>343.24842999999998</v>
          </cell>
          <cell r="K246">
            <v>429.06053749999995</v>
          </cell>
          <cell r="L246">
            <v>1</v>
          </cell>
          <cell r="M246">
            <v>451.64267105263156</v>
          </cell>
          <cell r="N246">
            <v>474.22480460526316</v>
          </cell>
          <cell r="O246">
            <v>531.34431888544896</v>
          </cell>
          <cell r="P246">
            <v>584.47875077399385</v>
          </cell>
          <cell r="Q246">
            <v>2</v>
          </cell>
          <cell r="R246">
            <v>625.11096339464586</v>
          </cell>
        </row>
        <row r="247">
          <cell r="A247" t="str">
            <v>D00026</v>
          </cell>
          <cell r="C247" t="str">
            <v>DX</v>
          </cell>
          <cell r="D247" t="str">
            <v>Udder Blend G5 x 1000</v>
          </cell>
          <cell r="E247">
            <v>1000</v>
          </cell>
          <cell r="I247">
            <v>1540.79</v>
          </cell>
          <cell r="J247">
            <v>1671.7571499999999</v>
          </cell>
          <cell r="K247">
            <v>2089.6964374999998</v>
          </cell>
          <cell r="L247">
            <v>1</v>
          </cell>
          <cell r="M247">
            <v>2199.6804605263155</v>
          </cell>
          <cell r="N247">
            <v>2309.6644835526313</v>
          </cell>
          <cell r="O247">
            <v>2587.8593653250773</v>
          </cell>
          <cell r="P247">
            <v>2846.6453018575853</v>
          </cell>
          <cell r="Q247">
            <v>2</v>
          </cell>
          <cell r="R247">
            <v>3044.5404297942086</v>
          </cell>
        </row>
        <row r="248">
          <cell r="A248" t="str">
            <v>D00027</v>
          </cell>
          <cell r="C248" t="str">
            <v>DX</v>
          </cell>
          <cell r="D248" t="str">
            <v>Udder Blend B5 (sellador barrera 5000 x 200 lts)</v>
          </cell>
          <cell r="E248">
            <v>200</v>
          </cell>
          <cell r="I248">
            <v>318.358</v>
          </cell>
          <cell r="J248">
            <v>345.41843</v>
          </cell>
          <cell r="K248">
            <v>431.77303749999999</v>
          </cell>
          <cell r="L248">
            <v>1</v>
          </cell>
          <cell r="M248">
            <v>454.4979342105263</v>
          </cell>
          <cell r="N248">
            <v>477.2228309210526</v>
          </cell>
          <cell r="O248">
            <v>534.70345201238388</v>
          </cell>
          <cell r="P248">
            <v>588.17379721362227</v>
          </cell>
          <cell r="Q248">
            <v>2</v>
          </cell>
          <cell r="R248">
            <v>629.06288472045162</v>
          </cell>
        </row>
        <row r="249">
          <cell r="A249" t="str">
            <v>D00028</v>
          </cell>
          <cell r="C249" t="str">
            <v>DX</v>
          </cell>
          <cell r="D249" t="str">
            <v>Udder Blend B5 (sellador Barrera 5000 x 1000 LTS)</v>
          </cell>
          <cell r="E249">
            <v>1000</v>
          </cell>
          <cell r="I249">
            <v>1550.79</v>
          </cell>
          <cell r="J249">
            <v>1682.6071499999998</v>
          </cell>
          <cell r="K249">
            <v>2103.2589374999998</v>
          </cell>
          <cell r="L249">
            <v>1</v>
          </cell>
          <cell r="M249">
            <v>2213.9567763157893</v>
          </cell>
          <cell r="N249">
            <v>2324.6546151315788</v>
          </cell>
          <cell r="O249">
            <v>2604.6550309597524</v>
          </cell>
          <cell r="P249">
            <v>2865.1205340557281</v>
          </cell>
          <cell r="Q249">
            <v>2</v>
          </cell>
          <cell r="R249">
            <v>3064.300036423238</v>
          </cell>
        </row>
        <row r="250">
          <cell r="A250" t="str">
            <v>D00029</v>
          </cell>
          <cell r="C250" t="str">
            <v>DX</v>
          </cell>
          <cell r="D250" t="str">
            <v>UDDER BLEND B10 (sellador Barrera 10000 X 200 LTS)</v>
          </cell>
          <cell r="E250">
            <v>200</v>
          </cell>
          <cell r="I250">
            <v>597.46600000000001</v>
          </cell>
          <cell r="J250">
            <v>648.25060999999994</v>
          </cell>
          <cell r="K250">
            <v>810.31326249999984</v>
          </cell>
          <cell r="L250">
            <v>1</v>
          </cell>
          <cell r="M250">
            <v>852.96132894736832</v>
          </cell>
          <cell r="N250">
            <v>895.60939539473679</v>
          </cell>
          <cell r="O250">
            <v>1003.4839164086686</v>
          </cell>
          <cell r="P250">
            <v>1103.8323080495356</v>
          </cell>
          <cell r="Q250">
            <v>2</v>
          </cell>
          <cell r="R250">
            <v>1180.5693134219632</v>
          </cell>
        </row>
        <row r="251">
          <cell r="A251" t="str">
            <v>D00030</v>
          </cell>
          <cell r="C251" t="str">
            <v>DX</v>
          </cell>
          <cell r="D251" t="str">
            <v>UDDER BLEND B10 (SELLADOR BARRERA 10000 X 1000 LTS</v>
          </cell>
          <cell r="E251">
            <v>1000</v>
          </cell>
          <cell r="I251">
            <v>2946.33</v>
          </cell>
          <cell r="J251">
            <v>3196.7680499999997</v>
          </cell>
          <cell r="K251">
            <v>3995.9600624999994</v>
          </cell>
          <cell r="L251">
            <v>1</v>
          </cell>
          <cell r="M251">
            <v>4206.2737499999994</v>
          </cell>
          <cell r="N251">
            <v>4416.5874374999994</v>
          </cell>
          <cell r="O251">
            <v>4948.5573529411758</v>
          </cell>
          <cell r="P251">
            <v>5443.4130882352938</v>
          </cell>
          <cell r="Q251">
            <v>2</v>
          </cell>
          <cell r="R251">
            <v>5821.8321799307951</v>
          </cell>
        </row>
        <row r="252">
          <cell r="A252" t="str">
            <v>D00031</v>
          </cell>
          <cell r="C252" t="str">
            <v>BOUMATIC</v>
          </cell>
          <cell r="D252" t="e">
            <v>#N/A</v>
          </cell>
          <cell r="E252" t="e">
            <v>#N/A</v>
          </cell>
          <cell r="F252">
            <v>259</v>
          </cell>
          <cell r="G252">
            <v>349.65000000000003</v>
          </cell>
          <cell r="H252">
            <v>1.1499999999999999</v>
          </cell>
          <cell r="I252">
            <v>402.09750000000003</v>
          </cell>
          <cell r="J252">
            <v>436.27578750000004</v>
          </cell>
          <cell r="K252">
            <v>545.34473437500003</v>
          </cell>
          <cell r="L252">
            <v>2</v>
          </cell>
          <cell r="M252">
            <v>605.93859375</v>
          </cell>
          <cell r="N252">
            <v>636.23552343749998</v>
          </cell>
          <cell r="O252">
            <v>712.86893382352946</v>
          </cell>
          <cell r="P252">
            <v>784.15582720588247</v>
          </cell>
          <cell r="Q252">
            <v>5</v>
          </cell>
          <cell r="R252">
            <v>1018.3841911764707</v>
          </cell>
        </row>
        <row r="253">
          <cell r="A253" t="str">
            <v>D00032</v>
          </cell>
          <cell r="C253" t="str">
            <v>BOUMATIC</v>
          </cell>
          <cell r="D253" t="e">
            <v>#N/A</v>
          </cell>
          <cell r="E253" t="e">
            <v>#N/A</v>
          </cell>
          <cell r="F253">
            <v>1280</v>
          </cell>
          <cell r="G253">
            <v>1728</v>
          </cell>
          <cell r="H253">
            <v>1.1499999999999999</v>
          </cell>
          <cell r="I253">
            <v>1987.1999999999998</v>
          </cell>
          <cell r="J253">
            <v>2156.1119999999996</v>
          </cell>
          <cell r="K253">
            <v>2695.1399999999994</v>
          </cell>
          <cell r="L253">
            <v>2</v>
          </cell>
          <cell r="M253">
            <v>2994.5999999999995</v>
          </cell>
          <cell r="N253">
            <v>3144.3299999999995</v>
          </cell>
          <cell r="O253">
            <v>3523.0588235294113</v>
          </cell>
          <cell r="P253">
            <v>3875.3647058823526</v>
          </cell>
          <cell r="Q253">
            <v>5</v>
          </cell>
          <cell r="R253">
            <v>5032.9411764705874</v>
          </cell>
        </row>
        <row r="254">
          <cell r="A254" t="str">
            <v>D00033</v>
          </cell>
          <cell r="C254" t="str">
            <v>DX</v>
          </cell>
          <cell r="D254" t="str">
            <v>ACIDO DESINCRUSTANTE DX X 260 kilos</v>
          </cell>
          <cell r="E254">
            <v>260</v>
          </cell>
          <cell r="I254">
            <v>135.75</v>
          </cell>
          <cell r="J254">
            <v>147.28874999999999</v>
          </cell>
          <cell r="K254">
            <v>184.11093749999998</v>
          </cell>
          <cell r="L254">
            <v>3</v>
          </cell>
          <cell r="M254">
            <v>216.60110294117644</v>
          </cell>
          <cell r="N254">
            <v>227.43115808823526</v>
          </cell>
          <cell r="O254">
            <v>254.82482698961934</v>
          </cell>
          <cell r="P254">
            <v>280.30730968858131</v>
          </cell>
          <cell r="Q254">
            <v>4</v>
          </cell>
          <cell r="R254">
            <v>339.76643598615914</v>
          </cell>
        </row>
        <row r="255">
          <cell r="A255" t="str">
            <v>D00034</v>
          </cell>
          <cell r="C255" t="str">
            <v>DX</v>
          </cell>
          <cell r="D255" t="str">
            <v>ACIDO DESINCRUSTANTE DX  X 1300 kilos</v>
          </cell>
          <cell r="E255">
            <v>1300</v>
          </cell>
          <cell r="I255">
            <v>637.75</v>
          </cell>
          <cell r="J255">
            <v>691.95875000000001</v>
          </cell>
          <cell r="K255">
            <v>864.94843749999995</v>
          </cell>
          <cell r="L255">
            <v>3</v>
          </cell>
          <cell r="M255">
            <v>1017.5863970588235</v>
          </cell>
          <cell r="N255">
            <v>1068.4657169117647</v>
          </cell>
          <cell r="O255">
            <v>1197.1604671280277</v>
          </cell>
          <cell r="P255">
            <v>1316.8765138408305</v>
          </cell>
          <cell r="Q255">
            <v>5</v>
          </cell>
          <cell r="R255">
            <v>1710.2292387543253</v>
          </cell>
        </row>
        <row r="256">
          <cell r="A256" t="str">
            <v>D00035</v>
          </cell>
          <cell r="D256" t="str">
            <v>Sellador 5000 ppm DX no drip x 200 kgrs</v>
          </cell>
          <cell r="E256">
            <v>200</v>
          </cell>
          <cell r="I256">
            <v>306.358</v>
          </cell>
          <cell r="J256">
            <v>332.39843000000002</v>
          </cell>
          <cell r="K256">
            <v>415.49803750000001</v>
          </cell>
          <cell r="L256">
            <v>1</v>
          </cell>
          <cell r="M256">
            <v>437.36635526315791</v>
          </cell>
          <cell r="N256">
            <v>459.23467302631582</v>
          </cell>
          <cell r="O256">
            <v>514.54865325077401</v>
          </cell>
          <cell r="P256">
            <v>566.00351857585144</v>
          </cell>
          <cell r="Q256">
            <v>3</v>
          </cell>
          <cell r="R256">
            <v>643.18581656346748</v>
          </cell>
        </row>
        <row r="257">
          <cell r="A257" t="str">
            <v>D00036</v>
          </cell>
          <cell r="D257" t="str">
            <v>Sellador 5000 ppm DX no drip x 1000 kgrs</v>
          </cell>
          <cell r="E257">
            <v>1000</v>
          </cell>
          <cell r="I257">
            <v>1490.79</v>
          </cell>
          <cell r="J257">
            <v>1617.5071499999999</v>
          </cell>
          <cell r="K257">
            <v>2021.8839374999998</v>
          </cell>
          <cell r="L257">
            <v>1</v>
          </cell>
          <cell r="M257">
            <v>2128.2988815789472</v>
          </cell>
          <cell r="N257">
            <v>2234.7138256578946</v>
          </cell>
          <cell r="O257">
            <v>2503.8810371517025</v>
          </cell>
          <cell r="P257">
            <v>2754.2691408668729</v>
          </cell>
          <cell r="Q257">
            <v>3</v>
          </cell>
          <cell r="R257">
            <v>3129.8512964396277</v>
          </cell>
        </row>
        <row r="258">
          <cell r="A258" t="str">
            <v>D00037</v>
          </cell>
          <cell r="C258" t="str">
            <v>BOUMATIC</v>
          </cell>
          <cell r="D258" t="str">
            <v>BLUE MAX X 200 LTS</v>
          </cell>
          <cell r="E258">
            <v>200</v>
          </cell>
          <cell r="I258">
            <v>215.94000000000003</v>
          </cell>
          <cell r="J258">
            <v>234.29490000000001</v>
          </cell>
          <cell r="K258">
            <v>292.86862500000001</v>
          </cell>
          <cell r="L258">
            <v>4</v>
          </cell>
          <cell r="M258">
            <v>366.08578124999997</v>
          </cell>
          <cell r="N258">
            <v>384.39007031249997</v>
          </cell>
          <cell r="O258">
            <v>430.68915441176466</v>
          </cell>
          <cell r="P258">
            <v>473.75806985294116</v>
          </cell>
          <cell r="Q258">
            <v>5</v>
          </cell>
          <cell r="R258">
            <v>615.27022058823525</v>
          </cell>
        </row>
        <row r="259">
          <cell r="A259" t="str">
            <v>D00038</v>
          </cell>
          <cell r="C259" t="str">
            <v>BOUMATIC</v>
          </cell>
          <cell r="D259" t="str">
            <v>BLUE MAX X 1000 LTS</v>
          </cell>
          <cell r="E259">
            <v>1000</v>
          </cell>
          <cell r="I259">
            <v>1019.2</v>
          </cell>
          <cell r="J259">
            <v>1105.8320000000001</v>
          </cell>
          <cell r="K259">
            <v>1382.29</v>
          </cell>
          <cell r="L259">
            <v>4</v>
          </cell>
          <cell r="M259">
            <v>1727.8625</v>
          </cell>
          <cell r="N259">
            <v>1814.255625</v>
          </cell>
          <cell r="O259">
            <v>2032.7794117647059</v>
          </cell>
          <cell r="P259">
            <v>2236.0573529411768</v>
          </cell>
          <cell r="Q259">
            <v>5</v>
          </cell>
          <cell r="R259">
            <v>2903.9705882352941</v>
          </cell>
        </row>
        <row r="260">
          <cell r="A260" t="str">
            <v>D00039</v>
          </cell>
          <cell r="C260" t="str">
            <v>DX</v>
          </cell>
          <cell r="D260" t="str">
            <v>PREVIUS (sellador 2500) X 200 LTS</v>
          </cell>
          <cell r="E260">
            <v>200</v>
          </cell>
          <cell r="I260">
            <v>173.804</v>
          </cell>
          <cell r="J260">
            <v>188.57733999999999</v>
          </cell>
          <cell r="K260">
            <v>235.72167499999998</v>
          </cell>
          <cell r="L260">
            <v>2</v>
          </cell>
          <cell r="M260">
            <v>261.91297222222221</v>
          </cell>
          <cell r="N260">
            <v>275.00862083333334</v>
          </cell>
          <cell r="O260">
            <v>308.132908496732</v>
          </cell>
          <cell r="P260">
            <v>338.94619934640525</v>
          </cell>
          <cell r="Q260">
            <v>5</v>
          </cell>
          <cell r="R260">
            <v>440.18986928104573</v>
          </cell>
        </row>
        <row r="261">
          <cell r="A261" t="str">
            <v>D00040</v>
          </cell>
          <cell r="C261" t="str">
            <v>DX</v>
          </cell>
          <cell r="D261" t="str">
            <v>PREVIUS (sellador 2500) X 1000 LTS</v>
          </cell>
          <cell r="E261">
            <v>1000</v>
          </cell>
          <cell r="I261">
            <v>828.02</v>
          </cell>
          <cell r="J261">
            <v>898.40170000000001</v>
          </cell>
          <cell r="K261">
            <v>1123.002125</v>
          </cell>
          <cell r="L261">
            <v>2</v>
          </cell>
          <cell r="M261">
            <v>1247.7801388888888</v>
          </cell>
          <cell r="N261">
            <v>1310.1691458333332</v>
          </cell>
          <cell r="O261">
            <v>1467.9766339869282</v>
          </cell>
          <cell r="P261">
            <v>1614.7742973856211</v>
          </cell>
          <cell r="Q261">
            <v>5</v>
          </cell>
          <cell r="R261">
            <v>2097.1094771241833</v>
          </cell>
        </row>
        <row r="262">
          <cell r="A262" t="str">
            <v>D00041</v>
          </cell>
          <cell r="C262" t="str">
            <v>DX</v>
          </cell>
          <cell r="D262" t="str">
            <v>BLUE MAX Supreme (no drip) X 200 LTS</v>
          </cell>
          <cell r="E262">
            <v>200</v>
          </cell>
          <cell r="I262">
            <v>217.94000000000003</v>
          </cell>
          <cell r="J262">
            <v>236.46490000000003</v>
          </cell>
          <cell r="K262">
            <v>295.58112500000004</v>
          </cell>
          <cell r="L262">
            <v>4</v>
          </cell>
          <cell r="M262">
            <v>369.47640625000003</v>
          </cell>
          <cell r="N262">
            <v>387.95022656250006</v>
          </cell>
          <cell r="O262">
            <v>434.67812500000002</v>
          </cell>
          <cell r="P262">
            <v>478.14593750000006</v>
          </cell>
          <cell r="Q262">
            <v>5</v>
          </cell>
          <cell r="R262">
            <v>620.96875000000011</v>
          </cell>
        </row>
        <row r="263">
          <cell r="A263" t="str">
            <v>D00042</v>
          </cell>
          <cell r="C263" t="str">
            <v>DX</v>
          </cell>
          <cell r="D263" t="str">
            <v>BLUE MAX Supreme (no drip) x 1000 LTS</v>
          </cell>
          <cell r="E263">
            <v>1000</v>
          </cell>
          <cell r="I263">
            <v>1043.7</v>
          </cell>
          <cell r="J263">
            <v>1132.4145000000001</v>
          </cell>
          <cell r="K263">
            <v>1415.5181250000001</v>
          </cell>
          <cell r="L263">
            <v>4</v>
          </cell>
          <cell r="M263">
            <v>1769.39765625</v>
          </cell>
          <cell r="N263">
            <v>1857.8675390625001</v>
          </cell>
          <cell r="O263">
            <v>2081.6443014705883</v>
          </cell>
          <cell r="P263">
            <v>2289.8087316176475</v>
          </cell>
          <cell r="Q263">
            <v>5</v>
          </cell>
          <cell r="R263">
            <v>2973.7775735294122</v>
          </cell>
        </row>
        <row r="264">
          <cell r="A264" t="str">
            <v>D00043</v>
          </cell>
          <cell r="C264" t="str">
            <v>DX</v>
          </cell>
          <cell r="D264" t="str">
            <v>BLUE MAX Barrera X 200 LTS</v>
          </cell>
          <cell r="E264">
            <v>200</v>
          </cell>
          <cell r="I264">
            <v>219.94000000000003</v>
          </cell>
          <cell r="J264">
            <v>238.63490000000002</v>
          </cell>
          <cell r="K264">
            <v>298.29362500000002</v>
          </cell>
          <cell r="L264">
            <v>4</v>
          </cell>
          <cell r="M264">
            <v>372.86703125000003</v>
          </cell>
          <cell r="N264">
            <v>391.51038281250004</v>
          </cell>
          <cell r="O264">
            <v>438.66709558823533</v>
          </cell>
          <cell r="P264">
            <v>482.5338051470589</v>
          </cell>
          <cell r="Q264">
            <v>5</v>
          </cell>
          <cell r="R264">
            <v>626.66727941176475</v>
          </cell>
        </row>
        <row r="265">
          <cell r="A265" t="str">
            <v>D00044</v>
          </cell>
          <cell r="C265" t="str">
            <v>DX</v>
          </cell>
          <cell r="D265" t="str">
            <v>BLUE MAX Barrera X 1000 LTS</v>
          </cell>
          <cell r="E265">
            <v>1000</v>
          </cell>
          <cell r="I265">
            <v>1053.7</v>
          </cell>
          <cell r="J265">
            <v>1143.2645</v>
          </cell>
          <cell r="K265">
            <v>1429.0806249999998</v>
          </cell>
          <cell r="L265">
            <v>4</v>
          </cell>
          <cell r="M265">
            <v>1786.3507812499997</v>
          </cell>
          <cell r="N265">
            <v>1875.6683203124999</v>
          </cell>
          <cell r="O265">
            <v>2101.5891544117644</v>
          </cell>
          <cell r="P265">
            <v>2311.7480698529412</v>
          </cell>
          <cell r="Q265">
            <v>5</v>
          </cell>
          <cell r="R265">
            <v>3002.2702205882351</v>
          </cell>
        </row>
        <row r="266">
          <cell r="A266" t="str">
            <v>D00045</v>
          </cell>
          <cell r="C266" t="str">
            <v>GRUPO JAC</v>
          </cell>
          <cell r="D266" t="str">
            <v>Lavavajilla</v>
          </cell>
          <cell r="E266">
            <v>4</v>
          </cell>
          <cell r="I266">
            <v>10</v>
          </cell>
          <cell r="J266">
            <v>0.10637254901960784</v>
          </cell>
          <cell r="K266">
            <v>0.1329656862745098</v>
          </cell>
          <cell r="L266">
            <v>2</v>
          </cell>
          <cell r="M266">
            <v>0.147739651416122</v>
          </cell>
          <cell r="N266">
            <v>0.15512663398692811</v>
          </cell>
          <cell r="O266">
            <v>0.17381135460720235</v>
          </cell>
          <cell r="P266">
            <v>0.1911924900679226</v>
          </cell>
          <cell r="Q266">
            <v>3</v>
          </cell>
          <cell r="R266">
            <v>0.21726419325900292</v>
          </cell>
        </row>
        <row r="267">
          <cell r="A267" t="str">
            <v>D00047</v>
          </cell>
          <cell r="D267" t="str">
            <v>Sellador 2500 ppm DX x 25 kgrs</v>
          </cell>
          <cell r="E267">
            <v>25</v>
          </cell>
          <cell r="I267">
            <v>24.56925</v>
          </cell>
          <cell r="J267">
            <v>26.657636249999999</v>
          </cell>
          <cell r="K267">
            <v>33.322045312499995</v>
          </cell>
          <cell r="L267">
            <v>3</v>
          </cell>
          <cell r="M267">
            <v>39.202406249999996</v>
          </cell>
          <cell r="N267">
            <v>41.162526562499998</v>
          </cell>
          <cell r="O267">
            <v>46.120477941176468</v>
          </cell>
          <cell r="P267">
            <v>50.732525735294118</v>
          </cell>
          <cell r="Q267">
            <v>3</v>
          </cell>
          <cell r="R267">
            <v>57.650597426470583</v>
          </cell>
        </row>
        <row r="268">
          <cell r="A268" t="str">
            <v>D00048</v>
          </cell>
          <cell r="D268" t="str">
            <v>Sellador 2500 ppm DX x 200 kgrs</v>
          </cell>
          <cell r="E268">
            <v>200</v>
          </cell>
          <cell r="I268">
            <v>163.804</v>
          </cell>
          <cell r="J268">
            <v>177.72734</v>
          </cell>
          <cell r="K268">
            <v>222.15917499999998</v>
          </cell>
          <cell r="L268">
            <v>3</v>
          </cell>
          <cell r="M268">
            <v>261.36373529411765</v>
          </cell>
          <cell r="N268">
            <v>274.43192205882355</v>
          </cell>
          <cell r="O268">
            <v>307.48674740484432</v>
          </cell>
          <cell r="P268">
            <v>338.23542214532876</v>
          </cell>
          <cell r="Q268">
            <v>3</v>
          </cell>
          <cell r="R268">
            <v>384.35843425605538</v>
          </cell>
        </row>
        <row r="269">
          <cell r="A269" t="str">
            <v>D00049</v>
          </cell>
          <cell r="D269" t="str">
            <v>Sellador 2500 ppm DX x 1000 kgrs</v>
          </cell>
          <cell r="E269">
            <v>1000</v>
          </cell>
          <cell r="I269">
            <v>778.02</v>
          </cell>
          <cell r="J269">
            <v>844.15170000000001</v>
          </cell>
          <cell r="K269">
            <v>1055.189625</v>
          </cell>
          <cell r="L269">
            <v>3</v>
          </cell>
          <cell r="M269">
            <v>1241.3995588235293</v>
          </cell>
          <cell r="N269">
            <v>1303.4695367647059</v>
          </cell>
          <cell r="O269">
            <v>1460.4700692041522</v>
          </cell>
          <cell r="P269">
            <v>1606.5170761245674</v>
          </cell>
          <cell r="Q269">
            <v>3</v>
          </cell>
          <cell r="R269">
            <v>1825.5875865051901</v>
          </cell>
        </row>
        <row r="270">
          <cell r="A270" t="str">
            <v>D00050</v>
          </cell>
          <cell r="D270" t="str">
            <v>Sellador 5000 ppmDX Barrier x 25 kgrs</v>
          </cell>
          <cell r="E270">
            <v>25</v>
          </cell>
          <cell r="I270">
            <v>45.888500000000001</v>
          </cell>
          <cell r="J270">
            <v>49.789022500000002</v>
          </cell>
          <cell r="K270">
            <v>62.236278124999998</v>
          </cell>
          <cell r="L270">
            <v>1</v>
          </cell>
          <cell r="M270">
            <v>65.511871710526322</v>
          </cell>
          <cell r="N270">
            <v>68.787465296052645</v>
          </cell>
          <cell r="O270">
            <v>77.072790247678029</v>
          </cell>
          <cell r="P270">
            <v>84.780069272445843</v>
          </cell>
          <cell r="Q270">
            <v>3</v>
          </cell>
          <cell r="R270">
            <v>96.340987809597536</v>
          </cell>
        </row>
        <row r="271">
          <cell r="A271" t="str">
            <v>D00051</v>
          </cell>
          <cell r="D271" t="str">
            <v>Sellador 5000 ppmDX Barrier x 200 kgrs</v>
          </cell>
          <cell r="E271">
            <v>200</v>
          </cell>
          <cell r="I271">
            <v>310.358</v>
          </cell>
          <cell r="J271">
            <v>336.73842999999999</v>
          </cell>
          <cell r="K271">
            <v>420.92303749999996</v>
          </cell>
          <cell r="L271">
            <v>1</v>
          </cell>
          <cell r="M271">
            <v>443.07688157894734</v>
          </cell>
          <cell r="N271">
            <v>465.23072565789471</v>
          </cell>
          <cell r="O271">
            <v>521.26691950464397</v>
          </cell>
          <cell r="P271">
            <v>573.39361145510838</v>
          </cell>
          <cell r="Q271">
            <v>3</v>
          </cell>
          <cell r="R271">
            <v>651.5836493808049</v>
          </cell>
        </row>
        <row r="272">
          <cell r="A272" t="str">
            <v>D00052</v>
          </cell>
          <cell r="D272" t="str">
            <v>Sellador 5000 ppmDX Barrier x 1000 kgrs</v>
          </cell>
          <cell r="E272">
            <v>1000</v>
          </cell>
          <cell r="I272">
            <v>1500.79</v>
          </cell>
          <cell r="J272">
            <v>1628.3571499999998</v>
          </cell>
          <cell r="K272">
            <v>2035.4464374999998</v>
          </cell>
          <cell r="L272">
            <v>2</v>
          </cell>
          <cell r="M272">
            <v>2261.6071527777776</v>
          </cell>
          <cell r="N272">
            <v>2374.6875104166666</v>
          </cell>
          <cell r="O272">
            <v>2660.7142973856207</v>
          </cell>
          <cell r="P272">
            <v>2926.7857271241833</v>
          </cell>
          <cell r="Q272">
            <v>3</v>
          </cell>
          <cell r="R272">
            <v>3325.8928717320259</v>
          </cell>
        </row>
        <row r="273">
          <cell r="A273" t="str">
            <v>D00053</v>
          </cell>
          <cell r="D273" t="str">
            <v>Brilliance x 30 kgrs</v>
          </cell>
          <cell r="E273">
            <v>30</v>
          </cell>
          <cell r="I273">
            <v>60.73322141327624</v>
          </cell>
          <cell r="J273">
            <v>65.895545233404718</v>
          </cell>
          <cell r="K273">
            <v>82.369431541755887</v>
          </cell>
          <cell r="L273">
            <v>1</v>
          </cell>
          <cell r="M273">
            <v>86.704664780795667</v>
          </cell>
          <cell r="N273">
            <v>91.039898019835448</v>
          </cell>
          <cell r="O273">
            <v>102.00548797740667</v>
          </cell>
          <cell r="P273">
            <v>112.20603677514735</v>
          </cell>
          <cell r="Q273">
            <v>3</v>
          </cell>
          <cell r="R273">
            <v>127.50685997175833</v>
          </cell>
        </row>
        <row r="274">
          <cell r="A274" t="str">
            <v>D00054</v>
          </cell>
          <cell r="D274" t="str">
            <v>Kleenline x 30 kgrs</v>
          </cell>
          <cell r="E274">
            <v>30</v>
          </cell>
          <cell r="I274">
            <v>23.75</v>
          </cell>
          <cell r="J274">
            <v>25.768750000000001</v>
          </cell>
          <cell r="K274">
            <v>32.2109375</v>
          </cell>
          <cell r="L274">
            <v>2</v>
          </cell>
          <cell r="M274">
            <v>35.789930555555557</v>
          </cell>
          <cell r="N274">
            <v>37.579427083333336</v>
          </cell>
          <cell r="O274">
            <v>42.105800653594777</v>
          </cell>
          <cell r="P274">
            <v>46.316380718954257</v>
          </cell>
          <cell r="Q274">
            <v>4</v>
          </cell>
          <cell r="R274">
            <v>56.141067538126372</v>
          </cell>
        </row>
        <row r="275">
          <cell r="A275" t="str">
            <v>D00055</v>
          </cell>
          <cell r="C275" t="str">
            <v>BM</v>
          </cell>
          <cell r="D275" t="str">
            <v>UDDER BLEND G10 (bajo goteo 10000 X 25 LTS)</v>
          </cell>
          <cell r="E275">
            <v>25</v>
          </cell>
          <cell r="I275">
            <v>78.277000000000001</v>
          </cell>
          <cell r="J275">
            <v>84.930544999999995</v>
          </cell>
          <cell r="K275">
            <v>106.16318124999999</v>
          </cell>
          <cell r="L275">
            <v>1</v>
          </cell>
          <cell r="M275">
            <v>111.75071710526316</v>
          </cell>
          <cell r="N275">
            <v>117.33825296052633</v>
          </cell>
          <cell r="O275">
            <v>131.47143188854491</v>
          </cell>
          <cell r="P275">
            <v>144.61857507739941</v>
          </cell>
          <cell r="Q275">
            <v>2</v>
          </cell>
          <cell r="R275">
            <v>154.67227281005285</v>
          </cell>
        </row>
        <row r="276">
          <cell r="A276" t="str">
            <v>D00056</v>
          </cell>
          <cell r="C276" t="str">
            <v>BM</v>
          </cell>
          <cell r="D276" t="str">
            <v>UDDER BLEND G10 (bajo goteo  10000 X 200 LTS)</v>
          </cell>
          <cell r="E276">
            <v>200</v>
          </cell>
          <cell r="I276">
            <v>593.46600000000001</v>
          </cell>
          <cell r="J276">
            <v>643.91061000000002</v>
          </cell>
          <cell r="K276">
            <v>804.8882625</v>
          </cell>
          <cell r="L276">
            <v>1</v>
          </cell>
          <cell r="M276">
            <v>847.25080263157895</v>
          </cell>
          <cell r="N276">
            <v>889.6133427631579</v>
          </cell>
          <cell r="O276">
            <v>996.76565015479878</v>
          </cell>
          <cell r="P276">
            <v>1096.4422151702788</v>
          </cell>
          <cell r="Q276">
            <v>2</v>
          </cell>
          <cell r="R276">
            <v>1172.6654707703515</v>
          </cell>
        </row>
        <row r="277">
          <cell r="A277" t="str">
            <v>D00057</v>
          </cell>
          <cell r="C277" t="str">
            <v>BM</v>
          </cell>
          <cell r="D277" t="str">
            <v>UDDER BLEND G10 (bajo goteo  10000 X 1000 LTS)</v>
          </cell>
          <cell r="E277">
            <v>1000</v>
          </cell>
          <cell r="I277">
            <v>2926.33</v>
          </cell>
          <cell r="J277">
            <v>3175.0680499999999</v>
          </cell>
          <cell r="K277">
            <v>3968.8350624999998</v>
          </cell>
          <cell r="L277">
            <v>1</v>
          </cell>
          <cell r="M277">
            <v>4177.7211184210528</v>
          </cell>
          <cell r="N277">
            <v>4386.6071743421053</v>
          </cell>
          <cell r="O277">
            <v>4914.9660216718266</v>
          </cell>
          <cell r="P277">
            <v>5406.4626238390101</v>
          </cell>
          <cell r="Q277">
            <v>2</v>
          </cell>
          <cell r="R277">
            <v>5782.3129666727373</v>
          </cell>
        </row>
        <row r="278">
          <cell r="A278" t="str">
            <v>D00058</v>
          </cell>
          <cell r="D278" t="str">
            <v>Acido Desincrustante DX  x 30 kgrs</v>
          </cell>
          <cell r="E278">
            <v>30</v>
          </cell>
          <cell r="I278">
            <v>20</v>
          </cell>
          <cell r="J278">
            <v>21.7</v>
          </cell>
          <cell r="K278">
            <v>27.124999999999996</v>
          </cell>
          <cell r="L278">
            <v>3</v>
          </cell>
          <cell r="M278">
            <v>31.911764705882348</v>
          </cell>
          <cell r="N278">
            <v>33.507352941176464</v>
          </cell>
          <cell r="O278">
            <v>37.543252595155707</v>
          </cell>
          <cell r="P278">
            <v>41.297577854671282</v>
          </cell>
          <cell r="Q278">
            <v>4</v>
          </cell>
          <cell r="R278">
            <v>50.057670126874278</v>
          </cell>
        </row>
        <row r="279">
          <cell r="A279" t="str">
            <v>D00059</v>
          </cell>
          <cell r="D279" t="str">
            <v>Acid 60</v>
          </cell>
          <cell r="E279">
            <v>30</v>
          </cell>
          <cell r="I279">
            <v>26.75</v>
          </cell>
          <cell r="J279">
            <v>29.02375</v>
          </cell>
          <cell r="K279">
            <v>36.279687499999994</v>
          </cell>
          <cell r="L279">
            <v>3</v>
          </cell>
          <cell r="M279">
            <v>42.681985294117645</v>
          </cell>
          <cell r="N279">
            <v>44.816084558823526</v>
          </cell>
          <cell r="O279">
            <v>50.214100346020757</v>
          </cell>
          <cell r="P279">
            <v>55.235510380622834</v>
          </cell>
          <cell r="Q279">
            <v>4</v>
          </cell>
          <cell r="R279">
            <v>66.952133794694348</v>
          </cell>
        </row>
        <row r="280">
          <cell r="A280" t="str">
            <v>D00060</v>
          </cell>
          <cell r="D280" t="str">
            <v>Alka DX,  Detergente alcalino clorado liquido  220 kilos</v>
          </cell>
          <cell r="E280">
            <v>220</v>
          </cell>
          <cell r="I280">
            <v>160.54999999999998</v>
          </cell>
          <cell r="J280">
            <v>174.19674999999998</v>
          </cell>
          <cell r="K280">
            <v>217.74593749999997</v>
          </cell>
          <cell r="L280">
            <v>1</v>
          </cell>
          <cell r="M280">
            <v>229.20624999999998</v>
          </cell>
          <cell r="N280">
            <v>240.6665625</v>
          </cell>
          <cell r="O280">
            <v>269.65441176470586</v>
          </cell>
          <cell r="P280">
            <v>296.61985294117648</v>
          </cell>
          <cell r="Q280">
            <v>3</v>
          </cell>
          <cell r="R280">
            <v>337.06801470588232</v>
          </cell>
        </row>
        <row r="281">
          <cell r="A281" t="str">
            <v>D00061</v>
          </cell>
          <cell r="D281" t="str">
            <v>Cloro DX por 11,5 kilos</v>
          </cell>
          <cell r="E281">
            <v>11.5</v>
          </cell>
          <cell r="I281">
            <v>3.85</v>
          </cell>
          <cell r="J281">
            <v>4.1772499999999999</v>
          </cell>
          <cell r="K281">
            <v>5.2215624999999992</v>
          </cell>
          <cell r="L281">
            <v>1</v>
          </cell>
          <cell r="M281">
            <v>5.4963815789473678</v>
          </cell>
          <cell r="N281">
            <v>5.7712006578947364</v>
          </cell>
          <cell r="O281">
            <v>6.4663312693498449</v>
          </cell>
          <cell r="P281">
            <v>7.1129643962848297</v>
          </cell>
          <cell r="Q281">
            <v>3</v>
          </cell>
          <cell r="R281">
            <v>8.082914086687305</v>
          </cell>
        </row>
        <row r="282">
          <cell r="A282" t="str">
            <v>D00062</v>
          </cell>
          <cell r="D282" t="str">
            <v>Cloro DX por 28,75 kilos</v>
          </cell>
          <cell r="E282">
            <v>28.75</v>
          </cell>
          <cell r="I282">
            <v>15.05</v>
          </cell>
          <cell r="J282">
            <v>16.329250000000002</v>
          </cell>
          <cell r="K282">
            <v>20.411562500000002</v>
          </cell>
          <cell r="L282">
            <v>1</v>
          </cell>
          <cell r="M282">
            <v>21.485855263157898</v>
          </cell>
          <cell r="N282">
            <v>22.560148026315794</v>
          </cell>
          <cell r="O282">
            <v>25.277476780185761</v>
          </cell>
          <cell r="P282">
            <v>27.805224458204339</v>
          </cell>
          <cell r="Q282">
            <v>3</v>
          </cell>
          <cell r="R282">
            <v>31.596845975232199</v>
          </cell>
        </row>
        <row r="283">
          <cell r="A283" t="str">
            <v>D00063</v>
          </cell>
          <cell r="D283" t="str">
            <v>Cloro DX por 230 kilos</v>
          </cell>
          <cell r="E283">
            <v>230</v>
          </cell>
          <cell r="I283">
            <v>75.25</v>
          </cell>
          <cell r="J283">
            <v>81.646249999999995</v>
          </cell>
          <cell r="K283">
            <v>102.05781249999998</v>
          </cell>
          <cell r="L283">
            <v>1</v>
          </cell>
          <cell r="M283">
            <v>107.42927631578947</v>
          </cell>
          <cell r="N283">
            <v>112.80074013157895</v>
          </cell>
          <cell r="O283">
            <v>126.38738390092878</v>
          </cell>
          <cell r="P283">
            <v>139.02612229102166</v>
          </cell>
          <cell r="Q283">
            <v>3</v>
          </cell>
          <cell r="R283">
            <v>157.98422987616098</v>
          </cell>
        </row>
        <row r="284">
          <cell r="A284" t="str">
            <v>D00064</v>
          </cell>
          <cell r="D284" t="str">
            <v>Cloro DX por 1150kilos</v>
          </cell>
          <cell r="E284">
            <v>1150</v>
          </cell>
          <cell r="I284">
            <v>345.25</v>
          </cell>
          <cell r="J284">
            <v>374.59625</v>
          </cell>
          <cell r="K284">
            <v>468.24531249999995</v>
          </cell>
          <cell r="L284">
            <v>1</v>
          </cell>
          <cell r="M284">
            <v>492.8898026315789</v>
          </cell>
          <cell r="N284">
            <v>517.53429276315785</v>
          </cell>
          <cell r="O284">
            <v>579.87035603715162</v>
          </cell>
          <cell r="P284">
            <v>637.85739164086681</v>
          </cell>
          <cell r="Q284">
            <v>3</v>
          </cell>
          <cell r="R284">
            <v>724.83794504643947</v>
          </cell>
        </row>
        <row r="285">
          <cell r="A285" t="str">
            <v>D00065</v>
          </cell>
          <cell r="D285" t="str">
            <v>Alka DX,  Detergente alcalino clorado liquido  1200 kilos</v>
          </cell>
          <cell r="E285">
            <v>1200</v>
          </cell>
          <cell r="I285">
            <v>879.74999999999989</v>
          </cell>
          <cell r="J285">
            <v>954.52874999999983</v>
          </cell>
          <cell r="K285">
            <v>1193.1609374999998</v>
          </cell>
          <cell r="L285">
            <v>1</v>
          </cell>
          <cell r="M285">
            <v>1255.9588815789473</v>
          </cell>
          <cell r="N285">
            <v>1318.7568256578948</v>
          </cell>
          <cell r="O285">
            <v>1477.5986842105262</v>
          </cell>
          <cell r="P285">
            <v>1625.358552631579</v>
          </cell>
          <cell r="Q285">
            <v>3</v>
          </cell>
          <cell r="R285">
            <v>1846.9983552631577</v>
          </cell>
        </row>
        <row r="286">
          <cell r="A286" t="str">
            <v>D00066</v>
          </cell>
          <cell r="D286" t="str">
            <v>Brilliance x 260 kgrs</v>
          </cell>
          <cell r="E286">
            <v>230</v>
          </cell>
          <cell r="I286">
            <v>435.28803083511781</v>
          </cell>
          <cell r="J286">
            <v>472.28751345610283</v>
          </cell>
          <cell r="K286">
            <v>590.35939182012851</v>
          </cell>
          <cell r="L286">
            <v>1</v>
          </cell>
          <cell r="M286">
            <v>621.43093875803004</v>
          </cell>
          <cell r="N286">
            <v>652.50248569593157</v>
          </cell>
          <cell r="O286">
            <v>731.09522206827069</v>
          </cell>
          <cell r="P286">
            <v>804.20474427509782</v>
          </cell>
          <cell r="Q286">
            <v>4</v>
          </cell>
          <cell r="R286">
            <v>974.79362942436092</v>
          </cell>
        </row>
        <row r="287">
          <cell r="A287" t="str">
            <v>D00067</v>
          </cell>
          <cell r="D287" t="str">
            <v>Brilliance x 1150 kgrs</v>
          </cell>
          <cell r="E287">
            <v>1150</v>
          </cell>
          <cell r="I287">
            <v>2135.4401541755888</v>
          </cell>
          <cell r="J287">
            <v>2316.9525672805139</v>
          </cell>
          <cell r="K287">
            <v>2896.1907091006424</v>
          </cell>
          <cell r="L287">
            <v>1</v>
          </cell>
          <cell r="M287">
            <v>3048.6217990533078</v>
          </cell>
          <cell r="N287">
            <v>3201.0528890059732</v>
          </cell>
          <cell r="O287">
            <v>3586.6138812391855</v>
          </cell>
          <cell r="P287">
            <v>3945.2752693631046</v>
          </cell>
          <cell r="Q287">
            <v>4</v>
          </cell>
          <cell r="R287">
            <v>4782.1518416522476</v>
          </cell>
        </row>
        <row r="288">
          <cell r="A288" t="str">
            <v>D00068</v>
          </cell>
          <cell r="D288" t="str">
            <v>Kleenline x 260 kgrs</v>
          </cell>
          <cell r="E288">
            <v>260</v>
          </cell>
          <cell r="I288">
            <v>159.25</v>
          </cell>
          <cell r="J288">
            <v>172.78625</v>
          </cell>
          <cell r="K288">
            <v>215.98281249999999</v>
          </cell>
          <cell r="L288">
            <v>2</v>
          </cell>
          <cell r="M288">
            <v>239.98090277777777</v>
          </cell>
          <cell r="N288">
            <v>251.97994791666667</v>
          </cell>
          <cell r="O288">
            <v>282.33047385620915</v>
          </cell>
          <cell r="P288">
            <v>310.56352124183007</v>
          </cell>
          <cell r="Q288">
            <v>3</v>
          </cell>
          <cell r="R288">
            <v>352.9130923202614</v>
          </cell>
        </row>
        <row r="289">
          <cell r="A289" t="str">
            <v>D00069</v>
          </cell>
          <cell r="D289" t="str">
            <v>Kleenline x 1300 kgrs</v>
          </cell>
          <cell r="E289">
            <v>1300</v>
          </cell>
          <cell r="I289">
            <v>800.25</v>
          </cell>
          <cell r="J289">
            <v>868.27125000000001</v>
          </cell>
          <cell r="K289">
            <v>1085.3390625</v>
          </cell>
          <cell r="L289">
            <v>2</v>
          </cell>
          <cell r="M289">
            <v>1205.9322916666665</v>
          </cell>
          <cell r="N289">
            <v>1266.2289062499999</v>
          </cell>
          <cell r="O289">
            <v>1418.7438725490194</v>
          </cell>
          <cell r="P289">
            <v>1560.6182598039215</v>
          </cell>
          <cell r="Q289">
            <v>3</v>
          </cell>
          <cell r="R289">
            <v>1773.4298406862742</v>
          </cell>
        </row>
        <row r="290">
          <cell r="A290" t="str">
            <v>D00070</v>
          </cell>
          <cell r="D290" t="str">
            <v>Acid 60 x 260 kgrs</v>
          </cell>
          <cell r="E290">
            <v>260</v>
          </cell>
          <cell r="I290">
            <v>194.25</v>
          </cell>
          <cell r="J290">
            <v>210.76124999999999</v>
          </cell>
          <cell r="K290">
            <v>263.45156249999997</v>
          </cell>
          <cell r="L290">
            <v>3</v>
          </cell>
          <cell r="M290">
            <v>309.94301470588232</v>
          </cell>
          <cell r="N290">
            <v>325.44016544117648</v>
          </cell>
          <cell r="O290">
            <v>364.63884083044979</v>
          </cell>
          <cell r="P290">
            <v>401.1027249134948</v>
          </cell>
          <cell r="Q290">
            <v>3</v>
          </cell>
          <cell r="R290">
            <v>455.79855103806221</v>
          </cell>
        </row>
        <row r="291">
          <cell r="A291" t="str">
            <v>D00071</v>
          </cell>
          <cell r="D291" t="str">
            <v>Acid 60 x 1300 kgrs</v>
          </cell>
          <cell r="E291">
            <v>1300</v>
          </cell>
          <cell r="I291">
            <v>930.25</v>
          </cell>
          <cell r="J291">
            <v>1009.32125</v>
          </cell>
          <cell r="K291">
            <v>1261.6515625</v>
          </cell>
          <cell r="L291">
            <v>3</v>
          </cell>
          <cell r="M291">
            <v>1484.2959558823529</v>
          </cell>
          <cell r="N291">
            <v>1558.5107536764706</v>
          </cell>
          <cell r="O291">
            <v>1746.23053633218</v>
          </cell>
          <cell r="P291">
            <v>1920.8535899653982</v>
          </cell>
          <cell r="Q291">
            <v>3</v>
          </cell>
          <cell r="R291">
            <v>2182.7881704152251</v>
          </cell>
        </row>
        <row r="292">
          <cell r="A292" t="str">
            <v>D00072</v>
          </cell>
          <cell r="D292" t="str">
            <v>Sellador 10000 ppmDX Barrier x 25 kgrs</v>
          </cell>
          <cell r="E292">
            <v>25</v>
          </cell>
          <cell r="I292">
            <v>82.527000000000001</v>
          </cell>
          <cell r="J292">
            <v>89.541794999999993</v>
          </cell>
          <cell r="K292">
            <v>111.92724374999999</v>
          </cell>
          <cell r="L292">
            <v>1</v>
          </cell>
          <cell r="M292">
            <v>117.81815131578946</v>
          </cell>
          <cell r="N292">
            <v>123.70905888157894</v>
          </cell>
          <cell r="O292">
            <v>138.60958978328173</v>
          </cell>
          <cell r="P292">
            <v>152.47054876160993</v>
          </cell>
          <cell r="Q292">
            <v>2</v>
          </cell>
          <cell r="R292">
            <v>163.07010562739029</v>
          </cell>
        </row>
        <row r="293">
          <cell r="A293" t="str">
            <v>D00073</v>
          </cell>
          <cell r="D293" t="str">
            <v>Sellador 10000 ppmDX Barrier x 200 kgrs</v>
          </cell>
          <cell r="E293">
            <v>200</v>
          </cell>
          <cell r="I293">
            <v>589.46600000000001</v>
          </cell>
          <cell r="J293">
            <v>639.57060999999999</v>
          </cell>
          <cell r="K293">
            <v>799.46326249999993</v>
          </cell>
          <cell r="L293">
            <v>1</v>
          </cell>
          <cell r="M293">
            <v>841.54027631578947</v>
          </cell>
          <cell r="N293">
            <v>883.61729013157901</v>
          </cell>
          <cell r="O293">
            <v>990.04738390092882</v>
          </cell>
          <cell r="P293">
            <v>1089.0521222910218</v>
          </cell>
          <cell r="Q293">
            <v>2</v>
          </cell>
          <cell r="R293">
            <v>1164.7616281187397</v>
          </cell>
        </row>
        <row r="294">
          <cell r="A294" t="str">
            <v>D00074</v>
          </cell>
          <cell r="D294" t="str">
            <v>Sellador 10000 ppmDX Barrier x 1000 kgrs</v>
          </cell>
          <cell r="E294">
            <v>1000</v>
          </cell>
          <cell r="I294">
            <v>2891.33</v>
          </cell>
          <cell r="J294">
            <v>3137.0930499999999</v>
          </cell>
          <cell r="K294">
            <v>3921.3663124999998</v>
          </cell>
          <cell r="L294">
            <v>1</v>
          </cell>
          <cell r="M294">
            <v>4127.7540131578944</v>
          </cell>
          <cell r="N294">
            <v>4334.1417138157894</v>
          </cell>
          <cell r="O294">
            <v>4856.1811919504644</v>
          </cell>
          <cell r="P294">
            <v>5341.7993111455116</v>
          </cell>
          <cell r="Q294">
            <v>2</v>
          </cell>
          <cell r="R294">
            <v>5713.1543434711348</v>
          </cell>
        </row>
        <row r="295">
          <cell r="A295" t="str">
            <v>D00075</v>
          </cell>
          <cell r="D295" t="str">
            <v>OXIPRE x 25 kgrs</v>
          </cell>
          <cell r="E295">
            <v>25</v>
          </cell>
          <cell r="I295">
            <v>12.987500000000001</v>
          </cell>
          <cell r="J295">
            <v>14.0914375</v>
          </cell>
          <cell r="K295">
            <v>17.614296874999997</v>
          </cell>
          <cell r="L295">
            <v>5</v>
          </cell>
          <cell r="M295">
            <v>23.485729166666662</v>
          </cell>
          <cell r="N295">
            <v>24.660015624999996</v>
          </cell>
          <cell r="O295">
            <v>27.630269607843132</v>
          </cell>
          <cell r="P295">
            <v>30.393296568627449</v>
          </cell>
          <cell r="Q295">
            <v>2</v>
          </cell>
          <cell r="R295">
            <v>32.506199538638981</v>
          </cell>
        </row>
        <row r="296">
          <cell r="A296" t="str">
            <v>D00076</v>
          </cell>
          <cell r="D296" t="str">
            <v>OXIPRE x 200 kgrs</v>
          </cell>
          <cell r="E296">
            <v>200</v>
          </cell>
          <cell r="I296">
            <v>75.150000000000006</v>
          </cell>
          <cell r="J296">
            <v>81.537750000000003</v>
          </cell>
          <cell r="K296">
            <v>101.92218749999999</v>
          </cell>
          <cell r="L296">
            <v>5</v>
          </cell>
          <cell r="M296">
            <v>135.89624999999998</v>
          </cell>
          <cell r="N296">
            <v>142.69106249999999</v>
          </cell>
          <cell r="O296">
            <v>159.87794117647056</v>
          </cell>
          <cell r="P296">
            <v>175.86573529411763</v>
          </cell>
          <cell r="Q296">
            <v>2</v>
          </cell>
          <cell r="R296">
            <v>188.09169550173007</v>
          </cell>
        </row>
        <row r="297">
          <cell r="A297" t="str">
            <v>D00077</v>
          </cell>
          <cell r="D297" t="str">
            <v>OXIPRE x 1000 kgrs</v>
          </cell>
          <cell r="E297">
            <v>1000</v>
          </cell>
          <cell r="I297">
            <v>284.75</v>
          </cell>
          <cell r="J297">
            <v>308.95375000000001</v>
          </cell>
          <cell r="K297">
            <v>386.19218749999999</v>
          </cell>
          <cell r="L297">
            <v>5</v>
          </cell>
          <cell r="M297">
            <v>514.92291666666665</v>
          </cell>
          <cell r="N297">
            <v>540.6690625</v>
          </cell>
          <cell r="O297">
            <v>605.79166666666663</v>
          </cell>
          <cell r="P297">
            <v>666.37083333333339</v>
          </cell>
          <cell r="Q297">
            <v>2</v>
          </cell>
          <cell r="R297">
            <v>712.69607843137248</v>
          </cell>
        </row>
        <row r="298">
          <cell r="A298" t="str">
            <v>D00097</v>
          </cell>
          <cell r="D298" t="str">
            <v>Detergente Manual DS x 10 kgrs</v>
          </cell>
          <cell r="E298">
            <v>10</v>
          </cell>
          <cell r="I298">
            <v>6.65</v>
          </cell>
          <cell r="J298">
            <v>7.2152500000000002</v>
          </cell>
          <cell r="K298">
            <v>9.0190625000000004</v>
          </cell>
          <cell r="L298">
            <v>1</v>
          </cell>
          <cell r="M298">
            <v>9.4937500000000004</v>
          </cell>
          <cell r="N298">
            <v>9.9684375000000003</v>
          </cell>
          <cell r="O298">
            <v>11.169117647058824</v>
          </cell>
          <cell r="P298">
            <v>12.286029411764707</v>
          </cell>
          <cell r="Q298">
            <v>2</v>
          </cell>
          <cell r="R298">
            <v>13.1401384083045</v>
          </cell>
        </row>
        <row r="299">
          <cell r="A299" t="str">
            <v>D00097A</v>
          </cell>
          <cell r="D299" t="str">
            <v>Detergente Manual DS x 200 kgrs</v>
          </cell>
          <cell r="E299">
            <v>200</v>
          </cell>
          <cell r="I299">
            <v>131.25</v>
          </cell>
          <cell r="J299">
            <v>142.40625</v>
          </cell>
          <cell r="K299">
            <v>178.0078125</v>
          </cell>
          <cell r="L299">
            <v>1</v>
          </cell>
          <cell r="M299">
            <v>187.37664473684211</v>
          </cell>
          <cell r="N299">
            <v>196.74547697368422</v>
          </cell>
          <cell r="O299">
            <v>220.44311145510838</v>
          </cell>
          <cell r="P299">
            <v>242.48742260061923</v>
          </cell>
          <cell r="Q299">
            <v>2</v>
          </cell>
          <cell r="R299">
            <v>259.34483700600987</v>
          </cell>
        </row>
        <row r="300">
          <cell r="A300" t="str">
            <v>D00097B</v>
          </cell>
          <cell r="D300" t="str">
            <v>Detergente Manual DS x 1000 kgrs</v>
          </cell>
          <cell r="E300">
            <v>1000</v>
          </cell>
          <cell r="I300">
            <v>625.25</v>
          </cell>
          <cell r="J300">
            <v>678.39625000000001</v>
          </cell>
          <cell r="K300">
            <v>847.99531249999995</v>
          </cell>
          <cell r="L300">
            <v>1</v>
          </cell>
          <cell r="M300">
            <v>892.62664473684208</v>
          </cell>
          <cell r="N300">
            <v>937.25797697368421</v>
          </cell>
          <cell r="O300">
            <v>1050.1489938080495</v>
          </cell>
          <cell r="P300">
            <v>1155.1638931888544</v>
          </cell>
          <cell r="Q300">
            <v>2</v>
          </cell>
          <cell r="R300">
            <v>1235.4694044800583</v>
          </cell>
        </row>
        <row r="301">
          <cell r="A301" t="str">
            <v>D011003/F</v>
          </cell>
          <cell r="C301" t="str">
            <v>GM</v>
          </cell>
          <cell r="D301" t="str">
            <v>OPERATION MANUAL RECEIVER ASSE</v>
          </cell>
          <cell r="E301">
            <v>1</v>
          </cell>
          <cell r="F301">
            <v>1</v>
          </cell>
          <cell r="G301">
            <v>1.35</v>
          </cell>
          <cell r="H301">
            <v>1.1499999999999999</v>
          </cell>
          <cell r="I301">
            <v>1.5525</v>
          </cell>
          <cell r="J301">
            <v>1.6844625</v>
          </cell>
          <cell r="K301">
            <v>2.1055781249999996</v>
          </cell>
          <cell r="L301">
            <v>2</v>
          </cell>
          <cell r="M301">
            <v>2.3395312499999994</v>
          </cell>
          <cell r="N301">
            <v>2.4565078124999995</v>
          </cell>
          <cell r="O301">
            <v>2.7523897058823521</v>
          </cell>
          <cell r="P301">
            <v>3.0276286764705875</v>
          </cell>
          <cell r="Q301">
            <v>3</v>
          </cell>
          <cell r="R301">
            <v>3.4404871323529398</v>
          </cell>
        </row>
        <row r="302">
          <cell r="A302" t="str">
            <v>D112494</v>
          </cell>
          <cell r="D302" t="e">
            <v>#N/A</v>
          </cell>
          <cell r="E302">
            <v>1</v>
          </cell>
          <cell r="F302">
            <v>68</v>
          </cell>
          <cell r="G302">
            <v>91.800000000000011</v>
          </cell>
          <cell r="H302">
            <v>1.1499999999999999</v>
          </cell>
          <cell r="I302">
            <v>105.57000000000001</v>
          </cell>
          <cell r="J302">
            <v>114.54345000000001</v>
          </cell>
          <cell r="K302">
            <v>143.17931250000001</v>
          </cell>
          <cell r="L302">
            <v>2</v>
          </cell>
          <cell r="M302">
            <v>159.08812500000002</v>
          </cell>
          <cell r="N302">
            <v>167.04253125000002</v>
          </cell>
          <cell r="O302">
            <v>187.16250000000002</v>
          </cell>
          <cell r="P302">
            <v>205.87875000000005</v>
          </cell>
          <cell r="Q302">
            <v>3</v>
          </cell>
          <cell r="R302">
            <v>233.95312500000003</v>
          </cell>
        </row>
        <row r="303">
          <cell r="A303" t="str">
            <v>D115111</v>
          </cell>
          <cell r="C303" t="str">
            <v>GM</v>
          </cell>
          <cell r="D303" t="str">
            <v>MILK PUMP 0,75KW 3PH 220/380V</v>
          </cell>
          <cell r="E303">
            <v>1</v>
          </cell>
          <cell r="F303">
            <v>337.9</v>
          </cell>
          <cell r="G303">
            <v>456.16500000000002</v>
          </cell>
          <cell r="H303">
            <v>1.1499999999999999</v>
          </cell>
          <cell r="I303">
            <v>524.58974999999998</v>
          </cell>
          <cell r="J303">
            <v>569.17987874999994</v>
          </cell>
          <cell r="K303">
            <v>711.47484843749987</v>
          </cell>
          <cell r="L303">
            <v>2</v>
          </cell>
          <cell r="M303">
            <v>790.52760937499988</v>
          </cell>
          <cell r="N303">
            <v>830.05398984374995</v>
          </cell>
          <cell r="O303">
            <v>930.03248161764691</v>
          </cell>
          <cell r="P303">
            <v>1023.0357297794117</v>
          </cell>
          <cell r="Q303">
            <v>3</v>
          </cell>
          <cell r="R303">
            <v>1162.5406020220585</v>
          </cell>
        </row>
        <row r="304">
          <cell r="A304" t="str">
            <v>D115114</v>
          </cell>
          <cell r="C304" t="str">
            <v>GM</v>
          </cell>
          <cell r="D304" t="str">
            <v>MILK PUMP 0,37KW 3PH 220/380V</v>
          </cell>
          <cell r="E304">
            <v>1</v>
          </cell>
          <cell r="F304">
            <v>320</v>
          </cell>
          <cell r="G304">
            <v>432</v>
          </cell>
          <cell r="H304">
            <v>1.1499999999999999</v>
          </cell>
          <cell r="I304">
            <v>496.79999999999995</v>
          </cell>
          <cell r="J304">
            <v>539.02799999999991</v>
          </cell>
          <cell r="K304">
            <v>673.78499999999985</v>
          </cell>
          <cell r="L304">
            <v>2</v>
          </cell>
          <cell r="M304">
            <v>748.64999999999986</v>
          </cell>
          <cell r="N304">
            <v>786.08249999999987</v>
          </cell>
          <cell r="O304">
            <v>880.76470588235281</v>
          </cell>
          <cell r="P304">
            <v>968.84117647058815</v>
          </cell>
          <cell r="Q304">
            <v>3</v>
          </cell>
          <cell r="R304">
            <v>1100.955882352941</v>
          </cell>
        </row>
        <row r="305">
          <cell r="A305" t="str">
            <v>D115184</v>
          </cell>
          <cell r="C305" t="str">
            <v>GM</v>
          </cell>
          <cell r="D305" t="str">
            <v>RECEIVER ASSEMBLY BASIC 55L DI</v>
          </cell>
          <cell r="E305">
            <v>1</v>
          </cell>
          <cell r="F305">
            <v>500</v>
          </cell>
          <cell r="G305">
            <v>675</v>
          </cell>
          <cell r="H305">
            <v>1.1499999999999999</v>
          </cell>
          <cell r="I305">
            <v>776.24999999999989</v>
          </cell>
          <cell r="J305">
            <v>842.23124999999982</v>
          </cell>
          <cell r="K305">
            <v>1052.7890624999998</v>
          </cell>
          <cell r="L305">
            <v>2</v>
          </cell>
          <cell r="M305">
            <v>1169.7656249999998</v>
          </cell>
          <cell r="N305">
            <v>1228.2539062499998</v>
          </cell>
          <cell r="O305">
            <v>1376.1948529411764</v>
          </cell>
          <cell r="P305">
            <v>1513.8143382352941</v>
          </cell>
          <cell r="Q305">
            <v>3</v>
          </cell>
          <cell r="R305">
            <v>1720.2435661764703</v>
          </cell>
        </row>
        <row r="306">
          <cell r="A306" t="str">
            <v>D115185</v>
          </cell>
          <cell r="C306" t="str">
            <v>GM</v>
          </cell>
          <cell r="D306" t="str">
            <v>RECEIVER ASSEMBLY BASIC 100L D</v>
          </cell>
          <cell r="E306">
            <v>1</v>
          </cell>
          <cell r="F306">
            <v>700</v>
          </cell>
          <cell r="G306">
            <v>945.00000000000011</v>
          </cell>
          <cell r="H306">
            <v>1.1499999999999999</v>
          </cell>
          <cell r="I306">
            <v>1086.75</v>
          </cell>
          <cell r="J306">
            <v>1179.12375</v>
          </cell>
          <cell r="K306">
            <v>1473.9046874999999</v>
          </cell>
          <cell r="L306">
            <v>2</v>
          </cell>
          <cell r="M306">
            <v>1637.6718749999998</v>
          </cell>
          <cell r="N306">
            <v>1719.5554687499998</v>
          </cell>
          <cell r="O306">
            <v>1926.6727941176468</v>
          </cell>
          <cell r="P306">
            <v>2119.3400735294117</v>
          </cell>
          <cell r="Q306">
            <v>3</v>
          </cell>
          <cell r="R306">
            <v>2408.3409926470586</v>
          </cell>
        </row>
        <row r="307">
          <cell r="A307" t="str">
            <v>D200749</v>
          </cell>
          <cell r="D307" t="e">
            <v>#N/A</v>
          </cell>
          <cell r="F307">
            <v>0.13</v>
          </cell>
          <cell r="G307">
            <v>0.17550000000000002</v>
          </cell>
          <cell r="H307">
            <v>1.1499999999999999</v>
          </cell>
          <cell r="I307">
            <v>0.201825</v>
          </cell>
          <cell r="J307">
            <v>0.218980125</v>
          </cell>
          <cell r="K307">
            <v>0.27372515624999999</v>
          </cell>
          <cell r="L307">
            <v>2</v>
          </cell>
          <cell r="M307">
            <v>0.3041390625</v>
          </cell>
          <cell r="N307">
            <v>0.31934601562500003</v>
          </cell>
          <cell r="O307">
            <v>0.35781066176470588</v>
          </cell>
          <cell r="P307">
            <v>0.39359172794117653</v>
          </cell>
          <cell r="Q307">
            <v>3</v>
          </cell>
          <cell r="R307">
            <v>0.44726332720588236</v>
          </cell>
        </row>
        <row r="308">
          <cell r="A308" t="str">
            <v>D225001</v>
          </cell>
          <cell r="D308" t="e">
            <v>#N/A</v>
          </cell>
          <cell r="F308">
            <v>16.3245</v>
          </cell>
          <cell r="G308">
            <v>22.038075000000003</v>
          </cell>
          <cell r="H308">
            <v>1.1499999999999999</v>
          </cell>
          <cell r="I308">
            <v>25.343786250000001</v>
          </cell>
          <cell r="J308">
            <v>27.498008081249999</v>
          </cell>
          <cell r="K308">
            <v>34.372510101562497</v>
          </cell>
          <cell r="L308">
            <v>2</v>
          </cell>
          <cell r="M308">
            <v>38.191677890624995</v>
          </cell>
          <cell r="N308">
            <v>40.101261785156247</v>
          </cell>
          <cell r="O308">
            <v>44.931385753676466</v>
          </cell>
          <cell r="P308">
            <v>49.424524329044118</v>
          </cell>
          <cell r="Q308">
            <v>3</v>
          </cell>
          <cell r="R308">
            <v>56.164232192095582</v>
          </cell>
        </row>
        <row r="309">
          <cell r="A309" t="str">
            <v>D225002</v>
          </cell>
          <cell r="D309" t="e">
            <v>#N/A</v>
          </cell>
          <cell r="F309">
            <v>17.299624999999999</v>
          </cell>
          <cell r="G309">
            <v>23.35449375</v>
          </cell>
          <cell r="H309">
            <v>1.1499999999999999</v>
          </cell>
          <cell r="I309">
            <v>26.857667812499997</v>
          </cell>
          <cell r="J309">
            <v>29.140569576562495</v>
          </cell>
          <cell r="K309">
            <v>36.425711970703119</v>
          </cell>
          <cell r="L309">
            <v>2</v>
          </cell>
          <cell r="M309">
            <v>40.47301330078124</v>
          </cell>
          <cell r="N309">
            <v>42.496663965820304</v>
          </cell>
          <cell r="O309">
            <v>47.615309765624993</v>
          </cell>
          <cell r="P309">
            <v>52.376840742187497</v>
          </cell>
          <cell r="Q309">
            <v>3</v>
          </cell>
          <cell r="R309">
            <v>59.519137207031235</v>
          </cell>
        </row>
        <row r="310">
          <cell r="A310" t="str">
            <v>D240742</v>
          </cell>
          <cell r="D310" t="e">
            <v>#N/A</v>
          </cell>
          <cell r="F310" t="e">
            <v>#N/A</v>
          </cell>
          <cell r="G310" t="e">
            <v>#N/A</v>
          </cell>
          <cell r="H310">
            <v>1.1499999999999999</v>
          </cell>
          <cell r="I310" t="e">
            <v>#N/A</v>
          </cell>
          <cell r="J310" t="e">
            <v>#N/A</v>
          </cell>
          <cell r="K310" t="e">
            <v>#N/A</v>
          </cell>
          <cell r="L310">
            <v>2</v>
          </cell>
          <cell r="M310" t="e">
            <v>#N/A</v>
          </cell>
          <cell r="N310" t="e">
            <v>#N/A</v>
          </cell>
          <cell r="O310" t="e">
            <v>#N/A</v>
          </cell>
          <cell r="P310" t="e">
            <v>#N/A</v>
          </cell>
          <cell r="Q310">
            <v>3</v>
          </cell>
          <cell r="R310" t="e">
            <v>#N/A</v>
          </cell>
        </row>
        <row r="311">
          <cell r="A311" t="str">
            <v>D240808</v>
          </cell>
          <cell r="D311" t="e">
            <v>#N/A</v>
          </cell>
          <cell r="F311">
            <v>0.94</v>
          </cell>
          <cell r="G311">
            <v>1.2689999999999999</v>
          </cell>
          <cell r="H311">
            <v>1.1499999999999999</v>
          </cell>
          <cell r="I311">
            <v>1.4593499999999997</v>
          </cell>
          <cell r="J311">
            <v>1.5833947499999996</v>
          </cell>
          <cell r="K311">
            <v>1.9792434374999994</v>
          </cell>
          <cell r="L311">
            <v>2</v>
          </cell>
          <cell r="M311">
            <v>2.1991593749999994</v>
          </cell>
          <cell r="N311">
            <v>2.3091173437499992</v>
          </cell>
          <cell r="O311">
            <v>2.5872463235294112</v>
          </cell>
          <cell r="P311">
            <v>2.8459709558823527</v>
          </cell>
          <cell r="Q311">
            <v>3</v>
          </cell>
          <cell r="R311">
            <v>3.2340579044117637</v>
          </cell>
        </row>
        <row r="312">
          <cell r="A312" t="str">
            <v>D240809</v>
          </cell>
          <cell r="D312" t="e">
            <v>#N/A</v>
          </cell>
          <cell r="F312">
            <v>1.4</v>
          </cell>
          <cell r="G312">
            <v>1.89</v>
          </cell>
          <cell r="H312">
            <v>1.1499999999999999</v>
          </cell>
          <cell r="I312">
            <v>2.1734999999999998</v>
          </cell>
          <cell r="J312">
            <v>2.3582474999999996</v>
          </cell>
          <cell r="K312">
            <v>2.9478093749999994</v>
          </cell>
          <cell r="L312">
            <v>2</v>
          </cell>
          <cell r="M312">
            <v>3.2753437499999993</v>
          </cell>
          <cell r="N312">
            <v>3.4391109374999993</v>
          </cell>
          <cell r="O312">
            <v>3.8533455882352934</v>
          </cell>
          <cell r="P312">
            <v>4.2386801470588233</v>
          </cell>
          <cell r="Q312">
            <v>3</v>
          </cell>
          <cell r="R312">
            <v>4.8166819852941165</v>
          </cell>
        </row>
        <row r="313">
          <cell r="A313" t="str">
            <v>D240810</v>
          </cell>
          <cell r="D313" t="str">
            <v>CLAMP,PIPE,DIA75,PLASTIC</v>
          </cell>
          <cell r="F313">
            <v>2.86</v>
          </cell>
          <cell r="G313">
            <v>3.8610000000000002</v>
          </cell>
          <cell r="H313">
            <v>1.1499999999999999</v>
          </cell>
          <cell r="I313">
            <v>4.44015</v>
          </cell>
          <cell r="J313">
            <v>4.8175627499999996</v>
          </cell>
          <cell r="K313">
            <v>6.0219534374999988</v>
          </cell>
          <cell r="L313">
            <v>2</v>
          </cell>
          <cell r="M313">
            <v>6.6910593749999983</v>
          </cell>
          <cell r="N313">
            <v>7.0256123437499989</v>
          </cell>
          <cell r="O313">
            <v>7.8718345588235277</v>
          </cell>
          <cell r="P313">
            <v>8.6590180147058806</v>
          </cell>
          <cell r="Q313">
            <v>3</v>
          </cell>
          <cell r="R313">
            <v>9.8397931985294083</v>
          </cell>
        </row>
        <row r="314">
          <cell r="A314" t="str">
            <v>D242728</v>
          </cell>
          <cell r="C314" t="str">
            <v>GM</v>
          </cell>
          <cell r="D314" t="str">
            <v>Aro sello valvulasensor</v>
          </cell>
          <cell r="E314">
            <v>1</v>
          </cell>
          <cell r="F314">
            <v>0.16500000000000001</v>
          </cell>
          <cell r="G314">
            <v>0.22275000000000003</v>
          </cell>
          <cell r="H314">
            <v>1.1499999999999999</v>
          </cell>
          <cell r="I314">
            <v>0.25616250000000002</v>
          </cell>
          <cell r="J314">
            <v>0.2779363125</v>
          </cell>
          <cell r="K314">
            <v>0.39705187500000005</v>
          </cell>
          <cell r="L314">
            <v>2</v>
          </cell>
          <cell r="M314">
            <v>0.44116875000000005</v>
          </cell>
          <cell r="N314">
            <v>0.46322718750000008</v>
          </cell>
          <cell r="O314">
            <v>0.51902205882352948</v>
          </cell>
          <cell r="P314">
            <v>0.57092426470588242</v>
          </cell>
          <cell r="Q314">
            <v>3</v>
          </cell>
          <cell r="R314">
            <v>0.64877757352941179</v>
          </cell>
        </row>
        <row r="315">
          <cell r="A315" t="str">
            <v>D249746</v>
          </cell>
          <cell r="D315" t="str">
            <v>END TIP DIA7MM BLACK SR 1501 T</v>
          </cell>
          <cell r="F315">
            <v>0.54</v>
          </cell>
          <cell r="G315">
            <v>0.72900000000000009</v>
          </cell>
          <cell r="H315">
            <v>1.1499999999999999</v>
          </cell>
          <cell r="I315">
            <v>0.83835000000000004</v>
          </cell>
          <cell r="J315">
            <v>0.90960974999999999</v>
          </cell>
          <cell r="K315">
            <v>1.1370121874999999</v>
          </cell>
          <cell r="L315">
            <v>2</v>
          </cell>
          <cell r="M315">
            <v>1.2633468749999999</v>
          </cell>
          <cell r="N315">
            <v>1.3265142187499999</v>
          </cell>
          <cell r="O315">
            <v>1.4862904411764706</v>
          </cell>
          <cell r="P315">
            <v>1.6349194852941178</v>
          </cell>
          <cell r="Q315">
            <v>3</v>
          </cell>
          <cell r="R315">
            <v>1.8578630514705881</v>
          </cell>
        </row>
        <row r="316">
          <cell r="A316" t="str">
            <v>D255187</v>
          </cell>
          <cell r="C316" t="str">
            <v>GM</v>
          </cell>
          <cell r="D316" t="str">
            <v>HOSE CLAMP 45-60MM INOX</v>
          </cell>
          <cell r="E316">
            <v>1</v>
          </cell>
          <cell r="F316">
            <v>0.96800000000000008</v>
          </cell>
          <cell r="G316">
            <v>1.3068000000000002</v>
          </cell>
          <cell r="H316">
            <v>1.1499999999999999</v>
          </cell>
          <cell r="I316">
            <v>1.50282</v>
          </cell>
          <cell r="J316">
            <v>1.6305597000000001</v>
          </cell>
          <cell r="K316">
            <v>2.3293710000000001</v>
          </cell>
          <cell r="L316">
            <v>2</v>
          </cell>
          <cell r="M316">
            <v>2.58819</v>
          </cell>
          <cell r="N316">
            <v>2.7175994999999999</v>
          </cell>
          <cell r="O316">
            <v>3.0449294117647061</v>
          </cell>
          <cell r="P316">
            <v>3.3494223529411769</v>
          </cell>
          <cell r="Q316">
            <v>3</v>
          </cell>
          <cell r="R316">
            <v>3.8061617647058825</v>
          </cell>
        </row>
        <row r="317">
          <cell r="A317" t="str">
            <v>D255532</v>
          </cell>
          <cell r="C317" t="str">
            <v>GM</v>
          </cell>
          <cell r="D317" t="str">
            <v>Extencion cordon</v>
          </cell>
          <cell r="E317">
            <v>1</v>
          </cell>
          <cell r="F317">
            <v>36.71</v>
          </cell>
          <cell r="G317">
            <v>49.558500000000002</v>
          </cell>
          <cell r="H317">
            <v>1.1499999999999999</v>
          </cell>
          <cell r="I317">
            <v>56.992274999999999</v>
          </cell>
          <cell r="J317">
            <v>61.836618375</v>
          </cell>
          <cell r="K317">
            <v>77.295772968750001</v>
          </cell>
          <cell r="L317">
            <v>2</v>
          </cell>
          <cell r="M317">
            <v>85.884192187500005</v>
          </cell>
          <cell r="N317">
            <v>90.178401796875008</v>
          </cell>
          <cell r="O317">
            <v>101.04022610294119</v>
          </cell>
          <cell r="P317">
            <v>111.14424871323531</v>
          </cell>
          <cell r="Q317">
            <v>3</v>
          </cell>
          <cell r="R317">
            <v>126.30028262867648</v>
          </cell>
        </row>
        <row r="318">
          <cell r="A318" t="str">
            <v>D255541</v>
          </cell>
          <cell r="D318" t="str">
            <v>PACK CARBINE HOOK (5)</v>
          </cell>
          <cell r="F318">
            <v>13.92</v>
          </cell>
          <cell r="G318">
            <v>18.792000000000002</v>
          </cell>
          <cell r="H318">
            <v>1.1499999999999999</v>
          </cell>
          <cell r="I318">
            <v>21.610800000000001</v>
          </cell>
          <cell r="J318">
            <v>23.447718000000002</v>
          </cell>
          <cell r="K318">
            <v>29.309647500000001</v>
          </cell>
          <cell r="L318">
            <v>2</v>
          </cell>
          <cell r="M318">
            <v>32.566274999999997</v>
          </cell>
          <cell r="N318">
            <v>34.194588750000001</v>
          </cell>
          <cell r="O318">
            <v>38.313264705882354</v>
          </cell>
          <cell r="P318">
            <v>42.144591176470591</v>
          </cell>
          <cell r="Q318">
            <v>3</v>
          </cell>
          <cell r="R318">
            <v>47.89158088235294</v>
          </cell>
        </row>
        <row r="319">
          <cell r="A319" t="str">
            <v>D255685</v>
          </cell>
          <cell r="D319" t="str">
            <v>PACK FIXINGS RAM</v>
          </cell>
          <cell r="F319">
            <v>13.94</v>
          </cell>
          <cell r="G319">
            <v>18.818999999999999</v>
          </cell>
          <cell r="H319">
            <v>1.1499999999999999</v>
          </cell>
          <cell r="I319">
            <v>21.641849999999998</v>
          </cell>
          <cell r="J319">
            <v>23.481407249999997</v>
          </cell>
          <cell r="K319">
            <v>29.351759062499994</v>
          </cell>
          <cell r="L319">
            <v>2</v>
          </cell>
          <cell r="M319">
            <v>32.61306562499999</v>
          </cell>
          <cell r="N319">
            <v>34.243718906249988</v>
          </cell>
          <cell r="O319">
            <v>38.368312499999988</v>
          </cell>
          <cell r="P319">
            <v>42.205143749999991</v>
          </cell>
          <cell r="Q319">
            <v>3</v>
          </cell>
          <cell r="R319">
            <v>47.960390624999981</v>
          </cell>
        </row>
        <row r="320">
          <cell r="A320" t="str">
            <v>D255691</v>
          </cell>
          <cell r="D320" t="str">
            <v>KIT GUIDE CORD</v>
          </cell>
          <cell r="F320">
            <v>9.2899999999999991</v>
          </cell>
          <cell r="G320">
            <v>12.541499999999999</v>
          </cell>
          <cell r="H320">
            <v>1.1499999999999999</v>
          </cell>
          <cell r="I320">
            <v>14.422724999999998</v>
          </cell>
          <cell r="J320">
            <v>15.648656624999997</v>
          </cell>
          <cell r="K320">
            <v>19.560820781249994</v>
          </cell>
          <cell r="L320">
            <v>2</v>
          </cell>
          <cell r="M320">
            <v>21.734245312499993</v>
          </cell>
          <cell r="N320">
            <v>22.820957578124993</v>
          </cell>
          <cell r="O320">
            <v>25.569700367647052</v>
          </cell>
          <cell r="P320">
            <v>28.126670404411758</v>
          </cell>
          <cell r="Q320">
            <v>3</v>
          </cell>
          <cell r="R320">
            <v>31.962125459558813</v>
          </cell>
        </row>
        <row r="321">
          <cell r="A321" t="str">
            <v>D262608</v>
          </cell>
          <cell r="C321" t="str">
            <v>GM</v>
          </cell>
          <cell r="D321" t="str">
            <v>MOTOR CIRCUIT BREAKER 1,6-2,5</v>
          </cell>
          <cell r="E321">
            <v>1</v>
          </cell>
          <cell r="F321">
            <v>30</v>
          </cell>
          <cell r="G321">
            <v>40.5</v>
          </cell>
          <cell r="H321">
            <v>1.1499999999999999</v>
          </cell>
          <cell r="I321">
            <v>46.574999999999996</v>
          </cell>
          <cell r="J321">
            <v>50.533874999999995</v>
          </cell>
          <cell r="K321">
            <v>63.167343749999993</v>
          </cell>
          <cell r="L321">
            <v>2</v>
          </cell>
          <cell r="M321">
            <v>70.185937499999994</v>
          </cell>
          <cell r="N321">
            <v>73.695234374999998</v>
          </cell>
          <cell r="O321">
            <v>82.57169117647058</v>
          </cell>
          <cell r="P321">
            <v>90.828860294117646</v>
          </cell>
          <cell r="Q321">
            <v>3</v>
          </cell>
          <cell r="R321">
            <v>103.21461397058822</v>
          </cell>
        </row>
        <row r="322">
          <cell r="A322" t="str">
            <v xml:space="preserve">D262623 </v>
          </cell>
          <cell r="C322" t="str">
            <v>GM</v>
          </cell>
          <cell r="D322" t="str">
            <v>Fuente (POWER SUPPLY,12A/13V)</v>
          </cell>
          <cell r="E322">
            <v>1</v>
          </cell>
          <cell r="F322">
            <v>205.70000000000002</v>
          </cell>
          <cell r="G322">
            <v>277.69500000000005</v>
          </cell>
          <cell r="H322">
            <v>1.1499999999999999</v>
          </cell>
          <cell r="I322">
            <v>319.34925000000004</v>
          </cell>
          <cell r="J322">
            <v>346.49393625000005</v>
          </cell>
          <cell r="K322">
            <v>433.11742031250003</v>
          </cell>
          <cell r="L322">
            <v>2</v>
          </cell>
          <cell r="M322">
            <v>481.24157812500005</v>
          </cell>
          <cell r="N322">
            <v>505.30365703125005</v>
          </cell>
          <cell r="O322">
            <v>566.16656250000005</v>
          </cell>
          <cell r="P322">
            <v>622.78321875000006</v>
          </cell>
          <cell r="Q322">
            <v>3</v>
          </cell>
          <cell r="R322">
            <v>707.70820312500007</v>
          </cell>
        </row>
        <row r="323">
          <cell r="A323" t="str">
            <v>D316021</v>
          </cell>
          <cell r="C323" t="str">
            <v>GM</v>
          </cell>
          <cell r="D323" t="str">
            <v>LID PLAIN</v>
          </cell>
          <cell r="E323">
            <v>1</v>
          </cell>
          <cell r="F323">
            <v>11.1</v>
          </cell>
          <cell r="G323">
            <v>14.985000000000001</v>
          </cell>
          <cell r="H323">
            <v>1.1499999999999999</v>
          </cell>
          <cell r="I323">
            <v>17.232749999999999</v>
          </cell>
          <cell r="J323">
            <v>18.697533749999998</v>
          </cell>
          <cell r="K323">
            <v>23.371917187499996</v>
          </cell>
          <cell r="L323">
            <v>3</v>
          </cell>
          <cell r="M323">
            <v>27.496373161764701</v>
          </cell>
          <cell r="N323">
            <v>28.871191819852939</v>
          </cell>
          <cell r="O323">
            <v>32.348674307958476</v>
          </cell>
          <cell r="P323">
            <v>35.583541738754327</v>
          </cell>
          <cell r="Q323">
            <v>3</v>
          </cell>
          <cell r="R323">
            <v>40.435842884948094</v>
          </cell>
        </row>
        <row r="324">
          <cell r="A324" t="str">
            <v>D381473</v>
          </cell>
          <cell r="C324" t="str">
            <v>GM</v>
          </cell>
          <cell r="D324" t="str">
            <v>FLAP-VALVE,MILK PUMP</v>
          </cell>
          <cell r="E324">
            <v>1</v>
          </cell>
          <cell r="F324">
            <v>3</v>
          </cell>
          <cell r="G324">
            <v>4.0500000000000007</v>
          </cell>
          <cell r="H324">
            <v>1.1499999999999999</v>
          </cell>
          <cell r="I324">
            <v>4.6575000000000006</v>
          </cell>
          <cell r="J324">
            <v>5.0533875000000004</v>
          </cell>
          <cell r="K324">
            <v>6.3167343750000002</v>
          </cell>
          <cell r="L324">
            <v>2</v>
          </cell>
          <cell r="M324">
            <v>7.01859375</v>
          </cell>
          <cell r="N324">
            <v>7.3695234375000007</v>
          </cell>
          <cell r="O324">
            <v>8.2571691176470594</v>
          </cell>
          <cell r="P324">
            <v>9.0828860294117657</v>
          </cell>
          <cell r="Q324">
            <v>3</v>
          </cell>
          <cell r="R324">
            <v>10.321461397058824</v>
          </cell>
        </row>
        <row r="325">
          <cell r="A325" t="str">
            <v>D382761</v>
          </cell>
          <cell r="C325" t="str">
            <v>GM</v>
          </cell>
          <cell r="D325" t="str">
            <v>Sello tapa del sensor</v>
          </cell>
          <cell r="E325">
            <v>1</v>
          </cell>
          <cell r="F325">
            <v>1.1000000000000001</v>
          </cell>
          <cell r="G325">
            <v>1.4850000000000003</v>
          </cell>
          <cell r="H325">
            <v>1.1499999999999999</v>
          </cell>
          <cell r="I325">
            <v>1.7077500000000003</v>
          </cell>
          <cell r="J325">
            <v>1.8529087500000003</v>
          </cell>
          <cell r="K325">
            <v>2.6470125000000007</v>
          </cell>
          <cell r="L325">
            <v>2</v>
          </cell>
          <cell r="M325">
            <v>2.9411250000000009</v>
          </cell>
          <cell r="N325">
            <v>3.0881812500000012</v>
          </cell>
          <cell r="O325">
            <v>3.4601470588235306</v>
          </cell>
          <cell r="P325">
            <v>3.8061617647058839</v>
          </cell>
          <cell r="Q325">
            <v>3</v>
          </cell>
          <cell r="R325">
            <v>4.3251838235294127</v>
          </cell>
        </row>
        <row r="326">
          <cell r="A326" t="str">
            <v>D382763</v>
          </cell>
          <cell r="C326" t="str">
            <v>GM</v>
          </cell>
          <cell r="D326" t="str">
            <v>Sello sensor de vias de aire</v>
          </cell>
          <cell r="E326">
            <v>1</v>
          </cell>
          <cell r="F326">
            <v>2.14</v>
          </cell>
          <cell r="G326">
            <v>2.8890000000000002</v>
          </cell>
          <cell r="H326">
            <v>1.1499999999999999</v>
          </cell>
          <cell r="I326">
            <v>3.3223500000000001</v>
          </cell>
          <cell r="J326">
            <v>3.6047497499999999</v>
          </cell>
          <cell r="K326">
            <v>5.1496425000000006</v>
          </cell>
          <cell r="L326">
            <v>2</v>
          </cell>
          <cell r="M326">
            <v>5.7218250000000008</v>
          </cell>
          <cell r="N326">
            <v>6.007916250000001</v>
          </cell>
          <cell r="O326">
            <v>6.7315588235294133</v>
          </cell>
          <cell r="P326">
            <v>7.4047147058823555</v>
          </cell>
          <cell r="Q326">
            <v>3</v>
          </cell>
          <cell r="R326">
            <v>8.4144485294117661</v>
          </cell>
        </row>
        <row r="327">
          <cell r="A327" t="str">
            <v>D382779</v>
          </cell>
          <cell r="D327" t="str">
            <v>SEAL CAP</v>
          </cell>
          <cell r="E327" t="str">
            <v>1</v>
          </cell>
          <cell r="F327">
            <v>2.11</v>
          </cell>
          <cell r="G327">
            <v>2.8485</v>
          </cell>
          <cell r="H327">
            <v>1.1499999999999999</v>
          </cell>
          <cell r="I327">
            <v>3.2757749999999999</v>
          </cell>
          <cell r="J327">
            <v>3.5542158749999997</v>
          </cell>
          <cell r="K327">
            <v>4.4427698437499989</v>
          </cell>
          <cell r="L327">
            <v>2</v>
          </cell>
          <cell r="M327">
            <v>4.9364109374999989</v>
          </cell>
          <cell r="N327">
            <v>5.1832314843749989</v>
          </cell>
          <cell r="O327">
            <v>5.8075422794117637</v>
          </cell>
          <cell r="P327">
            <v>6.3882965073529405</v>
          </cell>
          <cell r="Q327">
            <v>3</v>
          </cell>
          <cell r="R327">
            <v>7.2594278492647044</v>
          </cell>
        </row>
        <row r="328">
          <cell r="A328" t="str">
            <v>D385017</v>
          </cell>
          <cell r="C328" t="str">
            <v>GM</v>
          </cell>
          <cell r="D328" t="str">
            <v>LID TRANSPARENT PLAIN</v>
          </cell>
          <cell r="E328">
            <v>1</v>
          </cell>
          <cell r="F328">
            <v>19</v>
          </cell>
          <cell r="G328">
            <v>25.650000000000002</v>
          </cell>
          <cell r="H328">
            <v>1.1499999999999999</v>
          </cell>
          <cell r="I328">
            <v>29.497499999999999</v>
          </cell>
          <cell r="J328">
            <v>32.004787499999999</v>
          </cell>
          <cell r="K328">
            <v>40.005984374999997</v>
          </cell>
          <cell r="L328">
            <v>3</v>
          </cell>
          <cell r="M328">
            <v>47.065863970588232</v>
          </cell>
          <cell r="N328">
            <v>49.419157169117646</v>
          </cell>
          <cell r="O328">
            <v>55.371604671280274</v>
          </cell>
          <cell r="P328">
            <v>60.908765138408306</v>
          </cell>
          <cell r="Q328">
            <v>3</v>
          </cell>
          <cell r="R328">
            <v>69.21450583910034</v>
          </cell>
        </row>
        <row r="329">
          <cell r="A329" t="str">
            <v>D385537 x 6</v>
          </cell>
          <cell r="C329" t="str">
            <v>GM</v>
          </cell>
          <cell r="D329" t="str">
            <v>Tobera válvula cilindro</v>
          </cell>
          <cell r="E329">
            <v>6</v>
          </cell>
          <cell r="F329">
            <v>0.69673000000000007</v>
          </cell>
          <cell r="G329">
            <v>0.94058550000000019</v>
          </cell>
          <cell r="H329">
            <v>1.1499999999999999</v>
          </cell>
          <cell r="I329">
            <v>1.0816733250000001</v>
          </cell>
          <cell r="J329">
            <v>1.173615557625</v>
          </cell>
          <cell r="K329">
            <v>1.6765936537500001</v>
          </cell>
          <cell r="L329">
            <v>2</v>
          </cell>
          <cell r="M329">
            <v>1.8628818375</v>
          </cell>
          <cell r="N329">
            <v>1.9560259293750002</v>
          </cell>
          <cell r="O329">
            <v>2.1916256911764709</v>
          </cell>
          <cell r="P329">
            <v>2.410788260294118</v>
          </cell>
          <cell r="Q329">
            <v>3</v>
          </cell>
          <cell r="R329">
            <v>2.7395321139705886</v>
          </cell>
        </row>
        <row r="330">
          <cell r="A330" t="str">
            <v>D385537x6</v>
          </cell>
          <cell r="D330" t="str">
            <v>CHIMNEY ASSEMBLY PACK (PER 6)</v>
          </cell>
          <cell r="F330" t="e">
            <v>#N/A</v>
          </cell>
          <cell r="G330" t="e">
            <v>#N/A</v>
          </cell>
          <cell r="H330">
            <v>1.1499999999999999</v>
          </cell>
          <cell r="I330" t="e">
            <v>#N/A</v>
          </cell>
          <cell r="J330" t="e">
            <v>#N/A</v>
          </cell>
          <cell r="K330" t="e">
            <v>#N/A</v>
          </cell>
          <cell r="L330">
            <v>2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>
            <v>3</v>
          </cell>
          <cell r="R330" t="e">
            <v>#N/A</v>
          </cell>
        </row>
        <row r="331">
          <cell r="A331" t="str">
            <v>D385659</v>
          </cell>
          <cell r="C331" t="str">
            <v>GB</v>
          </cell>
          <cell r="D331" t="str">
            <v>Diafragma pulsador Gm</v>
          </cell>
          <cell r="E331">
            <v>1</v>
          </cell>
          <cell r="F331">
            <v>1</v>
          </cell>
          <cell r="G331">
            <v>1.35</v>
          </cell>
          <cell r="H331">
            <v>1.1499999999999999</v>
          </cell>
          <cell r="I331">
            <v>1.5525</v>
          </cell>
          <cell r="J331">
            <v>1.6844625</v>
          </cell>
          <cell r="K331">
            <v>2.1055781249999996</v>
          </cell>
          <cell r="L331">
            <v>2</v>
          </cell>
          <cell r="M331">
            <v>2.3395312499999994</v>
          </cell>
          <cell r="N331">
            <v>2.4565078124999995</v>
          </cell>
          <cell r="O331">
            <v>2.7523897058823521</v>
          </cell>
          <cell r="P331">
            <v>3.0276286764705875</v>
          </cell>
          <cell r="Q331">
            <v>3</v>
          </cell>
          <cell r="R331">
            <v>3.4404871323529398</v>
          </cell>
        </row>
        <row r="332">
          <cell r="A332" t="str">
            <v>D385685</v>
          </cell>
          <cell r="D332" t="str">
            <v>GASKET FILTER HOUSING LECTRON</v>
          </cell>
          <cell r="F332">
            <v>5.24</v>
          </cell>
          <cell r="G332">
            <v>7.0740000000000007</v>
          </cell>
          <cell r="H332">
            <v>1.1499999999999999</v>
          </cell>
          <cell r="I332">
            <v>8.1350999999999996</v>
          </cell>
          <cell r="J332">
            <v>8.8265834999999999</v>
          </cell>
          <cell r="K332">
            <v>11.033229374999999</v>
          </cell>
          <cell r="L332">
            <v>2</v>
          </cell>
          <cell r="M332">
            <v>12.25914375</v>
          </cell>
          <cell r="N332">
            <v>12.872100937500001</v>
          </cell>
          <cell r="O332">
            <v>14.42252205882353</v>
          </cell>
          <cell r="P332">
            <v>15.864774264705884</v>
          </cell>
          <cell r="Q332">
            <v>3</v>
          </cell>
          <cell r="R332">
            <v>18.028152573529411</v>
          </cell>
        </row>
        <row r="333">
          <cell r="A333" t="str">
            <v>D385779</v>
          </cell>
          <cell r="D333" t="str">
            <v>MILK CHAMBER</v>
          </cell>
          <cell r="F333">
            <v>2.2200000000000002</v>
          </cell>
          <cell r="G333">
            <v>2.9970000000000003</v>
          </cell>
          <cell r="H333">
            <v>1.1499999999999999</v>
          </cell>
          <cell r="I333">
            <v>3.4465500000000002</v>
          </cell>
          <cell r="J333">
            <v>3.7395067500000003</v>
          </cell>
          <cell r="K333">
            <v>4.6743834375000004</v>
          </cell>
          <cell r="L333">
            <v>2</v>
          </cell>
          <cell r="M333">
            <v>5.193759375</v>
          </cell>
          <cell r="N333">
            <v>5.4534473437500006</v>
          </cell>
          <cell r="O333">
            <v>6.1103051470588232</v>
          </cell>
          <cell r="P333">
            <v>6.721335661764706</v>
          </cell>
          <cell r="Q333">
            <v>3</v>
          </cell>
          <cell r="R333">
            <v>7.6378814338235284</v>
          </cell>
        </row>
        <row r="334">
          <cell r="A334" t="str">
            <v>D385779</v>
          </cell>
          <cell r="D334" t="str">
            <v>CHAMBER MILK ISOL 3</v>
          </cell>
          <cell r="E334" t="str">
            <v>1</v>
          </cell>
          <cell r="F334">
            <v>2.2200000000000002</v>
          </cell>
          <cell r="G334">
            <v>2.9970000000000003</v>
          </cell>
          <cell r="H334">
            <v>1.1499999999999999</v>
          </cell>
          <cell r="I334">
            <v>3.4465500000000002</v>
          </cell>
          <cell r="J334">
            <v>3.7395067500000003</v>
          </cell>
          <cell r="K334">
            <v>4.6743834375000004</v>
          </cell>
          <cell r="L334">
            <v>2</v>
          </cell>
          <cell r="M334">
            <v>5.193759375</v>
          </cell>
          <cell r="N334">
            <v>5.4534473437500006</v>
          </cell>
          <cell r="O334">
            <v>6.1103051470588232</v>
          </cell>
          <cell r="P334">
            <v>6.721335661764706</v>
          </cell>
          <cell r="Q334">
            <v>3</v>
          </cell>
          <cell r="R334">
            <v>7.6378814338235284</v>
          </cell>
        </row>
        <row r="335">
          <cell r="A335" t="str">
            <v>D385780</v>
          </cell>
          <cell r="D335" t="e">
            <v>#N/A</v>
          </cell>
          <cell r="F335">
            <v>1.18</v>
          </cell>
          <cell r="G335">
            <v>1.593</v>
          </cell>
          <cell r="H335">
            <v>1.1499999999999999</v>
          </cell>
          <cell r="I335">
            <v>1.8319499999999997</v>
          </cell>
          <cell r="J335">
            <v>1.9876657499999997</v>
          </cell>
          <cell r="K335">
            <v>2.4845821874999996</v>
          </cell>
          <cell r="L335">
            <v>2</v>
          </cell>
          <cell r="M335">
            <v>2.7606468749999995</v>
          </cell>
          <cell r="N335">
            <v>2.8986792187499995</v>
          </cell>
          <cell r="O335">
            <v>3.2478198529411761</v>
          </cell>
          <cell r="P335">
            <v>3.5726018382352942</v>
          </cell>
          <cell r="Q335">
            <v>3</v>
          </cell>
          <cell r="R335">
            <v>4.0597748161764695</v>
          </cell>
        </row>
        <row r="336">
          <cell r="A336" t="str">
            <v>D385784 x 6</v>
          </cell>
          <cell r="C336" t="str">
            <v>GM</v>
          </cell>
          <cell r="D336" t="str">
            <v>Tobera válvula sensor</v>
          </cell>
          <cell r="E336">
            <v>6</v>
          </cell>
          <cell r="F336">
            <v>0.77500000000000002</v>
          </cell>
          <cell r="G336">
            <v>1.0462500000000001</v>
          </cell>
          <cell r="H336">
            <v>1.1499999999999999</v>
          </cell>
          <cell r="I336">
            <v>1.2031875000000001</v>
          </cell>
          <cell r="J336">
            <v>1.3054584375</v>
          </cell>
          <cell r="K336">
            <v>1.8649406250000002</v>
          </cell>
          <cell r="L336">
            <v>2</v>
          </cell>
          <cell r="M336">
            <v>2.0721562500000004</v>
          </cell>
          <cell r="N336">
            <v>2.1757640625000003</v>
          </cell>
          <cell r="O336">
            <v>2.4378308823529418</v>
          </cell>
          <cell r="P336">
            <v>2.681613970588236</v>
          </cell>
          <cell r="Q336">
            <v>3</v>
          </cell>
          <cell r="R336">
            <v>3.047288602941177</v>
          </cell>
        </row>
        <row r="337">
          <cell r="A337" t="str">
            <v>D385785</v>
          </cell>
          <cell r="D337" t="str">
            <v>NUT THUMB ISOL 3</v>
          </cell>
          <cell r="F337" t="e">
            <v>#N/A</v>
          </cell>
          <cell r="G337" t="e">
            <v>#N/A</v>
          </cell>
          <cell r="H337">
            <v>1.1499999999999999</v>
          </cell>
          <cell r="I337" t="e">
            <v>#N/A</v>
          </cell>
          <cell r="J337" t="e">
            <v>#N/A</v>
          </cell>
          <cell r="K337" t="e">
            <v>#N/A</v>
          </cell>
          <cell r="L337">
            <v>2</v>
          </cell>
          <cell r="M337" t="e">
            <v>#N/A</v>
          </cell>
          <cell r="N337" t="e">
            <v>#N/A</v>
          </cell>
          <cell r="O337" t="e">
            <v>#N/A</v>
          </cell>
          <cell r="P337" t="e">
            <v>#N/A</v>
          </cell>
          <cell r="Q337">
            <v>3</v>
          </cell>
          <cell r="R337" t="e">
            <v>#N/A</v>
          </cell>
        </row>
        <row r="338">
          <cell r="A338" t="str">
            <v>D433518</v>
          </cell>
          <cell r="C338" t="str">
            <v>GM</v>
          </cell>
          <cell r="D338" t="str">
            <v>LID 2 NOZZLE DIA  76 ASSEMBLY</v>
          </cell>
          <cell r="E338">
            <v>1</v>
          </cell>
          <cell r="F338">
            <v>121.11</v>
          </cell>
          <cell r="G338">
            <v>163.49850000000001</v>
          </cell>
          <cell r="H338">
            <v>1.1499999999999999</v>
          </cell>
          <cell r="I338">
            <v>188.02327499999998</v>
          </cell>
          <cell r="J338">
            <v>204.00525337499997</v>
          </cell>
          <cell r="K338">
            <v>255.00656671874995</v>
          </cell>
          <cell r="L338">
            <v>3</v>
          </cell>
          <cell r="M338">
            <v>300.00772555147051</v>
          </cell>
          <cell r="N338">
            <v>315.00811182904403</v>
          </cell>
          <cell r="O338">
            <v>352.95026535467122</v>
          </cell>
          <cell r="P338">
            <v>388.24529189013839</v>
          </cell>
          <cell r="Q338">
            <v>3</v>
          </cell>
          <cell r="R338">
            <v>441.18783169333898</v>
          </cell>
        </row>
        <row r="339">
          <cell r="A339" t="str">
            <v>D480019</v>
          </cell>
          <cell r="C339" t="str">
            <v>GM</v>
          </cell>
          <cell r="D339" t="str">
            <v>Lubricante</v>
          </cell>
          <cell r="E339">
            <v>1</v>
          </cell>
          <cell r="F339">
            <v>10.37</v>
          </cell>
          <cell r="G339">
            <v>13.999499999999999</v>
          </cell>
          <cell r="H339">
            <v>1.1499999999999999</v>
          </cell>
          <cell r="I339">
            <v>16.099424999999997</v>
          </cell>
          <cell r="J339">
            <v>17.467876124999997</v>
          </cell>
          <cell r="K339">
            <v>24.954108749999996</v>
          </cell>
          <cell r="L339">
            <v>2</v>
          </cell>
          <cell r="M339">
            <v>27.726787499999993</v>
          </cell>
          <cell r="N339">
            <v>29.113126874999995</v>
          </cell>
          <cell r="O339">
            <v>32.619749999999996</v>
          </cell>
          <cell r="P339">
            <v>35.881724999999996</v>
          </cell>
          <cell r="Q339">
            <v>3</v>
          </cell>
          <cell r="R339">
            <v>40.774687499999992</v>
          </cell>
        </row>
        <row r="340">
          <cell r="A340" t="str">
            <v>D480074</v>
          </cell>
          <cell r="C340" t="str">
            <v>GM</v>
          </cell>
          <cell r="D340" t="str">
            <v>Vakvuka de cierre GM</v>
          </cell>
          <cell r="E340">
            <v>1</v>
          </cell>
          <cell r="F340">
            <v>10.68</v>
          </cell>
          <cell r="G340">
            <v>14.418000000000001</v>
          </cell>
          <cell r="H340">
            <v>1.1499999999999999</v>
          </cell>
          <cell r="I340">
            <v>16.5807</v>
          </cell>
          <cell r="J340">
            <v>17.990059500000001</v>
          </cell>
          <cell r="K340">
            <v>22.487574375000001</v>
          </cell>
          <cell r="L340">
            <v>2</v>
          </cell>
          <cell r="M340">
            <v>24.986193750000002</v>
          </cell>
          <cell r="N340">
            <v>26.235503437500004</v>
          </cell>
          <cell r="O340">
            <v>29.395522058823531</v>
          </cell>
          <cell r="P340">
            <v>32.335074264705888</v>
          </cell>
          <cell r="Q340">
            <v>3</v>
          </cell>
          <cell r="R340">
            <v>36.744402573529413</v>
          </cell>
        </row>
        <row r="341">
          <cell r="A341" t="str">
            <v>D480080</v>
          </cell>
          <cell r="C341" t="str">
            <v>GM</v>
          </cell>
          <cell r="D341" t="str">
            <v>DIAPHRAGM-VALVE,DIA17,DV5</v>
          </cell>
          <cell r="E341">
            <v>1</v>
          </cell>
          <cell r="F341">
            <v>9.9</v>
          </cell>
          <cell r="G341">
            <v>13.365000000000002</v>
          </cell>
          <cell r="H341">
            <v>1.1499999999999999</v>
          </cell>
          <cell r="I341">
            <v>15.369750000000002</v>
          </cell>
          <cell r="J341">
            <v>16.676178750000002</v>
          </cell>
          <cell r="K341">
            <v>23.823112500000004</v>
          </cell>
          <cell r="L341">
            <v>2</v>
          </cell>
          <cell r="M341">
            <v>26.470125000000003</v>
          </cell>
          <cell r="N341">
            <v>27.793631250000004</v>
          </cell>
          <cell r="O341">
            <v>31.141323529411768</v>
          </cell>
          <cell r="P341">
            <v>34.255455882352948</v>
          </cell>
          <cell r="Q341">
            <v>3</v>
          </cell>
          <cell r="R341">
            <v>38.926654411764709</v>
          </cell>
        </row>
        <row r="342">
          <cell r="A342" t="str">
            <v>D480128</v>
          </cell>
          <cell r="C342" t="str">
            <v>GM</v>
          </cell>
          <cell r="D342" t="str">
            <v>ISOLATOR 3,ACR RAM ASSY</v>
          </cell>
          <cell r="E342">
            <v>1</v>
          </cell>
          <cell r="F342">
            <v>94.600000000000009</v>
          </cell>
          <cell r="G342">
            <v>127.71000000000002</v>
          </cell>
          <cell r="H342">
            <v>1.1499999999999999</v>
          </cell>
          <cell r="I342">
            <v>146.8665</v>
          </cell>
          <cell r="J342">
            <v>159.35015250000001</v>
          </cell>
          <cell r="K342">
            <v>227.64307500000004</v>
          </cell>
          <cell r="L342">
            <v>2</v>
          </cell>
          <cell r="M342">
            <v>252.93675000000005</v>
          </cell>
          <cell r="N342">
            <v>265.58358750000008</v>
          </cell>
          <cell r="O342">
            <v>297.57264705882358</v>
          </cell>
          <cell r="P342">
            <v>327.32991176470597</v>
          </cell>
          <cell r="Q342">
            <v>3</v>
          </cell>
          <cell r="R342">
            <v>371.96580882352947</v>
          </cell>
        </row>
        <row r="343">
          <cell r="A343" t="str">
            <v>D480128G</v>
          </cell>
          <cell r="D343" t="e">
            <v>#N/A</v>
          </cell>
          <cell r="F343">
            <v>88.42</v>
          </cell>
          <cell r="G343">
            <v>119.367</v>
          </cell>
          <cell r="H343">
            <v>1.1499999999999999</v>
          </cell>
          <cell r="I343">
            <v>137.27205000000001</v>
          </cell>
          <cell r="J343">
            <v>148.94017425000001</v>
          </cell>
          <cell r="K343">
            <v>186.17521781249999</v>
          </cell>
          <cell r="L343">
            <v>2</v>
          </cell>
          <cell r="M343">
            <v>206.86135312499999</v>
          </cell>
          <cell r="N343">
            <v>217.20442078125001</v>
          </cell>
          <cell r="O343">
            <v>243.36629779411766</v>
          </cell>
          <cell r="P343">
            <v>267.70292757352945</v>
          </cell>
          <cell r="Q343">
            <v>3</v>
          </cell>
          <cell r="R343">
            <v>304.20787224264706</v>
          </cell>
        </row>
        <row r="344">
          <cell r="A344" t="str">
            <v>D480130</v>
          </cell>
          <cell r="D344" t="str">
            <v>BODY &amp; SWITCH ASSY ISO3 ACR</v>
          </cell>
          <cell r="F344" t="e">
            <v>#N/A</v>
          </cell>
          <cell r="G344" t="e">
            <v>#N/A</v>
          </cell>
          <cell r="H344">
            <v>1.1499999999999999</v>
          </cell>
          <cell r="I344" t="e">
            <v>#N/A</v>
          </cell>
          <cell r="J344" t="e">
            <v>#N/A</v>
          </cell>
          <cell r="K344" t="e">
            <v>#N/A</v>
          </cell>
          <cell r="L344">
            <v>2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>
            <v>3</v>
          </cell>
          <cell r="R344" t="e">
            <v>#N/A</v>
          </cell>
        </row>
        <row r="345">
          <cell r="A345" t="str">
            <v>D480151</v>
          </cell>
          <cell r="D345" t="e">
            <v>#N/A</v>
          </cell>
          <cell r="F345" t="e">
            <v>#N/A</v>
          </cell>
          <cell r="G345" t="e">
            <v>#N/A</v>
          </cell>
          <cell r="H345">
            <v>1.1499999999999999</v>
          </cell>
          <cell r="I345" t="e">
            <v>#N/A</v>
          </cell>
          <cell r="J345" t="e">
            <v>#N/A</v>
          </cell>
          <cell r="K345" t="e">
            <v>#N/A</v>
          </cell>
          <cell r="L345">
            <v>2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>
            <v>3</v>
          </cell>
          <cell r="R345" t="e">
            <v>#N/A</v>
          </cell>
        </row>
        <row r="346">
          <cell r="A346" t="str">
            <v>D494147</v>
          </cell>
          <cell r="C346" t="str">
            <v>GM</v>
          </cell>
          <cell r="D346" t="str">
            <v>Pulsador GM 2 salidas(PULSATOR,LECTRON,TL)</v>
          </cell>
          <cell r="E346">
            <v>1</v>
          </cell>
          <cell r="F346">
            <v>119.64</v>
          </cell>
          <cell r="G346">
            <v>161.51400000000001</v>
          </cell>
          <cell r="H346">
            <v>1.1499999999999999</v>
          </cell>
          <cell r="I346">
            <v>185.74109999999999</v>
          </cell>
          <cell r="J346">
            <v>201.52909349999999</v>
          </cell>
          <cell r="K346">
            <v>251.91136687499997</v>
          </cell>
          <cell r="L346">
            <v>3</v>
          </cell>
          <cell r="M346">
            <v>296.36631397058818</v>
          </cell>
          <cell r="N346">
            <v>311.18462966911761</v>
          </cell>
          <cell r="O346">
            <v>348.66625173010374</v>
          </cell>
          <cell r="P346">
            <v>383.53287690311413</v>
          </cell>
          <cell r="Q346">
            <v>3</v>
          </cell>
          <cell r="R346">
            <v>435.83281466262963</v>
          </cell>
        </row>
        <row r="347">
          <cell r="A347" t="str">
            <v>D494153</v>
          </cell>
          <cell r="D347" t="e">
            <v>#N/A</v>
          </cell>
          <cell r="F347">
            <v>5.41</v>
          </cell>
          <cell r="G347">
            <v>7.3035000000000005</v>
          </cell>
          <cell r="H347">
            <v>1.1499999999999999</v>
          </cell>
          <cell r="I347">
            <v>8.399025</v>
          </cell>
          <cell r="J347">
            <v>9.112942125</v>
          </cell>
          <cell r="K347">
            <v>11.391177656249999</v>
          </cell>
          <cell r="L347">
            <v>2</v>
          </cell>
          <cell r="M347">
            <v>12.656864062499999</v>
          </cell>
          <cell r="N347">
            <v>13.289707265624999</v>
          </cell>
          <cell r="O347">
            <v>14.890428308823529</v>
          </cell>
          <cell r="P347">
            <v>16.379471139705881</v>
          </cell>
          <cell r="Q347">
            <v>3</v>
          </cell>
          <cell r="R347">
            <v>18.613035386029409</v>
          </cell>
        </row>
        <row r="348">
          <cell r="A348" t="str">
            <v>D494170</v>
          </cell>
          <cell r="C348" t="str">
            <v>GM</v>
          </cell>
          <cell r="D348" t="str">
            <v>ISOLATOR TL ASSEMBLY</v>
          </cell>
          <cell r="E348">
            <v>1</v>
          </cell>
          <cell r="F348">
            <v>75.900000000000006</v>
          </cell>
          <cell r="G348">
            <v>102.46500000000002</v>
          </cell>
          <cell r="H348">
            <v>1.1499999999999999</v>
          </cell>
          <cell r="I348">
            <v>117.83475000000001</v>
          </cell>
          <cell r="J348">
            <v>127.85070375000001</v>
          </cell>
          <cell r="K348">
            <v>182.64386250000001</v>
          </cell>
          <cell r="L348">
            <v>2</v>
          </cell>
          <cell r="M348">
            <v>202.937625</v>
          </cell>
          <cell r="N348">
            <v>213.08450625</v>
          </cell>
          <cell r="O348">
            <v>238.75014705882353</v>
          </cell>
          <cell r="P348">
            <v>262.62516176470592</v>
          </cell>
          <cell r="Q348">
            <v>3</v>
          </cell>
          <cell r="R348">
            <v>298.43768382352937</v>
          </cell>
        </row>
        <row r="349">
          <cell r="A349" t="str">
            <v>D498794</v>
          </cell>
          <cell r="C349" t="str">
            <v>??</v>
          </cell>
          <cell r="D349" t="e">
            <v>#N/A</v>
          </cell>
          <cell r="F349" t="e">
            <v>#N/A</v>
          </cell>
          <cell r="G349" t="e">
            <v>#N/A</v>
          </cell>
          <cell r="H349">
            <v>1.1499999999999999</v>
          </cell>
          <cell r="I349" t="e">
            <v>#N/A</v>
          </cell>
          <cell r="J349" t="e">
            <v>#N/A</v>
          </cell>
          <cell r="K349" t="e">
            <v>#N/A</v>
          </cell>
          <cell r="L349">
            <v>2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>
            <v>3</v>
          </cell>
          <cell r="R349" t="e">
            <v>#N/A</v>
          </cell>
        </row>
        <row r="350">
          <cell r="A350" t="str">
            <v>D533496</v>
          </cell>
          <cell r="C350" t="str">
            <v>ejes</v>
          </cell>
          <cell r="D350" t="e">
            <v>#N/A</v>
          </cell>
          <cell r="F350" t="e">
            <v>#N/A</v>
          </cell>
          <cell r="G350" t="e">
            <v>#N/A</v>
          </cell>
          <cell r="H350">
            <v>1.1499999999999999</v>
          </cell>
          <cell r="I350" t="e">
            <v>#N/A</v>
          </cell>
          <cell r="J350" t="e">
            <v>#N/A</v>
          </cell>
          <cell r="K350" t="e">
            <v>#N/A</v>
          </cell>
          <cell r="L350">
            <v>2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>
            <v>3</v>
          </cell>
          <cell r="R350" t="e">
            <v>#N/A</v>
          </cell>
        </row>
        <row r="351">
          <cell r="A351" t="str">
            <v>F113621C</v>
          </cell>
          <cell r="C351" t="str">
            <v>GM</v>
          </cell>
          <cell r="D351" t="str">
            <v>RCVR 55 L SANI TRAP D 76 W/O</v>
          </cell>
          <cell r="E351">
            <v>1</v>
          </cell>
          <cell r="F351">
            <v>1398.07</v>
          </cell>
          <cell r="G351">
            <v>1887.3945000000001</v>
          </cell>
          <cell r="H351">
            <v>1.1499999999999999</v>
          </cell>
          <cell r="I351">
            <v>2170.5036749999999</v>
          </cell>
          <cell r="J351">
            <v>2354.996487375</v>
          </cell>
          <cell r="K351">
            <v>2943.7456092187499</v>
          </cell>
          <cell r="L351">
            <v>3</v>
          </cell>
          <cell r="M351">
            <v>3463.2301284926471</v>
          </cell>
          <cell r="N351">
            <v>3636.3916349172796</v>
          </cell>
          <cell r="O351">
            <v>4074.3883864619379</v>
          </cell>
          <cell r="P351">
            <v>4481.8272251081316</v>
          </cell>
          <cell r="Q351">
            <v>3</v>
          </cell>
          <cell r="R351">
            <v>5092.985483077422</v>
          </cell>
        </row>
        <row r="352">
          <cell r="A352" t="str">
            <v>F113690C</v>
          </cell>
          <cell r="C352" t="str">
            <v>GM</v>
          </cell>
          <cell r="D352" t="str">
            <v>RCVR 100 L 1 TRAP D 76 W/O</v>
          </cell>
          <cell r="E352">
            <v>1</v>
          </cell>
          <cell r="F352">
            <v>1588.69</v>
          </cell>
          <cell r="G352">
            <v>2144.7315000000003</v>
          </cell>
          <cell r="H352">
            <v>1.1499999999999999</v>
          </cell>
          <cell r="I352">
            <v>2466.441225</v>
          </cell>
          <cell r="J352">
            <v>2676.0887291250001</v>
          </cell>
          <cell r="K352">
            <v>3345.1109114062501</v>
          </cell>
          <cell r="L352">
            <v>3</v>
          </cell>
          <cell r="M352">
            <v>3935.4246016544121</v>
          </cell>
          <cell r="N352">
            <v>4132.1958317371327</v>
          </cell>
          <cell r="O352">
            <v>4629.9112960640141</v>
          </cell>
          <cell r="P352">
            <v>5092.9024256704161</v>
          </cell>
          <cell r="Q352">
            <v>3</v>
          </cell>
          <cell r="R352">
            <v>5787.3891200800172</v>
          </cell>
        </row>
        <row r="353">
          <cell r="A353" t="str">
            <v>F140052C</v>
          </cell>
          <cell r="C353" t="str">
            <v>GM</v>
          </cell>
          <cell r="D353" t="str">
            <v>Extractor GM completo c/brazo(SWING-OVER-ISOLATOR XP P/UNIT)</v>
          </cell>
          <cell r="E353">
            <v>1</v>
          </cell>
          <cell r="F353">
            <v>528.98</v>
          </cell>
          <cell r="G353">
            <v>714.12300000000005</v>
          </cell>
          <cell r="H353">
            <v>1.1499999999999999</v>
          </cell>
          <cell r="I353">
            <v>821.24144999999999</v>
          </cell>
          <cell r="J353">
            <v>891.04697324999995</v>
          </cell>
          <cell r="K353">
            <v>1113.8087165625</v>
          </cell>
          <cell r="L353">
            <v>2</v>
          </cell>
          <cell r="M353">
            <v>1237.5652406249999</v>
          </cell>
          <cell r="N353">
            <v>1299.4435026562498</v>
          </cell>
          <cell r="O353">
            <v>1455.959106617647</v>
          </cell>
          <cell r="P353">
            <v>1601.5550172794117</v>
          </cell>
          <cell r="Q353">
            <v>3</v>
          </cell>
          <cell r="R353">
            <v>1819.9488832720585</v>
          </cell>
        </row>
        <row r="354">
          <cell r="A354" t="str">
            <v>FF140200C</v>
          </cell>
          <cell r="C354" t="str">
            <v>GM</v>
          </cell>
          <cell r="D354" t="str">
            <v>Extractor GM sin brazo (DECRO ISOLATOR XP + VERIN A L')</v>
          </cell>
          <cell r="E354">
            <v>1</v>
          </cell>
          <cell r="F354">
            <v>342.92</v>
          </cell>
          <cell r="G354">
            <v>462.94200000000006</v>
          </cell>
          <cell r="H354">
            <v>1.1499999999999999</v>
          </cell>
          <cell r="I354">
            <v>532.38330000000008</v>
          </cell>
          <cell r="J354">
            <v>577.6358805000001</v>
          </cell>
          <cell r="K354">
            <v>722.04485062500009</v>
          </cell>
          <cell r="L354">
            <v>2</v>
          </cell>
          <cell r="M354">
            <v>802.27205625000011</v>
          </cell>
          <cell r="N354">
            <v>842.38565906250017</v>
          </cell>
          <cell r="O354">
            <v>943.84947794117659</v>
          </cell>
          <cell r="P354">
            <v>1038.2344257352943</v>
          </cell>
          <cell r="Q354">
            <v>3</v>
          </cell>
          <cell r="R354">
            <v>1179.8118474264706</v>
          </cell>
        </row>
        <row r="355">
          <cell r="A355" t="str">
            <v>L000001</v>
          </cell>
          <cell r="B355" t="str">
            <v>TL 16/26</v>
          </cell>
          <cell r="C355" t="str">
            <v>Tecnocom</v>
          </cell>
          <cell r="D355" t="str">
            <v>Tubo atóxico 16x26mm 5/8"</v>
          </cell>
          <cell r="E355">
            <v>25</v>
          </cell>
          <cell r="I355">
            <v>38</v>
          </cell>
          <cell r="J355">
            <v>41.23</v>
          </cell>
          <cell r="K355">
            <v>51.537499999999994</v>
          </cell>
          <cell r="L355">
            <v>2</v>
          </cell>
          <cell r="M355">
            <v>57.263888888888879</v>
          </cell>
          <cell r="N355">
            <v>60.127083333333324</v>
          </cell>
          <cell r="O355">
            <v>67.36928104575162</v>
          </cell>
          <cell r="P355">
            <v>74.106209150326791</v>
          </cell>
          <cell r="Q355">
            <v>3</v>
          </cell>
          <cell r="R355">
            <v>84.211601307189525</v>
          </cell>
        </row>
        <row r="356">
          <cell r="A356" t="str">
            <v>L000002</v>
          </cell>
          <cell r="B356" t="str">
            <v>TL 23/35</v>
          </cell>
          <cell r="C356" t="str">
            <v>Tecnocom</v>
          </cell>
          <cell r="D356" t="str">
            <v>Tubo atóxico 25x35 mm / 1 "</v>
          </cell>
          <cell r="E356">
            <v>25</v>
          </cell>
          <cell r="I356">
            <v>65</v>
          </cell>
          <cell r="J356">
            <v>70.524999999999991</v>
          </cell>
          <cell r="K356">
            <v>88.156249999999986</v>
          </cell>
          <cell r="L356">
            <v>2</v>
          </cell>
          <cell r="M356">
            <v>97.951388888888872</v>
          </cell>
          <cell r="N356">
            <v>102.84895833333331</v>
          </cell>
          <cell r="O356">
            <v>115.23692810457514</v>
          </cell>
          <cell r="P356">
            <v>126.76062091503266</v>
          </cell>
          <cell r="Q356">
            <v>3</v>
          </cell>
          <cell r="R356">
            <v>144.04616013071893</v>
          </cell>
        </row>
        <row r="357">
          <cell r="A357" t="str">
            <v>L000003</v>
          </cell>
          <cell r="B357" t="str">
            <v>TCIZ 7/14</v>
          </cell>
          <cell r="C357" t="str">
            <v>Tecnocom</v>
          </cell>
          <cell r="D357" t="str">
            <v>Tubo de pulsado 7x14mm 1/4"</v>
          </cell>
          <cell r="E357">
            <v>50</v>
          </cell>
          <cell r="I357">
            <v>27</v>
          </cell>
          <cell r="J357">
            <v>29.294999999999998</v>
          </cell>
          <cell r="K357">
            <v>36.618749999999999</v>
          </cell>
          <cell r="L357">
            <v>3</v>
          </cell>
          <cell r="M357">
            <v>43.080882352941174</v>
          </cell>
          <cell r="N357">
            <v>45.234926470588235</v>
          </cell>
          <cell r="O357">
            <v>50.683391003460208</v>
          </cell>
          <cell r="P357">
            <v>55.751730103806231</v>
          </cell>
          <cell r="Q357">
            <v>3</v>
          </cell>
          <cell r="R357">
            <v>63.354238754325259</v>
          </cell>
        </row>
        <row r="358">
          <cell r="A358" t="str">
            <v>L000004</v>
          </cell>
          <cell r="B358" t="str">
            <v>TCIZ 9/15</v>
          </cell>
          <cell r="C358" t="str">
            <v>Troyplast</v>
          </cell>
          <cell r="D358" t="str">
            <v>Tubo puls simple 9x15 mm 3/8"</v>
          </cell>
          <cell r="E358">
            <v>50</v>
          </cell>
          <cell r="I358">
            <v>105</v>
          </cell>
          <cell r="J358">
            <v>1.1169117647058824</v>
          </cell>
          <cell r="K358">
            <v>1.3961397058823528</v>
          </cell>
          <cell r="L358">
            <v>3</v>
          </cell>
          <cell r="M358">
            <v>1.6425173010380623</v>
          </cell>
          <cell r="N358">
            <v>1.7246431660899655</v>
          </cell>
          <cell r="O358">
            <v>1.9323732953388968</v>
          </cell>
          <cell r="P358">
            <v>2.1256106248727868</v>
          </cell>
          <cell r="Q358">
            <v>3</v>
          </cell>
          <cell r="R358">
            <v>2.4154666191736207</v>
          </cell>
        </row>
        <row r="359">
          <cell r="A359" t="str">
            <v>L000005</v>
          </cell>
          <cell r="B359" t="str">
            <v>MTF*1*25</v>
          </cell>
          <cell r="C359" t="str">
            <v>Tecnocom</v>
          </cell>
          <cell r="D359" t="str">
            <v>Manguera expelente 25 mm  1" ( 7 bar)</v>
          </cell>
          <cell r="E359">
            <v>25</v>
          </cell>
          <cell r="I359">
            <v>109.37</v>
          </cell>
          <cell r="J359">
            <v>118.66645</v>
          </cell>
          <cell r="K359">
            <v>148.33306249999998</v>
          </cell>
          <cell r="L359">
            <v>3</v>
          </cell>
          <cell r="M359">
            <v>174.50948529411764</v>
          </cell>
          <cell r="N359">
            <v>183.23495955882353</v>
          </cell>
          <cell r="O359">
            <v>205.30527681660899</v>
          </cell>
          <cell r="P359">
            <v>225.83580449826991</v>
          </cell>
          <cell r="Q359">
            <v>3</v>
          </cell>
          <cell r="R359">
            <v>256.63159602076121</v>
          </cell>
        </row>
        <row r="360">
          <cell r="A360" t="str">
            <v>L000006</v>
          </cell>
          <cell r="B360" t="str">
            <v>TEA * 25 * 30</v>
          </cell>
          <cell r="C360" t="str">
            <v>Tecnocom</v>
          </cell>
          <cell r="D360" t="str">
            <v>manguera aspirante expelente tricoflex1 '</v>
          </cell>
          <cell r="E360">
            <v>30</v>
          </cell>
          <cell r="I360">
            <v>89</v>
          </cell>
          <cell r="J360">
            <v>96.564999999999998</v>
          </cell>
          <cell r="K360">
            <v>120.70625</v>
          </cell>
          <cell r="L360">
            <v>2</v>
          </cell>
          <cell r="M360">
            <v>134.11805555555554</v>
          </cell>
          <cell r="N360">
            <v>140.82395833333334</v>
          </cell>
          <cell r="O360">
            <v>157.78594771241828</v>
          </cell>
          <cell r="P360">
            <v>173.56454248366012</v>
          </cell>
          <cell r="Q360">
            <v>3</v>
          </cell>
          <cell r="R360">
            <v>197.23243464052283</v>
          </cell>
        </row>
        <row r="361">
          <cell r="A361" t="str">
            <v>L000007</v>
          </cell>
          <cell r="B361" t="str">
            <v>TEA * 32 * 30</v>
          </cell>
          <cell r="C361" t="str">
            <v>Tecnocom</v>
          </cell>
          <cell r="D361" t="str">
            <v>manguera aspirante expelente tricoflex1 1/4 '</v>
          </cell>
          <cell r="E361">
            <v>30</v>
          </cell>
          <cell r="I361">
            <v>115</v>
          </cell>
          <cell r="J361">
            <v>124.77499999999999</v>
          </cell>
          <cell r="K361">
            <v>155.96874999999997</v>
          </cell>
          <cell r="L361">
            <v>2</v>
          </cell>
          <cell r="M361">
            <v>173.29861111111109</v>
          </cell>
          <cell r="N361">
            <v>181.96354166666666</v>
          </cell>
          <cell r="O361">
            <v>203.88071895424835</v>
          </cell>
          <cell r="P361">
            <v>224.26879084967319</v>
          </cell>
          <cell r="Q361">
            <v>3</v>
          </cell>
          <cell r="R361">
            <v>254.85089869281043</v>
          </cell>
        </row>
        <row r="362">
          <cell r="A362" t="str">
            <v>L000008</v>
          </cell>
          <cell r="B362" t="str">
            <v>TEA * 38 * 30</v>
          </cell>
          <cell r="C362" t="str">
            <v>Tecnocom</v>
          </cell>
          <cell r="D362" t="str">
            <v>manguera aspirante expelente tricoflex1 1/2 '</v>
          </cell>
          <cell r="E362">
            <v>30</v>
          </cell>
          <cell r="I362">
            <v>136</v>
          </cell>
          <cell r="J362">
            <v>147.56</v>
          </cell>
          <cell r="K362">
            <v>184.45</v>
          </cell>
          <cell r="L362">
            <v>2</v>
          </cell>
          <cell r="M362">
            <v>204.94444444444443</v>
          </cell>
          <cell r="N362">
            <v>215.19166666666666</v>
          </cell>
          <cell r="O362">
            <v>241.11111111111109</v>
          </cell>
          <cell r="P362">
            <v>265.22222222222223</v>
          </cell>
          <cell r="Q362">
            <v>3</v>
          </cell>
          <cell r="R362">
            <v>301.38888888888886</v>
          </cell>
        </row>
        <row r="363">
          <cell r="A363" t="str">
            <v>L000009</v>
          </cell>
          <cell r="B363" t="str">
            <v>TEA * 45 * 30</v>
          </cell>
          <cell r="C363" t="str">
            <v>Tecnocom</v>
          </cell>
          <cell r="D363" t="str">
            <v>manguera aspirante expelente tricoflex1 3/4 '</v>
          </cell>
          <cell r="E363">
            <v>30</v>
          </cell>
          <cell r="I363">
            <v>166</v>
          </cell>
          <cell r="J363">
            <v>180.10999999999999</v>
          </cell>
          <cell r="K363">
            <v>225.13749999999996</v>
          </cell>
          <cell r="L363">
            <v>2</v>
          </cell>
          <cell r="M363">
            <v>250.15277777777771</v>
          </cell>
          <cell r="N363">
            <v>262.66041666666661</v>
          </cell>
          <cell r="O363">
            <v>294.29738562091495</v>
          </cell>
          <cell r="P363">
            <v>323.72712418300648</v>
          </cell>
          <cell r="Q363">
            <v>3</v>
          </cell>
          <cell r="R363">
            <v>367.87173202614366</v>
          </cell>
        </row>
        <row r="364">
          <cell r="A364" t="str">
            <v>L000010</v>
          </cell>
          <cell r="B364" t="str">
            <v>TEA * 50 * 30</v>
          </cell>
          <cell r="C364" t="str">
            <v>Tecnocom</v>
          </cell>
          <cell r="D364" t="str">
            <v>manguera aspirante expelente tricoflex2 '</v>
          </cell>
          <cell r="E364">
            <v>30</v>
          </cell>
          <cell r="I364">
            <v>194</v>
          </cell>
          <cell r="J364">
            <v>210.48999999999998</v>
          </cell>
          <cell r="K364">
            <v>263.11249999999995</v>
          </cell>
          <cell r="L364">
            <v>2</v>
          </cell>
          <cell r="M364">
            <v>292.34722222222217</v>
          </cell>
          <cell r="N364">
            <v>306.96458333333328</v>
          </cell>
          <cell r="O364">
            <v>343.93790849673195</v>
          </cell>
          <cell r="P364">
            <v>378.33169934640517</v>
          </cell>
          <cell r="Q364">
            <v>3</v>
          </cell>
          <cell r="R364">
            <v>429.92238562091489</v>
          </cell>
        </row>
        <row r="365">
          <cell r="A365" t="str">
            <v>L000011</v>
          </cell>
          <cell r="B365" t="str">
            <v>TEA * 63 * 30</v>
          </cell>
          <cell r="C365" t="str">
            <v>Tecnocom</v>
          </cell>
          <cell r="D365" t="str">
            <v>manguera aspirante expelente tricoflex2 1/2 ´</v>
          </cell>
          <cell r="E365">
            <v>30</v>
          </cell>
          <cell r="I365">
            <v>267</v>
          </cell>
          <cell r="J365">
            <v>289.69499999999999</v>
          </cell>
          <cell r="K365">
            <v>362.11874999999998</v>
          </cell>
          <cell r="L365">
            <v>2</v>
          </cell>
          <cell r="M365">
            <v>402.35416666666663</v>
          </cell>
          <cell r="N365">
            <v>422.47187499999995</v>
          </cell>
          <cell r="O365">
            <v>473.35784313725486</v>
          </cell>
          <cell r="P365">
            <v>520.69362745098044</v>
          </cell>
          <cell r="Q365">
            <v>3</v>
          </cell>
          <cell r="R365">
            <v>591.6973039215685</v>
          </cell>
        </row>
        <row r="366">
          <cell r="A366" t="str">
            <v>L000012</v>
          </cell>
          <cell r="B366" t="str">
            <v>TEA * 68 * 30</v>
          </cell>
          <cell r="C366" t="str">
            <v>Tecnocom</v>
          </cell>
          <cell r="D366" t="str">
            <v>manguera aspirante expelente tricoflex2 3/4 '</v>
          </cell>
          <cell r="E366">
            <v>30</v>
          </cell>
          <cell r="I366">
            <v>309</v>
          </cell>
          <cell r="J366">
            <v>335.26499999999999</v>
          </cell>
          <cell r="K366">
            <v>419.08124999999995</v>
          </cell>
          <cell r="L366">
            <v>2</v>
          </cell>
          <cell r="M366">
            <v>465.64583333333326</v>
          </cell>
          <cell r="N366">
            <v>488.92812499999997</v>
          </cell>
          <cell r="O366">
            <v>547.81862745098033</v>
          </cell>
          <cell r="P366">
            <v>602.60049019607845</v>
          </cell>
          <cell r="Q366">
            <v>3</v>
          </cell>
          <cell r="R366">
            <v>684.77328431372541</v>
          </cell>
        </row>
        <row r="367">
          <cell r="A367" t="str">
            <v>L000013</v>
          </cell>
          <cell r="B367" t="str">
            <v>TEA * 76 * 30</v>
          </cell>
          <cell r="C367" t="str">
            <v>Tecnocom</v>
          </cell>
          <cell r="D367" t="str">
            <v>manguera aspirante expelente tricoflex3 ´</v>
          </cell>
          <cell r="E367">
            <v>30</v>
          </cell>
          <cell r="I367">
            <v>360</v>
          </cell>
          <cell r="J367">
            <v>390.59999999999997</v>
          </cell>
          <cell r="K367">
            <v>488.24999999999994</v>
          </cell>
          <cell r="L367">
            <v>2</v>
          </cell>
          <cell r="M367">
            <v>542.49999999999989</v>
          </cell>
          <cell r="N367">
            <v>569.62499999999989</v>
          </cell>
          <cell r="O367">
            <v>638.23529411764696</v>
          </cell>
          <cell r="P367">
            <v>702.05882352941171</v>
          </cell>
          <cell r="Q367">
            <v>3</v>
          </cell>
          <cell r="R367">
            <v>797.79411764705867</v>
          </cell>
        </row>
        <row r="368">
          <cell r="A368" t="str">
            <v>L000014</v>
          </cell>
          <cell r="B368" t="str">
            <v>TEA * 89 * 30</v>
          </cell>
          <cell r="C368" t="str">
            <v>Tecnocom</v>
          </cell>
          <cell r="D368" t="str">
            <v>manguera aspirante expelente tricoflex3 1/2 ´</v>
          </cell>
          <cell r="E368">
            <v>30</v>
          </cell>
          <cell r="I368">
            <v>421</v>
          </cell>
          <cell r="J368">
            <v>456.78499999999997</v>
          </cell>
          <cell r="K368">
            <v>570.98124999999993</v>
          </cell>
          <cell r="L368">
            <v>2</v>
          </cell>
          <cell r="M368">
            <v>634.42361111111097</v>
          </cell>
          <cell r="N368">
            <v>666.14479166666649</v>
          </cell>
          <cell r="O368">
            <v>746.38071895424821</v>
          </cell>
          <cell r="P368">
            <v>821.01879084967311</v>
          </cell>
          <cell r="Q368">
            <v>3</v>
          </cell>
          <cell r="R368">
            <v>932.97589869281023</v>
          </cell>
        </row>
        <row r="369">
          <cell r="A369" t="str">
            <v>L000015</v>
          </cell>
          <cell r="B369" t="str">
            <v>TEA * 101 * 20</v>
          </cell>
          <cell r="C369" t="str">
            <v>Tecnocom</v>
          </cell>
          <cell r="D369" t="str">
            <v>manguera aspirante expelente tricoflex4 ´</v>
          </cell>
          <cell r="E369">
            <v>20</v>
          </cell>
          <cell r="I369">
            <v>370</v>
          </cell>
          <cell r="J369">
            <v>401.45</v>
          </cell>
          <cell r="K369">
            <v>501.81249999999994</v>
          </cell>
          <cell r="L369">
            <v>2</v>
          </cell>
          <cell r="M369">
            <v>557.56944444444434</v>
          </cell>
          <cell r="N369">
            <v>585.44791666666663</v>
          </cell>
          <cell r="O369">
            <v>655.96405228758158</v>
          </cell>
          <cell r="P369">
            <v>721.56045751633985</v>
          </cell>
          <cell r="Q369">
            <v>3</v>
          </cell>
          <cell r="R369">
            <v>819.95506535947698</v>
          </cell>
        </row>
        <row r="370">
          <cell r="A370" t="str">
            <v>L000016</v>
          </cell>
          <cell r="B370">
            <v>4407010000</v>
          </cell>
          <cell r="C370" t="str">
            <v>Omega</v>
          </cell>
          <cell r="D370" t="str">
            <v>Conector de leche curvo para caño 38.1 / 50,8 mm.</v>
          </cell>
          <cell r="E370">
            <v>1</v>
          </cell>
          <cell r="I370">
            <v>2000</v>
          </cell>
          <cell r="J370">
            <v>21.274509803921568</v>
          </cell>
          <cell r="K370">
            <v>26.593137254901958</v>
          </cell>
          <cell r="L370">
            <v>2</v>
          </cell>
          <cell r="M370">
            <v>29.547930283224396</v>
          </cell>
          <cell r="N370">
            <v>31.025326797385617</v>
          </cell>
          <cell r="O370">
            <v>34.762270921440468</v>
          </cell>
          <cell r="P370">
            <v>38.238498013584518</v>
          </cell>
          <cell r="Q370">
            <v>3</v>
          </cell>
          <cell r="R370">
            <v>43.452838651800583</v>
          </cell>
        </row>
        <row r="371">
          <cell r="A371" t="str">
            <v>L000017</v>
          </cell>
          <cell r="B371">
            <v>4407020000</v>
          </cell>
          <cell r="C371" t="str">
            <v>Omega</v>
          </cell>
          <cell r="D371" t="str">
            <v>Conector de leche curvo para caño 63.5 / 76.5 mm.</v>
          </cell>
          <cell r="E371">
            <v>1</v>
          </cell>
          <cell r="I371">
            <v>2100</v>
          </cell>
          <cell r="J371">
            <v>22.338235294117649</v>
          </cell>
          <cell r="K371">
            <v>27.922794117647058</v>
          </cell>
          <cell r="L371">
            <v>2</v>
          </cell>
          <cell r="M371">
            <v>31.02532679738562</v>
          </cell>
          <cell r="N371">
            <v>32.576593137254903</v>
          </cell>
          <cell r="O371">
            <v>36.500384467512497</v>
          </cell>
          <cell r="P371">
            <v>40.15042291426375</v>
          </cell>
          <cell r="Q371">
            <v>3</v>
          </cell>
          <cell r="R371">
            <v>45.625480584390615</v>
          </cell>
        </row>
        <row r="372">
          <cell r="A372" t="str">
            <v>L000018</v>
          </cell>
          <cell r="C372" t="str">
            <v>Beltrando</v>
          </cell>
          <cell r="D372" t="str">
            <v>Bombas de vacío TM 2 (700)</v>
          </cell>
          <cell r="E372">
            <v>1</v>
          </cell>
          <cell r="I372">
            <v>1600</v>
          </cell>
          <cell r="J372">
            <v>17.019607843137255</v>
          </cell>
          <cell r="K372">
            <v>21.274509803921568</v>
          </cell>
          <cell r="L372">
            <v>3</v>
          </cell>
          <cell r="M372">
            <v>25.028835063437139</v>
          </cell>
          <cell r="N372">
            <v>26.280276816608996</v>
          </cell>
          <cell r="O372">
            <v>29.445688309926048</v>
          </cell>
          <cell r="P372">
            <v>32.390257140918656</v>
          </cell>
          <cell r="Q372">
            <v>3</v>
          </cell>
          <cell r="R372">
            <v>36.807110387407555</v>
          </cell>
        </row>
        <row r="373">
          <cell r="A373" t="str">
            <v>L000019</v>
          </cell>
          <cell r="C373" t="str">
            <v>Beltrando</v>
          </cell>
          <cell r="D373" t="str">
            <v>Bombas de vacío TM 3 ( 950)</v>
          </cell>
          <cell r="E373">
            <v>1</v>
          </cell>
          <cell r="I373">
            <v>1755</v>
          </cell>
          <cell r="J373">
            <v>18.668382352941176</v>
          </cell>
          <cell r="K373">
            <v>23.335477941176467</v>
          </cell>
          <cell r="L373">
            <v>3</v>
          </cell>
          <cell r="M373">
            <v>27.45350346020761</v>
          </cell>
          <cell r="N373">
            <v>28.826178633217992</v>
          </cell>
          <cell r="O373">
            <v>32.298239364950128</v>
          </cell>
          <cell r="P373">
            <v>35.528063301445144</v>
          </cell>
          <cell r="Q373">
            <v>3</v>
          </cell>
          <cell r="R373">
            <v>40.372799206187658</v>
          </cell>
        </row>
        <row r="374">
          <cell r="A374" t="str">
            <v>L000020</v>
          </cell>
          <cell r="C374" t="str">
            <v>Beltrando</v>
          </cell>
          <cell r="D374" t="str">
            <v>Bombas de vacío TM 1200</v>
          </cell>
          <cell r="E374">
            <v>1</v>
          </cell>
          <cell r="I374">
            <v>2046</v>
          </cell>
          <cell r="J374">
            <v>21.763823529411763</v>
          </cell>
          <cell r="K374">
            <v>27.204779411764701</v>
          </cell>
          <cell r="L374">
            <v>3</v>
          </cell>
          <cell r="M374">
            <v>32.00562283737024</v>
          </cell>
          <cell r="N374">
            <v>33.605903979238754</v>
          </cell>
          <cell r="O374">
            <v>37.653673926317929</v>
          </cell>
          <cell r="P374">
            <v>41.419041318949724</v>
          </cell>
          <cell r="Q374">
            <v>3</v>
          </cell>
          <cell r="R374">
            <v>47.067092407897405</v>
          </cell>
        </row>
        <row r="375">
          <cell r="A375" t="str">
            <v>L000021</v>
          </cell>
          <cell r="C375" t="str">
            <v>Beltrando</v>
          </cell>
          <cell r="D375" t="str">
            <v>Bombas de vacío B 1800</v>
          </cell>
          <cell r="E375">
            <v>1</v>
          </cell>
          <cell r="I375">
            <v>2930</v>
          </cell>
          <cell r="J375">
            <v>31.167156862745095</v>
          </cell>
          <cell r="K375">
            <v>38.958946078431367</v>
          </cell>
          <cell r="L375">
            <v>3</v>
          </cell>
          <cell r="M375">
            <v>45.834054209919259</v>
          </cell>
          <cell r="N375">
            <v>48.12575692041522</v>
          </cell>
          <cell r="O375">
            <v>53.922416717552068</v>
          </cell>
          <cell r="P375">
            <v>59.314658389307276</v>
          </cell>
          <cell r="Q375">
            <v>3</v>
          </cell>
          <cell r="R375">
            <v>67.403020896940077</v>
          </cell>
        </row>
        <row r="376">
          <cell r="A376" t="str">
            <v>L000022</v>
          </cell>
          <cell r="C376" t="str">
            <v>Beltrando</v>
          </cell>
          <cell r="D376" t="str">
            <v>Silenciador Bombas vacío entrada y salida 1 1/4</v>
          </cell>
          <cell r="E376">
            <v>1</v>
          </cell>
          <cell r="I376">
            <v>200</v>
          </cell>
          <cell r="J376">
            <v>2.1274509803921569</v>
          </cell>
          <cell r="K376">
            <v>2.659313725490196</v>
          </cell>
          <cell r="L376">
            <v>3</v>
          </cell>
          <cell r="M376">
            <v>3.1286043829296424</v>
          </cell>
          <cell r="N376">
            <v>3.2850346020761245</v>
          </cell>
          <cell r="O376">
            <v>3.680711038740756</v>
          </cell>
          <cell r="P376">
            <v>4.048782142614832</v>
          </cell>
          <cell r="Q376">
            <v>3</v>
          </cell>
          <cell r="R376">
            <v>4.6008887984259443</v>
          </cell>
        </row>
        <row r="377">
          <cell r="A377" t="str">
            <v>L000023</v>
          </cell>
          <cell r="C377" t="str">
            <v>Beltrando</v>
          </cell>
          <cell r="D377" t="str">
            <v xml:space="preserve">Polea mecanizada A-150  </v>
          </cell>
          <cell r="E377">
            <v>1</v>
          </cell>
          <cell r="I377">
            <v>200</v>
          </cell>
          <cell r="J377">
            <v>2.1274509803921569</v>
          </cell>
          <cell r="K377">
            <v>2.659313725490196</v>
          </cell>
          <cell r="L377">
            <v>3</v>
          </cell>
          <cell r="M377">
            <v>3.1286043829296424</v>
          </cell>
          <cell r="N377">
            <v>3.2850346020761245</v>
          </cell>
          <cell r="O377">
            <v>3.680711038740756</v>
          </cell>
          <cell r="P377">
            <v>4.048782142614832</v>
          </cell>
          <cell r="Q377">
            <v>3</v>
          </cell>
          <cell r="R377">
            <v>4.6008887984259443</v>
          </cell>
        </row>
        <row r="378">
          <cell r="A378" t="str">
            <v>L000024</v>
          </cell>
          <cell r="B378">
            <v>21002</v>
          </cell>
          <cell r="C378" t="str">
            <v>Indargom</v>
          </cell>
          <cell r="D378" t="str">
            <v>balde trampa 50 l rotomoldeado</v>
          </cell>
          <cell r="E378">
            <v>1</v>
          </cell>
          <cell r="I378">
            <v>233</v>
          </cell>
          <cell r="J378">
            <v>2.4784803921568623</v>
          </cell>
          <cell r="K378">
            <v>3.0981004901960776</v>
          </cell>
          <cell r="L378">
            <v>3</v>
          </cell>
          <cell r="M378">
            <v>3.6448241061130324</v>
          </cell>
          <cell r="N378">
            <v>3.8270653114186843</v>
          </cell>
          <cell r="O378">
            <v>4.2880283601329792</v>
          </cell>
          <cell r="P378">
            <v>4.7168311961462779</v>
          </cell>
          <cell r="Q378">
            <v>3</v>
          </cell>
          <cell r="R378">
            <v>5.3600354501662233</v>
          </cell>
        </row>
        <row r="379">
          <cell r="A379" t="str">
            <v>L000025</v>
          </cell>
          <cell r="C379" t="str">
            <v>Omega</v>
          </cell>
          <cell r="D379" t="str">
            <v>Base motor y Bomba de vacío regulable c / cubrepolea</v>
          </cell>
          <cell r="E379">
            <v>1</v>
          </cell>
          <cell r="I379">
            <v>500</v>
          </cell>
          <cell r="J379">
            <v>5.3186274509803919</v>
          </cell>
          <cell r="K379">
            <v>6.6482843137254894</v>
          </cell>
          <cell r="L379">
            <v>3</v>
          </cell>
          <cell r="M379">
            <v>7.8215109573241053</v>
          </cell>
          <cell r="N379">
            <v>8.2125865051903109</v>
          </cell>
          <cell r="O379">
            <v>9.2017775968518887</v>
          </cell>
          <cell r="P379">
            <v>10.121955356537079</v>
          </cell>
          <cell r="Q379">
            <v>3</v>
          </cell>
          <cell r="R379">
            <v>11.50222199606486</v>
          </cell>
        </row>
        <row r="380">
          <cell r="A380" t="str">
            <v>L000026</v>
          </cell>
          <cell r="C380" t="str">
            <v>Beltrando</v>
          </cell>
          <cell r="D380" t="str">
            <v>Niple p/admisión 1 1/4" x 150 mm Largo</v>
          </cell>
          <cell r="E380">
            <v>1</v>
          </cell>
          <cell r="I380">
            <v>50</v>
          </cell>
          <cell r="J380">
            <v>0.53186274509803921</v>
          </cell>
          <cell r="K380">
            <v>0.66482843137254899</v>
          </cell>
          <cell r="L380">
            <v>2</v>
          </cell>
          <cell r="M380">
            <v>0.73869825708060999</v>
          </cell>
          <cell r="N380">
            <v>0.77563316993464049</v>
          </cell>
          <cell r="O380">
            <v>0.86905677303601181</v>
          </cell>
          <cell r="P380">
            <v>0.95596245033961302</v>
          </cell>
          <cell r="Q380">
            <v>3</v>
          </cell>
          <cell r="R380">
            <v>1.0863209662950146</v>
          </cell>
        </row>
        <row r="381">
          <cell r="A381" t="str">
            <v>L000027</v>
          </cell>
          <cell r="B381" t="str">
            <v>A-715</v>
          </cell>
          <cell r="C381" t="str">
            <v>Evial</v>
          </cell>
          <cell r="D381" t="str">
            <v>Abrazadera 63 x 1" H</v>
          </cell>
          <cell r="E381">
            <v>1</v>
          </cell>
          <cell r="I381">
            <v>8</v>
          </cell>
          <cell r="J381">
            <v>8.5098039215686275E-2</v>
          </cell>
          <cell r="K381">
            <v>0.10637254901960784</v>
          </cell>
          <cell r="L381">
            <v>2</v>
          </cell>
          <cell r="M381">
            <v>0.1181917211328976</v>
          </cell>
          <cell r="N381">
            <v>0.12410130718954249</v>
          </cell>
          <cell r="O381">
            <v>0.13904908368576188</v>
          </cell>
          <cell r="P381">
            <v>0.15295399205433807</v>
          </cell>
          <cell r="Q381">
            <v>3</v>
          </cell>
          <cell r="R381">
            <v>0.17381135460720235</v>
          </cell>
        </row>
        <row r="382">
          <cell r="A382" t="str">
            <v>L000028</v>
          </cell>
          <cell r="B382" t="str">
            <v>A-716</v>
          </cell>
          <cell r="C382" t="str">
            <v>Evial</v>
          </cell>
          <cell r="D382" t="str">
            <v>Abrazadera 63 x 1" M</v>
          </cell>
          <cell r="E382">
            <v>1</v>
          </cell>
          <cell r="I382">
            <v>8</v>
          </cell>
          <cell r="J382">
            <v>8.5098039215686275E-2</v>
          </cell>
          <cell r="K382">
            <v>0.10637254901960784</v>
          </cell>
          <cell r="L382">
            <v>2</v>
          </cell>
          <cell r="M382">
            <v>0.1181917211328976</v>
          </cell>
          <cell r="N382">
            <v>0.12410130718954249</v>
          </cell>
          <cell r="O382">
            <v>0.13904908368576188</v>
          </cell>
          <cell r="P382">
            <v>0.15295399205433807</v>
          </cell>
          <cell r="Q382">
            <v>3</v>
          </cell>
          <cell r="R382">
            <v>0.17381135460720235</v>
          </cell>
        </row>
        <row r="383">
          <cell r="A383" t="str">
            <v>L000029</v>
          </cell>
          <cell r="B383" t="str">
            <v>A-717</v>
          </cell>
          <cell r="C383" t="str">
            <v>Evial</v>
          </cell>
          <cell r="D383" t="str">
            <v>Abrazadera 63 x 1/2" H</v>
          </cell>
          <cell r="E383">
            <v>1</v>
          </cell>
          <cell r="I383">
            <v>8</v>
          </cell>
          <cell r="J383">
            <v>8.5098039215686275E-2</v>
          </cell>
          <cell r="K383">
            <v>0.10637254901960784</v>
          </cell>
          <cell r="L383">
            <v>2</v>
          </cell>
          <cell r="M383">
            <v>0.1181917211328976</v>
          </cell>
          <cell r="N383">
            <v>0.12410130718954249</v>
          </cell>
          <cell r="O383">
            <v>0.13904908368576188</v>
          </cell>
          <cell r="P383">
            <v>0.15295399205433807</v>
          </cell>
          <cell r="Q383">
            <v>3</v>
          </cell>
          <cell r="R383">
            <v>0.17381135460720235</v>
          </cell>
        </row>
        <row r="384">
          <cell r="A384" t="str">
            <v>L000030</v>
          </cell>
          <cell r="B384" t="str">
            <v>A-711</v>
          </cell>
          <cell r="C384" t="str">
            <v>Evial</v>
          </cell>
          <cell r="D384" t="str">
            <v>Abrazadera 63 x 1/4" H</v>
          </cell>
          <cell r="E384">
            <v>1</v>
          </cell>
          <cell r="I384">
            <v>8</v>
          </cell>
          <cell r="J384">
            <v>8.5098039215686275E-2</v>
          </cell>
          <cell r="K384">
            <v>0.10637254901960784</v>
          </cell>
          <cell r="L384">
            <v>2</v>
          </cell>
          <cell r="M384">
            <v>0.1181917211328976</v>
          </cell>
          <cell r="N384">
            <v>0.12410130718954249</v>
          </cell>
          <cell r="O384">
            <v>0.13904908368576188</v>
          </cell>
          <cell r="P384">
            <v>0.15295399205433807</v>
          </cell>
          <cell r="Q384">
            <v>3</v>
          </cell>
          <cell r="R384">
            <v>0.17381135460720235</v>
          </cell>
        </row>
        <row r="385">
          <cell r="A385" t="str">
            <v>L000031</v>
          </cell>
          <cell r="B385" t="str">
            <v>A-714</v>
          </cell>
          <cell r="C385" t="str">
            <v>Evial</v>
          </cell>
          <cell r="D385" t="str">
            <v>Abrazadera 63 x 3/4" H</v>
          </cell>
          <cell r="E385">
            <v>1</v>
          </cell>
          <cell r="I385">
            <v>8</v>
          </cell>
          <cell r="J385">
            <v>8.5098039215686275E-2</v>
          </cell>
          <cell r="K385">
            <v>0.10637254901960784</v>
          </cell>
          <cell r="L385">
            <v>2</v>
          </cell>
          <cell r="M385">
            <v>0.1181917211328976</v>
          </cell>
          <cell r="N385">
            <v>0.12410130718954249</v>
          </cell>
          <cell r="O385">
            <v>0.13904908368576188</v>
          </cell>
          <cell r="P385">
            <v>0.15295399205433807</v>
          </cell>
          <cell r="Q385">
            <v>3</v>
          </cell>
          <cell r="R385">
            <v>0.17381135460720235</v>
          </cell>
        </row>
        <row r="386">
          <cell r="A386" t="str">
            <v>L000032</v>
          </cell>
          <cell r="B386" t="str">
            <v>25.4</v>
          </cell>
          <cell r="C386" t="str">
            <v>Magdalani</v>
          </cell>
          <cell r="D386" t="str">
            <v>Caño de acero inoxidable por 25.4 mm, 1.2 mm de pared</v>
          </cell>
          <cell r="E386">
            <v>6</v>
          </cell>
          <cell r="I386">
            <v>60</v>
          </cell>
          <cell r="J386">
            <v>65.099999999999994</v>
          </cell>
          <cell r="K386">
            <v>81.374999999999986</v>
          </cell>
          <cell r="L386">
            <v>1</v>
          </cell>
          <cell r="M386">
            <v>85.657894736842096</v>
          </cell>
          <cell r="N386">
            <v>89.940789473684205</v>
          </cell>
          <cell r="O386">
            <v>100.77399380804953</v>
          </cell>
          <cell r="P386">
            <v>110.85139318885449</v>
          </cell>
          <cell r="Q386">
            <v>3</v>
          </cell>
          <cell r="R386">
            <v>125.9674922600619</v>
          </cell>
        </row>
        <row r="387">
          <cell r="A387" t="str">
            <v>L000033</v>
          </cell>
          <cell r="B387">
            <v>75</v>
          </cell>
          <cell r="C387" t="str">
            <v>Magdalani</v>
          </cell>
          <cell r="D387" t="str">
            <v>Caño de acero inoxidable por 31.7 mm, 1.2 mm de pared</v>
          </cell>
          <cell r="E387">
            <v>6</v>
          </cell>
          <cell r="I387">
            <v>63</v>
          </cell>
          <cell r="J387">
            <v>68.355000000000004</v>
          </cell>
          <cell r="K387">
            <v>85.443749999999994</v>
          </cell>
          <cell r="L387">
            <v>1</v>
          </cell>
          <cell r="M387">
            <v>89.940789473684205</v>
          </cell>
          <cell r="N387">
            <v>94.437828947368416</v>
          </cell>
          <cell r="O387">
            <v>105.81269349845201</v>
          </cell>
          <cell r="P387">
            <v>116.39396284829722</v>
          </cell>
          <cell r="Q387">
            <v>3</v>
          </cell>
          <cell r="R387">
            <v>132.26586687306499</v>
          </cell>
        </row>
        <row r="388">
          <cell r="A388" t="str">
            <v>L000034</v>
          </cell>
          <cell r="B388" t="str">
            <v>38.1</v>
          </cell>
          <cell r="C388" t="str">
            <v>Magdalani</v>
          </cell>
          <cell r="D388" t="str">
            <v>Caño de acero inoxidable por 38.1 mm, 1.2 mm de pared</v>
          </cell>
          <cell r="E388">
            <v>6</v>
          </cell>
          <cell r="I388">
            <v>66</v>
          </cell>
          <cell r="J388">
            <v>71.61</v>
          </cell>
          <cell r="K388">
            <v>89.512499999999989</v>
          </cell>
          <cell r="L388">
            <v>1</v>
          </cell>
          <cell r="M388">
            <v>94.223684210526315</v>
          </cell>
          <cell r="N388">
            <v>98.934868421052641</v>
          </cell>
          <cell r="O388">
            <v>110.85139318885449</v>
          </cell>
          <cell r="P388">
            <v>121.93653250773994</v>
          </cell>
          <cell r="Q388">
            <v>3</v>
          </cell>
          <cell r="R388">
            <v>138.56424148606811</v>
          </cell>
        </row>
        <row r="389">
          <cell r="A389" t="str">
            <v>L000035</v>
          </cell>
          <cell r="B389" t="str">
            <v>50.8</v>
          </cell>
          <cell r="C389" t="str">
            <v>Magdalani</v>
          </cell>
          <cell r="D389" t="str">
            <v>Caño de acero inoxidable por 50.8 mm, 1.2 mm de pared</v>
          </cell>
          <cell r="E389">
            <v>6</v>
          </cell>
          <cell r="I389">
            <v>70</v>
          </cell>
          <cell r="J389">
            <v>75.95</v>
          </cell>
          <cell r="K389">
            <v>94.9375</v>
          </cell>
          <cell r="L389">
            <v>1</v>
          </cell>
          <cell r="M389">
            <v>99.934210526315795</v>
          </cell>
          <cell r="N389">
            <v>104.93092105263159</v>
          </cell>
          <cell r="O389">
            <v>117.56965944272447</v>
          </cell>
          <cell r="P389">
            <v>129.32662538699694</v>
          </cell>
          <cell r="Q389">
            <v>3</v>
          </cell>
          <cell r="R389">
            <v>146.96207430340559</v>
          </cell>
        </row>
        <row r="390">
          <cell r="A390" t="str">
            <v>L000036</v>
          </cell>
          <cell r="B390" t="str">
            <v>63.5</v>
          </cell>
          <cell r="C390" t="str">
            <v>Magdalani</v>
          </cell>
          <cell r="D390" t="str">
            <v>Caño de acero inoxidable por 63.1 mm, 1.2 mm de pared</v>
          </cell>
          <cell r="E390">
            <v>6</v>
          </cell>
          <cell r="I390">
            <v>90</v>
          </cell>
          <cell r="J390">
            <v>97.649999999999991</v>
          </cell>
          <cell r="K390">
            <v>122.06249999999999</v>
          </cell>
          <cell r="L390">
            <v>1</v>
          </cell>
          <cell r="M390">
            <v>128.48684210526315</v>
          </cell>
          <cell r="N390">
            <v>134.9111842105263</v>
          </cell>
          <cell r="O390">
            <v>151.16099071207429</v>
          </cell>
          <cell r="P390">
            <v>166.27708978328172</v>
          </cell>
          <cell r="Q390">
            <v>3</v>
          </cell>
          <cell r="R390">
            <v>188.95123839009287</v>
          </cell>
        </row>
        <row r="391">
          <cell r="A391" t="str">
            <v>L000037</v>
          </cell>
          <cell r="B391" t="str">
            <v>76.2</v>
          </cell>
          <cell r="C391" t="str">
            <v>Magdalani</v>
          </cell>
          <cell r="D391" t="str">
            <v>Caño de acero inoxidable por 76.2 mm, 1.2 mm de pared</v>
          </cell>
          <cell r="E391">
            <v>6</v>
          </cell>
          <cell r="I391">
            <v>105</v>
          </cell>
          <cell r="J391">
            <v>113.925</v>
          </cell>
          <cell r="K391">
            <v>142.40625</v>
          </cell>
          <cell r="L391">
            <v>1</v>
          </cell>
          <cell r="M391">
            <v>149.9013157894737</v>
          </cell>
          <cell r="N391">
            <v>157.3963815789474</v>
          </cell>
          <cell r="O391">
            <v>176.35448916408671</v>
          </cell>
          <cell r="P391">
            <v>193.98993808049539</v>
          </cell>
          <cell r="Q391">
            <v>3</v>
          </cell>
          <cell r="R391">
            <v>220.44311145510838</v>
          </cell>
        </row>
        <row r="392">
          <cell r="A392" t="str">
            <v>L000038</v>
          </cell>
          <cell r="B392" t="str">
            <v>101.6</v>
          </cell>
          <cell r="C392" t="str">
            <v>Magdalani</v>
          </cell>
          <cell r="D392" t="str">
            <v>Caño de acero inoxidable por 101.6 mm, 1.2 mm de pared</v>
          </cell>
          <cell r="E392">
            <v>6</v>
          </cell>
          <cell r="I392">
            <v>120</v>
          </cell>
          <cell r="J392">
            <v>130.19999999999999</v>
          </cell>
          <cell r="K392">
            <v>162.74999999999997</v>
          </cell>
          <cell r="L392">
            <v>1</v>
          </cell>
          <cell r="M392">
            <v>171.31578947368419</v>
          </cell>
          <cell r="N392">
            <v>179.88157894736841</v>
          </cell>
          <cell r="O392">
            <v>201.54798761609905</v>
          </cell>
          <cell r="P392">
            <v>221.70278637770897</v>
          </cell>
          <cell r="Q392">
            <v>3</v>
          </cell>
          <cell r="R392">
            <v>251.93498452012381</v>
          </cell>
        </row>
        <row r="393">
          <cell r="A393" t="str">
            <v>L000039</v>
          </cell>
          <cell r="B393">
            <v>15002</v>
          </cell>
          <cell r="C393" t="str">
            <v>Indargom</v>
          </cell>
          <cell r="D393" t="str">
            <v>Unión doble completa 38</v>
          </cell>
          <cell r="E393">
            <v>1</v>
          </cell>
          <cell r="I393">
            <v>11</v>
          </cell>
          <cell r="J393">
            <v>0.11700980392156861</v>
          </cell>
          <cell r="K393">
            <v>0.14626225490196076</v>
          </cell>
          <cell r="L393">
            <v>2</v>
          </cell>
          <cell r="M393">
            <v>0.16251361655773419</v>
          </cell>
          <cell r="N393">
            <v>0.17063929738562092</v>
          </cell>
          <cell r="O393">
            <v>0.19119249006792258</v>
          </cell>
          <cell r="P393">
            <v>0.21031173907471484</v>
          </cell>
          <cell r="Q393">
            <v>3</v>
          </cell>
          <cell r="R393">
            <v>0.2389906125849032</v>
          </cell>
        </row>
        <row r="394">
          <cell r="A394" t="str">
            <v>L000040</v>
          </cell>
          <cell r="B394">
            <v>15004</v>
          </cell>
          <cell r="C394" t="str">
            <v>Indargom</v>
          </cell>
          <cell r="D394" t="str">
            <v>Unión doble completa 51</v>
          </cell>
          <cell r="E394">
            <v>1</v>
          </cell>
          <cell r="I394">
            <v>12</v>
          </cell>
          <cell r="J394">
            <v>0.12764705882352942</v>
          </cell>
          <cell r="K394">
            <v>0.15955882352941175</v>
          </cell>
          <cell r="L394">
            <v>2</v>
          </cell>
          <cell r="M394">
            <v>0.17728758169934639</v>
          </cell>
          <cell r="N394">
            <v>0.1861519607843137</v>
          </cell>
          <cell r="O394">
            <v>0.20857362552864281</v>
          </cell>
          <cell r="P394">
            <v>0.22943098808150711</v>
          </cell>
          <cell r="Q394">
            <v>3</v>
          </cell>
          <cell r="R394">
            <v>0.26071703191080348</v>
          </cell>
        </row>
        <row r="395">
          <cell r="A395" t="str">
            <v>L000041</v>
          </cell>
          <cell r="B395">
            <v>15007</v>
          </cell>
          <cell r="C395" t="str">
            <v>Indargom</v>
          </cell>
          <cell r="D395" t="str">
            <v>Unión doble completa 63</v>
          </cell>
          <cell r="E395">
            <v>1</v>
          </cell>
          <cell r="I395">
            <v>13</v>
          </cell>
          <cell r="J395">
            <v>0.13828431372549019</v>
          </cell>
          <cell r="K395">
            <v>0.17285539215686271</v>
          </cell>
          <cell r="L395">
            <v>2</v>
          </cell>
          <cell r="M395">
            <v>0.19206154684095855</v>
          </cell>
          <cell r="N395">
            <v>0.20166462418300649</v>
          </cell>
          <cell r="O395">
            <v>0.22595476098936301</v>
          </cell>
          <cell r="P395">
            <v>0.24855023708829935</v>
          </cell>
          <cell r="Q395">
            <v>3</v>
          </cell>
          <cell r="R395">
            <v>0.28244345123670372</v>
          </cell>
        </row>
        <row r="396">
          <cell r="A396" t="str">
            <v>L000042</v>
          </cell>
          <cell r="B396" t="str">
            <v>TIGTUB012</v>
          </cell>
          <cell r="C396" t="str">
            <v>hidropilar</v>
          </cell>
          <cell r="D396" t="str">
            <v>caño de pcv 50 mm x 6 m std</v>
          </cell>
          <cell r="E396">
            <v>6</v>
          </cell>
          <cell r="I396">
            <v>37</v>
          </cell>
          <cell r="J396">
            <v>0.393578431372549</v>
          </cell>
          <cell r="K396">
            <v>0.49197303921568625</v>
          </cell>
          <cell r="L396">
            <v>3</v>
          </cell>
          <cell r="M396">
            <v>0.57879181084198383</v>
          </cell>
          <cell r="N396">
            <v>0.6077314013840831</v>
          </cell>
          <cell r="O396">
            <v>0.68093154216703977</v>
          </cell>
          <cell r="P396">
            <v>0.7490246963837438</v>
          </cell>
          <cell r="Q396">
            <v>3</v>
          </cell>
          <cell r="R396">
            <v>0.85116442770879963</v>
          </cell>
        </row>
        <row r="397">
          <cell r="A397" t="str">
            <v>L000043</v>
          </cell>
          <cell r="B397" t="str">
            <v>TIGTUB022</v>
          </cell>
          <cell r="C397" t="str">
            <v>hidropilar</v>
          </cell>
          <cell r="D397" t="str">
            <v>caño de pcv 63 mm x 6 m std</v>
          </cell>
          <cell r="E397">
            <v>6</v>
          </cell>
          <cell r="I397">
            <v>76</v>
          </cell>
          <cell r="J397">
            <v>0.80843137254901953</v>
          </cell>
          <cell r="K397">
            <v>1.0105392156862743</v>
          </cell>
          <cell r="L397">
            <v>3</v>
          </cell>
          <cell r="M397">
            <v>1.1888696655132638</v>
          </cell>
          <cell r="N397">
            <v>1.248313148788927</v>
          </cell>
          <cell r="O397">
            <v>1.3986701947214868</v>
          </cell>
          <cell r="P397">
            <v>1.5385372141936355</v>
          </cell>
          <cell r="Q397">
            <v>3</v>
          </cell>
          <cell r="R397">
            <v>1.7483377434018583</v>
          </cell>
        </row>
        <row r="398">
          <cell r="A398" t="str">
            <v>L000044</v>
          </cell>
          <cell r="B398" t="str">
            <v>TIGTUB023</v>
          </cell>
          <cell r="C398" t="str">
            <v>hidropilar</v>
          </cell>
          <cell r="D398" t="str">
            <v>caño de pcv 75 mm x 6 m std</v>
          </cell>
          <cell r="E398">
            <v>6</v>
          </cell>
          <cell r="I398">
            <v>40</v>
          </cell>
          <cell r="J398">
            <v>40</v>
          </cell>
          <cell r="K398">
            <v>50</v>
          </cell>
          <cell r="L398">
            <v>3</v>
          </cell>
          <cell r="M398">
            <v>58.82352941176471</v>
          </cell>
          <cell r="N398">
            <v>61.764705882352949</v>
          </cell>
          <cell r="O398">
            <v>69.20415224913495</v>
          </cell>
          <cell r="P398">
            <v>76.124567474048447</v>
          </cell>
          <cell r="Q398">
            <v>3</v>
          </cell>
          <cell r="R398">
            <v>86.505190311418687</v>
          </cell>
        </row>
        <row r="399">
          <cell r="A399" t="str">
            <v>L000045</v>
          </cell>
          <cell r="B399" t="str">
            <v>TIGTUB025</v>
          </cell>
          <cell r="C399" t="str">
            <v>hidropilar</v>
          </cell>
          <cell r="D399" t="str">
            <v>caño de pcv 110 mm x 6 m std</v>
          </cell>
          <cell r="E399">
            <v>6</v>
          </cell>
          <cell r="I399">
            <v>228</v>
          </cell>
          <cell r="J399">
            <v>2.4252941176470588</v>
          </cell>
          <cell r="K399">
            <v>3.0316176470588232</v>
          </cell>
          <cell r="L399">
            <v>3</v>
          </cell>
          <cell r="M399">
            <v>3.566608996539792</v>
          </cell>
          <cell r="N399">
            <v>3.7449394463667818</v>
          </cell>
          <cell r="O399">
            <v>4.196010584164461</v>
          </cell>
          <cell r="P399">
            <v>4.6156116425809079</v>
          </cell>
          <cell r="Q399">
            <v>3</v>
          </cell>
          <cell r="R399">
            <v>5.2450132302055756</v>
          </cell>
        </row>
        <row r="400">
          <cell r="A400" t="str">
            <v>L000046</v>
          </cell>
          <cell r="B400" t="str">
            <v>TIGAJP069</v>
          </cell>
          <cell r="C400" t="str">
            <v>hidropilar</v>
          </cell>
          <cell r="D400" t="str">
            <v>codo de pegar gris 50 mm</v>
          </cell>
          <cell r="E400">
            <v>1</v>
          </cell>
          <cell r="I400">
            <v>12</v>
          </cell>
          <cell r="J400">
            <v>0.12764705882352942</v>
          </cell>
          <cell r="K400">
            <v>0.15955882352941175</v>
          </cell>
          <cell r="L400">
            <v>3</v>
          </cell>
          <cell r="M400">
            <v>0.18771626297577854</v>
          </cell>
          <cell r="N400">
            <v>0.19710207612456748</v>
          </cell>
          <cell r="O400">
            <v>0.22084266232444535</v>
          </cell>
          <cell r="P400">
            <v>0.24292692855688991</v>
          </cell>
          <cell r="Q400">
            <v>3</v>
          </cell>
          <cell r="R400">
            <v>0.2760533279055567</v>
          </cell>
        </row>
        <row r="401">
          <cell r="A401" t="str">
            <v>L000047</v>
          </cell>
          <cell r="B401" t="str">
            <v>TIGAJP070</v>
          </cell>
          <cell r="C401" t="str">
            <v>hidropilar</v>
          </cell>
          <cell r="D401" t="str">
            <v>codo de pegar gris 63 mm</v>
          </cell>
          <cell r="E401">
            <v>1</v>
          </cell>
          <cell r="I401">
            <v>25</v>
          </cell>
          <cell r="J401">
            <v>0.26593137254901961</v>
          </cell>
          <cell r="K401">
            <v>0.33241421568627449</v>
          </cell>
          <cell r="L401">
            <v>3</v>
          </cell>
          <cell r="M401">
            <v>0.3910755478662053</v>
          </cell>
          <cell r="N401">
            <v>0.41062932525951557</v>
          </cell>
          <cell r="O401">
            <v>0.4600888798425945</v>
          </cell>
          <cell r="P401">
            <v>0.50609776782685401</v>
          </cell>
          <cell r="Q401">
            <v>3</v>
          </cell>
          <cell r="R401">
            <v>0.57511109980324304</v>
          </cell>
        </row>
        <row r="402">
          <cell r="A402" t="str">
            <v>L000048</v>
          </cell>
          <cell r="B402" t="str">
            <v>TIGAJP071</v>
          </cell>
          <cell r="C402" t="str">
            <v>hidropilar</v>
          </cell>
          <cell r="D402" t="str">
            <v>codo de pegar gris 75 mm</v>
          </cell>
          <cell r="E402">
            <v>1</v>
          </cell>
          <cell r="I402">
            <v>4.95</v>
          </cell>
          <cell r="J402">
            <v>4.95</v>
          </cell>
          <cell r="K402">
            <v>6.1875</v>
          </cell>
          <cell r="L402">
            <v>3</v>
          </cell>
          <cell r="M402">
            <v>7.2794117647058822</v>
          </cell>
          <cell r="N402">
            <v>7.6433823529411766</v>
          </cell>
          <cell r="O402">
            <v>8.5640138408304498</v>
          </cell>
          <cell r="P402">
            <v>9.420415224913496</v>
          </cell>
          <cell r="Q402">
            <v>3</v>
          </cell>
          <cell r="R402">
            <v>10.705017301038062</v>
          </cell>
        </row>
        <row r="403">
          <cell r="A403" t="str">
            <v>L000049</v>
          </cell>
          <cell r="B403" t="str">
            <v>TIGAJP073</v>
          </cell>
          <cell r="C403" t="str">
            <v>hidropilar</v>
          </cell>
          <cell r="D403" t="str">
            <v>codo de pegar gris 110 mm</v>
          </cell>
          <cell r="E403">
            <v>1</v>
          </cell>
          <cell r="I403">
            <v>68</v>
          </cell>
          <cell r="J403">
            <v>0.72333333333333338</v>
          </cell>
          <cell r="K403">
            <v>0.90416666666666667</v>
          </cell>
          <cell r="L403">
            <v>3</v>
          </cell>
          <cell r="M403">
            <v>1.0637254901960784</v>
          </cell>
          <cell r="N403">
            <v>1.1169117647058824</v>
          </cell>
          <cell r="O403">
            <v>1.2514417531718569</v>
          </cell>
          <cell r="P403">
            <v>1.3765859284890427</v>
          </cell>
          <cell r="Q403">
            <v>3</v>
          </cell>
          <cell r="R403">
            <v>1.564302191464821</v>
          </cell>
        </row>
        <row r="404">
          <cell r="A404" t="str">
            <v>L000050</v>
          </cell>
          <cell r="B404" t="str">
            <v>TIGAJP047</v>
          </cell>
          <cell r="C404" t="str">
            <v>hidropilar</v>
          </cell>
          <cell r="D404" t="str">
            <v>curva 90°de pegar gris 50 mm</v>
          </cell>
          <cell r="E404">
            <v>1</v>
          </cell>
          <cell r="I404">
            <v>44</v>
          </cell>
          <cell r="J404">
            <v>0.46803921568627443</v>
          </cell>
          <cell r="K404">
            <v>0.58504901960784306</v>
          </cell>
          <cell r="L404">
            <v>3</v>
          </cell>
          <cell r="M404">
            <v>0.68829296424452124</v>
          </cell>
          <cell r="N404">
            <v>0.72270761245674731</v>
          </cell>
          <cell r="O404">
            <v>0.80975642852296614</v>
          </cell>
          <cell r="P404">
            <v>0.89073207137526278</v>
          </cell>
          <cell r="Q404">
            <v>3</v>
          </cell>
          <cell r="R404">
            <v>1.0121955356537076</v>
          </cell>
        </row>
        <row r="405">
          <cell r="A405" t="str">
            <v>L000051</v>
          </cell>
          <cell r="B405" t="str">
            <v>TIGAJP048</v>
          </cell>
          <cell r="C405" t="str">
            <v>hidropilar</v>
          </cell>
          <cell r="D405" t="str">
            <v>curva 90°de pegar gris 63 mm</v>
          </cell>
          <cell r="E405">
            <v>1</v>
          </cell>
          <cell r="I405">
            <v>30</v>
          </cell>
          <cell r="J405">
            <v>0.31911764705882351</v>
          </cell>
          <cell r="K405">
            <v>0.39889705882352938</v>
          </cell>
          <cell r="L405">
            <v>3</v>
          </cell>
          <cell r="M405">
            <v>0.46929065743944637</v>
          </cell>
          <cell r="N405">
            <v>0.49275519031141873</v>
          </cell>
          <cell r="O405">
            <v>0.5521066558111134</v>
          </cell>
          <cell r="P405">
            <v>0.60731732139222483</v>
          </cell>
          <cell r="Q405">
            <v>3</v>
          </cell>
          <cell r="R405">
            <v>0.69013331976389169</v>
          </cell>
        </row>
        <row r="406">
          <cell r="A406" t="str">
            <v>L000052</v>
          </cell>
          <cell r="B406" t="str">
            <v>TIGAJP049</v>
          </cell>
          <cell r="C406" t="str">
            <v>hidropilar</v>
          </cell>
          <cell r="D406" t="str">
            <v>curva 90°de pegar gris 75 mm</v>
          </cell>
          <cell r="E406">
            <v>1</v>
          </cell>
          <cell r="I406">
            <v>35</v>
          </cell>
          <cell r="J406">
            <v>0.37230392156862746</v>
          </cell>
          <cell r="K406">
            <v>0.46537990196078433</v>
          </cell>
          <cell r="L406">
            <v>3</v>
          </cell>
          <cell r="M406">
            <v>0.54750576701268749</v>
          </cell>
          <cell r="N406">
            <v>0.5748810553633219</v>
          </cell>
          <cell r="O406">
            <v>0.64412443177963241</v>
          </cell>
          <cell r="P406">
            <v>0.70853687495759576</v>
          </cell>
          <cell r="Q406">
            <v>3</v>
          </cell>
          <cell r="R406">
            <v>0.80515553972454046</v>
          </cell>
        </row>
        <row r="407">
          <cell r="A407" t="str">
            <v>L000053</v>
          </cell>
          <cell r="B407" t="str">
            <v>TIGAJP051</v>
          </cell>
          <cell r="C407" t="str">
            <v>hidropilar</v>
          </cell>
          <cell r="D407" t="str">
            <v>curva 90°de pegar gris 110 mm</v>
          </cell>
          <cell r="E407">
            <v>1</v>
          </cell>
          <cell r="I407">
            <v>70</v>
          </cell>
          <cell r="J407">
            <v>0.74460784313725492</v>
          </cell>
          <cell r="K407">
            <v>0.93075980392156865</v>
          </cell>
          <cell r="L407">
            <v>3</v>
          </cell>
          <cell r="M407">
            <v>1.095011534025375</v>
          </cell>
          <cell r="N407">
            <v>1.1497621107266438</v>
          </cell>
          <cell r="O407">
            <v>1.2882488635592648</v>
          </cell>
          <cell r="P407">
            <v>1.4170737499151915</v>
          </cell>
          <cell r="Q407">
            <v>3</v>
          </cell>
          <cell r="R407">
            <v>1.6103110794490809</v>
          </cell>
        </row>
        <row r="408">
          <cell r="A408" t="str">
            <v>L000054</v>
          </cell>
          <cell r="B408" t="str">
            <v>TIGAJP087</v>
          </cell>
          <cell r="C408" t="str">
            <v>hidropilar</v>
          </cell>
          <cell r="D408" t="str">
            <v>Te de pegar gris 50 mm</v>
          </cell>
          <cell r="E408">
            <v>1</v>
          </cell>
          <cell r="I408">
            <v>30</v>
          </cell>
          <cell r="J408">
            <v>0.31911764705882351</v>
          </cell>
          <cell r="K408">
            <v>0.39889705882352938</v>
          </cell>
          <cell r="L408">
            <v>3</v>
          </cell>
          <cell r="M408">
            <v>0.46929065743944637</v>
          </cell>
          <cell r="N408">
            <v>0.49275519031141873</v>
          </cell>
          <cell r="O408">
            <v>0.5521066558111134</v>
          </cell>
          <cell r="P408">
            <v>0.60731732139222483</v>
          </cell>
          <cell r="Q408">
            <v>3</v>
          </cell>
          <cell r="R408">
            <v>0.69013331976389169</v>
          </cell>
        </row>
        <row r="409">
          <cell r="A409" t="str">
            <v>L000055</v>
          </cell>
          <cell r="B409" t="str">
            <v>TIGAJP088</v>
          </cell>
          <cell r="C409" t="str">
            <v>hidropilar</v>
          </cell>
          <cell r="D409" t="str">
            <v>Te de pegar gris 63 mm</v>
          </cell>
          <cell r="E409">
            <v>1</v>
          </cell>
          <cell r="I409">
            <v>45</v>
          </cell>
          <cell r="J409">
            <v>0.47867647058823526</v>
          </cell>
          <cell r="K409">
            <v>0.59834558823529405</v>
          </cell>
          <cell r="L409">
            <v>3</v>
          </cell>
          <cell r="M409">
            <v>0.70393598615916952</v>
          </cell>
          <cell r="N409">
            <v>0.73913278546712802</v>
          </cell>
          <cell r="O409">
            <v>0.8281599837166701</v>
          </cell>
          <cell r="P409">
            <v>0.91097598208833719</v>
          </cell>
          <cell r="Q409">
            <v>3</v>
          </cell>
          <cell r="R409">
            <v>1.0351999796458375</v>
          </cell>
        </row>
        <row r="410">
          <cell r="A410" t="str">
            <v>L000056</v>
          </cell>
          <cell r="B410" t="str">
            <v>TIGAJP089</v>
          </cell>
          <cell r="C410" t="str">
            <v>hidropilar</v>
          </cell>
          <cell r="D410" t="str">
            <v>Te de pegar gris 75 mm</v>
          </cell>
          <cell r="E410">
            <v>1</v>
          </cell>
          <cell r="I410">
            <v>7.41</v>
          </cell>
          <cell r="J410">
            <v>7.41</v>
          </cell>
          <cell r="K410">
            <v>9.2624999999999993</v>
          </cell>
          <cell r="L410">
            <v>3</v>
          </cell>
          <cell r="M410">
            <v>10.897058823529411</v>
          </cell>
          <cell r="N410">
            <v>11.441911764705882</v>
          </cell>
          <cell r="O410">
            <v>12.820069204152249</v>
          </cell>
          <cell r="P410">
            <v>14.102076124567475</v>
          </cell>
          <cell r="Q410">
            <v>3</v>
          </cell>
          <cell r="R410">
            <v>16.025086505190309</v>
          </cell>
        </row>
        <row r="411">
          <cell r="A411" t="str">
            <v>L000057</v>
          </cell>
          <cell r="B411" t="str">
            <v>TIGAJP091</v>
          </cell>
          <cell r="C411" t="str">
            <v>hidropilar</v>
          </cell>
          <cell r="D411" t="str">
            <v>Te de pegar gris 110 mm</v>
          </cell>
          <cell r="E411">
            <v>1</v>
          </cell>
          <cell r="I411">
            <v>90</v>
          </cell>
          <cell r="J411">
            <v>0.95735294117647052</v>
          </cell>
          <cell r="K411">
            <v>1.1966911764705881</v>
          </cell>
          <cell r="L411">
            <v>3</v>
          </cell>
          <cell r="M411">
            <v>1.407871972318339</v>
          </cell>
          <cell r="N411">
            <v>1.478265570934256</v>
          </cell>
          <cell r="O411">
            <v>1.6563199674333402</v>
          </cell>
          <cell r="P411">
            <v>1.8219519641766744</v>
          </cell>
          <cell r="Q411">
            <v>3</v>
          </cell>
          <cell r="R411">
            <v>2.0703999592916751</v>
          </cell>
        </row>
        <row r="412">
          <cell r="A412" t="str">
            <v>L000058</v>
          </cell>
          <cell r="B412" t="str">
            <v>TIGVAL015</v>
          </cell>
          <cell r="C412" t="str">
            <v>hidropilar</v>
          </cell>
          <cell r="D412" t="str">
            <v>llave esférica 2 " plástica</v>
          </cell>
          <cell r="E412">
            <v>1</v>
          </cell>
          <cell r="I412">
            <v>33</v>
          </cell>
          <cell r="J412">
            <v>0.35102941176470587</v>
          </cell>
          <cell r="K412">
            <v>0.43878676470588229</v>
          </cell>
          <cell r="L412">
            <v>3</v>
          </cell>
          <cell r="M412">
            <v>0.51621972318339093</v>
          </cell>
          <cell r="N412">
            <v>0.54203070934256048</v>
          </cell>
          <cell r="O412">
            <v>0.60731732139222461</v>
          </cell>
          <cell r="P412">
            <v>0.66804905353144717</v>
          </cell>
          <cell r="Q412">
            <v>3</v>
          </cell>
          <cell r="R412">
            <v>0.75914665174028073</v>
          </cell>
        </row>
        <row r="413">
          <cell r="A413" t="str">
            <v>L000059</v>
          </cell>
          <cell r="C413" t="str">
            <v>Amanco</v>
          </cell>
          <cell r="D413" t="str">
            <v>llave esférica 2 " bronce</v>
          </cell>
          <cell r="E413">
            <v>1</v>
          </cell>
          <cell r="I413">
            <v>82</v>
          </cell>
          <cell r="J413">
            <v>0.87225490196078426</v>
          </cell>
          <cell r="K413">
            <v>1.0903186274509802</v>
          </cell>
          <cell r="L413">
            <v>3</v>
          </cell>
          <cell r="M413">
            <v>1.2827277970011532</v>
          </cell>
          <cell r="N413">
            <v>1.346864186851211</v>
          </cell>
          <cell r="O413">
            <v>1.5090915258837097</v>
          </cell>
          <cell r="P413">
            <v>1.6600006784720807</v>
          </cell>
          <cell r="Q413">
            <v>3</v>
          </cell>
          <cell r="R413">
            <v>1.8863644073546371</v>
          </cell>
        </row>
        <row r="414">
          <cell r="A414" t="str">
            <v>L000060</v>
          </cell>
          <cell r="B414" t="str">
            <v>TIGVAL015</v>
          </cell>
          <cell r="C414" t="str">
            <v>hidropilar</v>
          </cell>
          <cell r="D414" t="str">
            <v>llave esférica 2,5 " plástica</v>
          </cell>
          <cell r="E414">
            <v>1</v>
          </cell>
          <cell r="I414">
            <v>50</v>
          </cell>
          <cell r="J414">
            <v>0.53186274509803921</v>
          </cell>
          <cell r="K414">
            <v>0.66482843137254899</v>
          </cell>
          <cell r="L414">
            <v>3</v>
          </cell>
          <cell r="M414">
            <v>0.7821510957324106</v>
          </cell>
          <cell r="N414">
            <v>0.82125865051903113</v>
          </cell>
          <cell r="O414">
            <v>0.920177759685189</v>
          </cell>
          <cell r="P414">
            <v>1.012195535653708</v>
          </cell>
          <cell r="Q414">
            <v>3</v>
          </cell>
          <cell r="R414">
            <v>1.1502221996064861</v>
          </cell>
        </row>
        <row r="415">
          <cell r="A415" t="str">
            <v>L000061</v>
          </cell>
          <cell r="C415" t="str">
            <v>Amanco</v>
          </cell>
          <cell r="D415" t="str">
            <v>llave esférica 3 " bronce</v>
          </cell>
          <cell r="E415">
            <v>1</v>
          </cell>
          <cell r="I415">
            <v>242</v>
          </cell>
          <cell r="J415">
            <v>2.5742156862745098</v>
          </cell>
          <cell r="K415">
            <v>3.2177696078431373</v>
          </cell>
          <cell r="L415">
            <v>3</v>
          </cell>
          <cell r="M415">
            <v>3.7856113033448673</v>
          </cell>
          <cell r="N415">
            <v>3.9748918685121106</v>
          </cell>
          <cell r="O415">
            <v>4.4536603568763145</v>
          </cell>
          <cell r="P415">
            <v>4.8990263925639459</v>
          </cell>
          <cell r="Q415">
            <v>3</v>
          </cell>
          <cell r="R415">
            <v>5.5670754460953926</v>
          </cell>
        </row>
        <row r="416">
          <cell r="A416" t="str">
            <v>L000062</v>
          </cell>
          <cell r="C416" t="str">
            <v>Amanco</v>
          </cell>
          <cell r="D416" t="str">
            <v>llave esférica 4 " bronce</v>
          </cell>
          <cell r="E416">
            <v>1</v>
          </cell>
          <cell r="I416">
            <v>385</v>
          </cell>
          <cell r="J416">
            <v>4.0953431372549014</v>
          </cell>
          <cell r="K416">
            <v>5.1191789215686265</v>
          </cell>
          <cell r="L416">
            <v>3</v>
          </cell>
          <cell r="M416">
            <v>6.0225634371395609</v>
          </cell>
          <cell r="N416">
            <v>6.3236916089965396</v>
          </cell>
          <cell r="O416">
            <v>7.0853687495759541</v>
          </cell>
          <cell r="P416">
            <v>7.7939056245335498</v>
          </cell>
          <cell r="Q416">
            <v>3</v>
          </cell>
          <cell r="R416">
            <v>8.8567109369699413</v>
          </cell>
        </row>
        <row r="417">
          <cell r="A417" t="str">
            <v>L000063</v>
          </cell>
          <cell r="C417" t="str">
            <v>Amanco</v>
          </cell>
          <cell r="D417" t="str">
            <v>reducción reforzada de pvc de 4 a 3 "</v>
          </cell>
          <cell r="E417">
            <v>1</v>
          </cell>
          <cell r="I417">
            <v>9</v>
          </cell>
          <cell r="J417">
            <v>9.5735294117647071E-2</v>
          </cell>
          <cell r="K417">
            <v>0.11966911764705883</v>
          </cell>
          <cell r="L417">
            <v>3</v>
          </cell>
          <cell r="M417">
            <v>0.14078719723183392</v>
          </cell>
          <cell r="N417">
            <v>0.14782655709342563</v>
          </cell>
          <cell r="O417">
            <v>0.16563199674333404</v>
          </cell>
          <cell r="P417">
            <v>0.18219519641766746</v>
          </cell>
          <cell r="Q417">
            <v>3</v>
          </cell>
          <cell r="R417">
            <v>0.20703999592916753</v>
          </cell>
        </row>
        <row r="418">
          <cell r="A418" t="str">
            <v>L000064</v>
          </cell>
          <cell r="C418" t="str">
            <v>Amanco</v>
          </cell>
          <cell r="D418" t="str">
            <v>reducción reforzada de pvc de 3 a 2.5 "</v>
          </cell>
          <cell r="E418">
            <v>1</v>
          </cell>
          <cell r="I418">
            <v>7</v>
          </cell>
          <cell r="J418">
            <v>7.4460784313725492E-2</v>
          </cell>
          <cell r="K418">
            <v>9.3075980392156865E-2</v>
          </cell>
          <cell r="L418">
            <v>3</v>
          </cell>
          <cell r="M418">
            <v>0.10950115340253749</v>
          </cell>
          <cell r="N418">
            <v>0.11497621107266437</v>
          </cell>
          <cell r="O418">
            <v>0.12882488635592645</v>
          </cell>
          <cell r="P418">
            <v>0.14170737499151911</v>
          </cell>
          <cell r="Q418">
            <v>3</v>
          </cell>
          <cell r="R418">
            <v>0.16103110794490805</v>
          </cell>
        </row>
        <row r="419">
          <cell r="A419" t="str">
            <v>L000065</v>
          </cell>
          <cell r="C419" t="str">
            <v>Amanco</v>
          </cell>
          <cell r="D419" t="str">
            <v>reducción reforzada de pvc de 2,5 a 2 "</v>
          </cell>
          <cell r="E419">
            <v>1</v>
          </cell>
          <cell r="I419">
            <v>4</v>
          </cell>
          <cell r="J419">
            <v>4.2549019607843137E-2</v>
          </cell>
          <cell r="K419">
            <v>5.318627450980392E-2</v>
          </cell>
          <cell r="L419">
            <v>3</v>
          </cell>
          <cell r="M419">
            <v>6.2572087658592845E-2</v>
          </cell>
          <cell r="N419">
            <v>6.5700692041522485E-2</v>
          </cell>
          <cell r="O419">
            <v>7.3614220774815109E-2</v>
          </cell>
          <cell r="P419">
            <v>8.0975642852296623E-2</v>
          </cell>
          <cell r="Q419">
            <v>3</v>
          </cell>
          <cell r="R419">
            <v>9.2017775968518886E-2</v>
          </cell>
        </row>
        <row r="420">
          <cell r="A420" t="str">
            <v>L000066</v>
          </cell>
          <cell r="B420" t="str">
            <v>TIGAJP078</v>
          </cell>
          <cell r="C420" t="str">
            <v>hidropilar</v>
          </cell>
          <cell r="D420" t="str">
            <v>cupla de 50 SD</v>
          </cell>
          <cell r="E420">
            <v>1</v>
          </cell>
          <cell r="I420">
            <v>5</v>
          </cell>
          <cell r="J420">
            <v>5.318627450980392E-2</v>
          </cell>
          <cell r="K420">
            <v>6.6482843137254902E-2</v>
          </cell>
          <cell r="L420">
            <v>3</v>
          </cell>
          <cell r="M420">
            <v>7.8215109573241057E-2</v>
          </cell>
          <cell r="N420">
            <v>8.2125865051903113E-2</v>
          </cell>
          <cell r="O420">
            <v>9.2017775968518886E-2</v>
          </cell>
          <cell r="P420">
            <v>0.10121955356537078</v>
          </cell>
          <cell r="Q420">
            <v>3</v>
          </cell>
          <cell r="R420">
            <v>0.1150222199606486</v>
          </cell>
        </row>
        <row r="421">
          <cell r="A421" t="str">
            <v>L000067</v>
          </cell>
          <cell r="B421" t="str">
            <v>TIGAJP079</v>
          </cell>
          <cell r="C421" t="str">
            <v>hidropilar</v>
          </cell>
          <cell r="D421" t="str">
            <v>cupla de 63 SD</v>
          </cell>
          <cell r="E421">
            <v>1</v>
          </cell>
          <cell r="I421">
            <v>10</v>
          </cell>
          <cell r="J421">
            <v>0.10637254901960784</v>
          </cell>
          <cell r="K421">
            <v>0.1329656862745098</v>
          </cell>
          <cell r="L421">
            <v>3</v>
          </cell>
          <cell r="M421">
            <v>0.15643021914648211</v>
          </cell>
          <cell r="N421">
            <v>0.16425173010380623</v>
          </cell>
          <cell r="O421">
            <v>0.18403555193703777</v>
          </cell>
          <cell r="P421">
            <v>0.20243910713074156</v>
          </cell>
          <cell r="Q421">
            <v>3</v>
          </cell>
          <cell r="R421">
            <v>0.23004443992129719</v>
          </cell>
        </row>
        <row r="422">
          <cell r="A422" t="str">
            <v>L000068</v>
          </cell>
          <cell r="B422" t="str">
            <v>TIGAJP080</v>
          </cell>
          <cell r="C422" t="str">
            <v>hidropilar</v>
          </cell>
          <cell r="D422" t="str">
            <v>cupla de 75 SD</v>
          </cell>
          <cell r="E422">
            <v>1</v>
          </cell>
          <cell r="I422">
            <v>13</v>
          </cell>
          <cell r="J422">
            <v>0.13828431372549019</v>
          </cell>
          <cell r="K422">
            <v>0.17285539215686271</v>
          </cell>
          <cell r="L422">
            <v>3</v>
          </cell>
          <cell r="M422">
            <v>0.20335928489042673</v>
          </cell>
          <cell r="N422">
            <v>0.21352724913494808</v>
          </cell>
          <cell r="O422">
            <v>0.23924621751814912</v>
          </cell>
          <cell r="P422">
            <v>0.26317083926996404</v>
          </cell>
          <cell r="Q422">
            <v>3</v>
          </cell>
          <cell r="R422">
            <v>0.2990577718976864</v>
          </cell>
        </row>
        <row r="423">
          <cell r="A423" t="str">
            <v>L000069</v>
          </cell>
          <cell r="B423" t="str">
            <v>TIGAJP082</v>
          </cell>
          <cell r="C423" t="str">
            <v>hidropilar</v>
          </cell>
          <cell r="D423" t="str">
            <v>cupla de 110 SD</v>
          </cell>
          <cell r="E423">
            <v>1</v>
          </cell>
          <cell r="I423">
            <v>40</v>
          </cell>
          <cell r="J423">
            <v>0.42549019607843136</v>
          </cell>
          <cell r="K423">
            <v>0.53186274509803921</v>
          </cell>
          <cell r="L423">
            <v>3</v>
          </cell>
          <cell r="M423">
            <v>0.62572087658592845</v>
          </cell>
          <cell r="N423">
            <v>0.6570069204152249</v>
          </cell>
          <cell r="O423">
            <v>0.73614220774815109</v>
          </cell>
          <cell r="P423">
            <v>0.80975642852296625</v>
          </cell>
          <cell r="Q423">
            <v>3</v>
          </cell>
          <cell r="R423">
            <v>0.92017775968518878</v>
          </cell>
        </row>
        <row r="424">
          <cell r="A424" t="str">
            <v>L000070</v>
          </cell>
          <cell r="B424">
            <v>11010</v>
          </cell>
          <cell r="C424" t="str">
            <v>DARWATA</v>
          </cell>
          <cell r="D424" t="str">
            <v>Cupla caneria 25 MM goma</v>
          </cell>
          <cell r="E424">
            <v>1</v>
          </cell>
          <cell r="I424">
            <v>7</v>
          </cell>
          <cell r="J424">
            <v>7.4460784313725492E-2</v>
          </cell>
          <cell r="K424">
            <v>9.3075980392156865E-2</v>
          </cell>
          <cell r="L424">
            <v>2</v>
          </cell>
          <cell r="M424">
            <v>0.1034177559912854</v>
          </cell>
          <cell r="N424">
            <v>0.10858864379084968</v>
          </cell>
          <cell r="O424">
            <v>0.12166794822504165</v>
          </cell>
          <cell r="P424">
            <v>0.13383474304754583</v>
          </cell>
          <cell r="Q424">
            <v>3</v>
          </cell>
          <cell r="R424">
            <v>0.15208493528130204</v>
          </cell>
        </row>
        <row r="425">
          <cell r="A425" t="str">
            <v>L000071</v>
          </cell>
          <cell r="B425">
            <v>11011</v>
          </cell>
          <cell r="C425" t="str">
            <v>DARWATA</v>
          </cell>
          <cell r="D425" t="str">
            <v>Cupla caneria 32 MM goma</v>
          </cell>
          <cell r="E425">
            <v>1</v>
          </cell>
          <cell r="I425">
            <v>8</v>
          </cell>
          <cell r="J425">
            <v>8.5098039215686275E-2</v>
          </cell>
          <cell r="K425">
            <v>0.10637254901960784</v>
          </cell>
          <cell r="L425">
            <v>2</v>
          </cell>
          <cell r="M425">
            <v>0.1181917211328976</v>
          </cell>
          <cell r="N425">
            <v>0.12410130718954249</v>
          </cell>
          <cell r="O425">
            <v>0.13904908368576188</v>
          </cell>
          <cell r="P425">
            <v>0.15295399205433807</v>
          </cell>
          <cell r="Q425">
            <v>3</v>
          </cell>
          <cell r="R425">
            <v>0.17381135460720235</v>
          </cell>
        </row>
        <row r="426">
          <cell r="A426" t="str">
            <v>L000072</v>
          </cell>
          <cell r="B426">
            <v>11012</v>
          </cell>
          <cell r="C426" t="str">
            <v>DARWATA</v>
          </cell>
          <cell r="D426" t="str">
            <v>Cupla caneria 38 MM goma</v>
          </cell>
          <cell r="E426">
            <v>1</v>
          </cell>
          <cell r="I426">
            <v>10</v>
          </cell>
          <cell r="J426">
            <v>0.10637254901960784</v>
          </cell>
          <cell r="K426">
            <v>0.1329656862745098</v>
          </cell>
          <cell r="L426">
            <v>2</v>
          </cell>
          <cell r="M426">
            <v>0.147739651416122</v>
          </cell>
          <cell r="N426">
            <v>0.15512663398692811</v>
          </cell>
          <cell r="O426">
            <v>0.17381135460720235</v>
          </cell>
          <cell r="P426">
            <v>0.1911924900679226</v>
          </cell>
          <cell r="Q426">
            <v>3</v>
          </cell>
          <cell r="R426">
            <v>0.21726419325900292</v>
          </cell>
        </row>
        <row r="427">
          <cell r="A427" t="str">
            <v>L000073</v>
          </cell>
          <cell r="B427">
            <v>11013</v>
          </cell>
          <cell r="C427" t="str">
            <v>DARWATA</v>
          </cell>
          <cell r="D427" t="str">
            <v>Cupla caneria 42 MM goma</v>
          </cell>
          <cell r="E427">
            <v>1</v>
          </cell>
          <cell r="I427">
            <v>15</v>
          </cell>
          <cell r="J427">
            <v>0.15955882352941175</v>
          </cell>
          <cell r="K427">
            <v>0.19944852941176469</v>
          </cell>
          <cell r="L427">
            <v>2</v>
          </cell>
          <cell r="M427">
            <v>0.221609477124183</v>
          </cell>
          <cell r="N427">
            <v>0.23268995098039216</v>
          </cell>
          <cell r="O427">
            <v>0.26071703191080353</v>
          </cell>
          <cell r="P427">
            <v>0.28678873510188391</v>
          </cell>
          <cell r="Q427">
            <v>3</v>
          </cell>
          <cell r="R427">
            <v>0.32589628988850439</v>
          </cell>
        </row>
        <row r="428">
          <cell r="A428" t="str">
            <v>L000074</v>
          </cell>
          <cell r="B428">
            <v>11014</v>
          </cell>
          <cell r="C428" t="str">
            <v>DARWATA</v>
          </cell>
          <cell r="D428" t="str">
            <v>Cupla caneria 48 MM goma</v>
          </cell>
          <cell r="E428">
            <v>1</v>
          </cell>
          <cell r="I428">
            <v>25</v>
          </cell>
          <cell r="J428">
            <v>0.26593137254901961</v>
          </cell>
          <cell r="K428">
            <v>0.33241421568627449</v>
          </cell>
          <cell r="L428">
            <v>2</v>
          </cell>
          <cell r="M428">
            <v>0.36934912854030499</v>
          </cell>
          <cell r="N428">
            <v>0.38781658496732024</v>
          </cell>
          <cell r="O428">
            <v>0.4345283865180059</v>
          </cell>
          <cell r="P428">
            <v>0.47798122516980651</v>
          </cell>
          <cell r="Q428">
            <v>3</v>
          </cell>
          <cell r="R428">
            <v>0.54316048314750731</v>
          </cell>
        </row>
        <row r="429">
          <cell r="A429" t="str">
            <v>L000075</v>
          </cell>
          <cell r="B429">
            <v>11015</v>
          </cell>
          <cell r="C429" t="str">
            <v>DARWATA</v>
          </cell>
          <cell r="D429" t="str">
            <v>Cupla caneria 63 MM goma</v>
          </cell>
          <cell r="E429">
            <v>1</v>
          </cell>
          <cell r="I429">
            <v>35</v>
          </cell>
          <cell r="J429">
            <v>0.37230392156862746</v>
          </cell>
          <cell r="K429">
            <v>0.46537990196078433</v>
          </cell>
          <cell r="L429">
            <v>2</v>
          </cell>
          <cell r="M429">
            <v>0.51708877995642699</v>
          </cell>
          <cell r="N429">
            <v>0.54294321895424835</v>
          </cell>
          <cell r="O429">
            <v>0.60833974112520828</v>
          </cell>
          <cell r="P429">
            <v>0.66917371523772917</v>
          </cell>
          <cell r="Q429">
            <v>3</v>
          </cell>
          <cell r="R429">
            <v>0.76042467640651035</v>
          </cell>
        </row>
        <row r="430">
          <cell r="A430" t="str">
            <v>L000076</v>
          </cell>
          <cell r="B430">
            <v>11016</v>
          </cell>
          <cell r="C430" t="str">
            <v>DARWATA</v>
          </cell>
          <cell r="D430" t="str">
            <v>Cupla caneria 75 MM goma</v>
          </cell>
          <cell r="E430">
            <v>1</v>
          </cell>
          <cell r="I430">
            <v>42</v>
          </cell>
          <cell r="J430">
            <v>0.44676470588235295</v>
          </cell>
          <cell r="K430">
            <v>0.55845588235294119</v>
          </cell>
          <cell r="L430">
            <v>2</v>
          </cell>
          <cell r="M430">
            <v>0.62050653594771243</v>
          </cell>
          <cell r="N430">
            <v>0.65153186274509811</v>
          </cell>
          <cell r="O430">
            <v>0.73000768935024996</v>
          </cell>
          <cell r="P430">
            <v>0.80300845828527501</v>
          </cell>
          <cell r="Q430">
            <v>3</v>
          </cell>
          <cell r="R430">
            <v>0.91250961168781242</v>
          </cell>
        </row>
        <row r="431">
          <cell r="A431" t="str">
            <v>L000077</v>
          </cell>
          <cell r="B431">
            <v>11017</v>
          </cell>
          <cell r="C431" t="str">
            <v>DARWATA</v>
          </cell>
          <cell r="D431" t="str">
            <v>Cupla conica 38 MM C/S goma</v>
          </cell>
          <cell r="E431">
            <v>1</v>
          </cell>
          <cell r="I431">
            <v>3</v>
          </cell>
          <cell r="J431">
            <v>3.1911764705882355E-2</v>
          </cell>
          <cell r="K431">
            <v>3.9889705882352938E-2</v>
          </cell>
          <cell r="L431">
            <v>2</v>
          </cell>
          <cell r="M431">
            <v>4.4321895424836596E-2</v>
          </cell>
          <cell r="N431">
            <v>4.6537990196078426E-2</v>
          </cell>
          <cell r="O431">
            <v>5.2143406382160702E-2</v>
          </cell>
          <cell r="P431">
            <v>5.7357747020376777E-2</v>
          </cell>
          <cell r="Q431">
            <v>3</v>
          </cell>
          <cell r="R431">
            <v>6.5179257977700869E-2</v>
          </cell>
        </row>
        <row r="432">
          <cell r="A432" t="str">
            <v>L000078</v>
          </cell>
          <cell r="B432">
            <v>11018</v>
          </cell>
          <cell r="C432" t="str">
            <v>DARWATA</v>
          </cell>
          <cell r="D432" t="str">
            <v>Cupla conica 38 MM S/S goma</v>
          </cell>
          <cell r="E432">
            <v>1</v>
          </cell>
          <cell r="I432">
            <v>3.6</v>
          </cell>
          <cell r="J432">
            <v>3.8294117647058826E-2</v>
          </cell>
          <cell r="K432">
            <v>4.7867647058823529E-2</v>
          </cell>
          <cell r="L432">
            <v>2</v>
          </cell>
          <cell r="M432">
            <v>5.318627450980392E-2</v>
          </cell>
          <cell r="N432">
            <v>5.5845588235294119E-2</v>
          </cell>
          <cell r="O432">
            <v>6.2572087658592845E-2</v>
          </cell>
          <cell r="P432">
            <v>6.8829296424452138E-2</v>
          </cell>
          <cell r="Q432">
            <v>3</v>
          </cell>
          <cell r="R432">
            <v>7.8215109573241057E-2</v>
          </cell>
        </row>
        <row r="433">
          <cell r="A433" t="str">
            <v>L000079</v>
          </cell>
          <cell r="B433">
            <v>11019</v>
          </cell>
          <cell r="C433" t="str">
            <v>DARWATA</v>
          </cell>
          <cell r="D433" t="str">
            <v>Cupla conica 51 MM goma</v>
          </cell>
          <cell r="E433">
            <v>1</v>
          </cell>
          <cell r="I433">
            <v>4</v>
          </cell>
          <cell r="J433">
            <v>4.2549019607843137E-2</v>
          </cell>
          <cell r="K433">
            <v>5.318627450980392E-2</v>
          </cell>
          <cell r="L433">
            <v>2</v>
          </cell>
          <cell r="M433">
            <v>5.9095860566448798E-2</v>
          </cell>
          <cell r="N433">
            <v>6.2050653594771243E-2</v>
          </cell>
          <cell r="O433">
            <v>6.9524541842880941E-2</v>
          </cell>
          <cell r="P433">
            <v>7.6476996027169036E-2</v>
          </cell>
          <cell r="Q433">
            <v>3</v>
          </cell>
          <cell r="R433">
            <v>8.6905677303601173E-2</v>
          </cell>
        </row>
        <row r="434">
          <cell r="A434" t="str">
            <v>L000080</v>
          </cell>
          <cell r="B434">
            <v>11020</v>
          </cell>
          <cell r="C434" t="str">
            <v>DARWATA</v>
          </cell>
          <cell r="D434" t="str">
            <v>Cupla conica 51 MM C/S goma</v>
          </cell>
          <cell r="E434">
            <v>1</v>
          </cell>
          <cell r="I434">
            <v>4</v>
          </cell>
          <cell r="J434">
            <v>4.2549019607843137E-2</v>
          </cell>
          <cell r="K434">
            <v>5.318627450980392E-2</v>
          </cell>
          <cell r="L434">
            <v>2</v>
          </cell>
          <cell r="M434">
            <v>5.9095860566448798E-2</v>
          </cell>
          <cell r="N434">
            <v>6.2050653594771243E-2</v>
          </cell>
          <cell r="O434">
            <v>6.9524541842880941E-2</v>
          </cell>
          <cell r="P434">
            <v>7.6476996027169036E-2</v>
          </cell>
          <cell r="Q434">
            <v>3</v>
          </cell>
          <cell r="R434">
            <v>8.6905677303601173E-2</v>
          </cell>
        </row>
        <row r="435">
          <cell r="A435" t="str">
            <v>L000081</v>
          </cell>
          <cell r="B435">
            <v>11021</v>
          </cell>
          <cell r="C435" t="str">
            <v>DARWATA</v>
          </cell>
          <cell r="D435" t="str">
            <v>Cupla conica 63 MM goma</v>
          </cell>
          <cell r="E435">
            <v>1</v>
          </cell>
          <cell r="I435">
            <v>4.5</v>
          </cell>
          <cell r="J435">
            <v>4.7867647058823536E-2</v>
          </cell>
          <cell r="K435">
            <v>5.9834558823529414E-2</v>
          </cell>
          <cell r="L435">
            <v>2</v>
          </cell>
          <cell r="M435">
            <v>6.6482843137254902E-2</v>
          </cell>
          <cell r="N435">
            <v>6.9806985294117649E-2</v>
          </cell>
          <cell r="O435">
            <v>7.8215109573241057E-2</v>
          </cell>
          <cell r="P435">
            <v>8.6036620530565169E-2</v>
          </cell>
          <cell r="Q435">
            <v>3</v>
          </cell>
          <cell r="R435">
            <v>9.7768886966551311E-2</v>
          </cell>
        </row>
        <row r="436">
          <cell r="A436" t="str">
            <v>L000082</v>
          </cell>
          <cell r="B436">
            <v>11022</v>
          </cell>
          <cell r="C436" t="str">
            <v>DARWATA</v>
          </cell>
          <cell r="D436" t="str">
            <v>Cupla reduccion 38 MM a 25 MM goma</v>
          </cell>
          <cell r="E436">
            <v>1</v>
          </cell>
          <cell r="I436">
            <v>5.5</v>
          </cell>
          <cell r="J436">
            <v>5.8504901960784304E-2</v>
          </cell>
          <cell r="K436">
            <v>7.3131127450980382E-2</v>
          </cell>
          <cell r="L436">
            <v>2</v>
          </cell>
          <cell r="M436">
            <v>8.1256808278867096E-2</v>
          </cell>
          <cell r="N436">
            <v>8.531964869281046E-2</v>
          </cell>
          <cell r="O436">
            <v>9.5596245033961288E-2</v>
          </cell>
          <cell r="P436">
            <v>0.10515586953735742</v>
          </cell>
          <cell r="Q436">
            <v>3</v>
          </cell>
          <cell r="R436">
            <v>0.1194953062924516</v>
          </cell>
        </row>
        <row r="437">
          <cell r="A437" t="str">
            <v>L000083</v>
          </cell>
          <cell r="B437">
            <v>11023</v>
          </cell>
          <cell r="C437" t="str">
            <v>DARWATA</v>
          </cell>
          <cell r="D437" t="str">
            <v>Cupla reduccion 50 MM a 38 MM goma</v>
          </cell>
          <cell r="E437">
            <v>1</v>
          </cell>
          <cell r="I437">
            <v>5.5</v>
          </cell>
          <cell r="J437">
            <v>5.8504901960784304E-2</v>
          </cell>
          <cell r="K437">
            <v>7.3131127450980382E-2</v>
          </cell>
          <cell r="L437">
            <v>2</v>
          </cell>
          <cell r="M437">
            <v>8.1256808278867096E-2</v>
          </cell>
          <cell r="N437">
            <v>8.531964869281046E-2</v>
          </cell>
          <cell r="O437">
            <v>9.5596245033961288E-2</v>
          </cell>
          <cell r="P437">
            <v>0.10515586953735742</v>
          </cell>
          <cell r="Q437">
            <v>3</v>
          </cell>
          <cell r="R437">
            <v>0.1194953062924516</v>
          </cell>
        </row>
        <row r="438">
          <cell r="A438" t="str">
            <v>L000084</v>
          </cell>
          <cell r="B438">
            <v>11078</v>
          </cell>
          <cell r="C438" t="str">
            <v>DARWATA</v>
          </cell>
          <cell r="D438" t="str">
            <v>Cupla reducción 63 MM a 50 MM goma</v>
          </cell>
          <cell r="E438">
            <v>1</v>
          </cell>
          <cell r="I438">
            <v>7</v>
          </cell>
          <cell r="J438">
            <v>7.4460784313725492E-2</v>
          </cell>
          <cell r="K438">
            <v>9.3075980392156865E-2</v>
          </cell>
          <cell r="L438">
            <v>2</v>
          </cell>
          <cell r="M438">
            <v>0.1034177559912854</v>
          </cell>
          <cell r="N438">
            <v>0.10858864379084968</v>
          </cell>
          <cell r="O438">
            <v>0.12166794822504165</v>
          </cell>
          <cell r="P438">
            <v>0.13383474304754583</v>
          </cell>
          <cell r="Q438">
            <v>3</v>
          </cell>
          <cell r="R438">
            <v>0.15208493528130204</v>
          </cell>
        </row>
        <row r="439">
          <cell r="A439" t="str">
            <v>L000085</v>
          </cell>
          <cell r="B439">
            <v>11024</v>
          </cell>
          <cell r="C439" t="str">
            <v>DARWATA</v>
          </cell>
          <cell r="D439" t="str">
            <v>Cupla reduccion 75 MM a 50 MM goma</v>
          </cell>
          <cell r="E439">
            <v>1</v>
          </cell>
          <cell r="I439">
            <v>8</v>
          </cell>
          <cell r="J439">
            <v>8.5098039215686275E-2</v>
          </cell>
          <cell r="K439">
            <v>0.10637254901960784</v>
          </cell>
          <cell r="L439">
            <v>2</v>
          </cell>
          <cell r="M439">
            <v>0.1181917211328976</v>
          </cell>
          <cell r="N439">
            <v>0.12410130718954249</v>
          </cell>
          <cell r="O439">
            <v>0.13904908368576188</v>
          </cell>
          <cell r="P439">
            <v>0.15295399205433807</v>
          </cell>
          <cell r="Q439">
            <v>3</v>
          </cell>
          <cell r="R439">
            <v>0.17381135460720235</v>
          </cell>
        </row>
        <row r="440">
          <cell r="A440" t="str">
            <v>L000086</v>
          </cell>
          <cell r="B440" t="str">
            <v>IP16</v>
          </cell>
          <cell r="C440" t="str">
            <v>Inelac</v>
          </cell>
          <cell r="D440" t="str">
            <v>Intercabiador a Placas 800 l/hs 16 placas</v>
          </cell>
          <cell r="E440">
            <v>1</v>
          </cell>
          <cell r="I440">
            <v>1296</v>
          </cell>
          <cell r="J440">
            <v>13.785882352941176</v>
          </cell>
          <cell r="K440">
            <v>17.232352941176469</v>
          </cell>
          <cell r="L440">
            <v>2</v>
          </cell>
          <cell r="M440">
            <v>19.147058823529409</v>
          </cell>
          <cell r="N440">
            <v>20.10441176470588</v>
          </cell>
          <cell r="O440">
            <v>22.525951557093425</v>
          </cell>
          <cell r="P440">
            <v>24.778546712802768</v>
          </cell>
          <cell r="Q440">
            <v>3</v>
          </cell>
          <cell r="R440">
            <v>28.15743944636678</v>
          </cell>
        </row>
        <row r="441">
          <cell r="A441" t="str">
            <v>L000087</v>
          </cell>
          <cell r="B441" t="str">
            <v>IP22</v>
          </cell>
          <cell r="C441" t="str">
            <v>Inelac</v>
          </cell>
          <cell r="D441" t="str">
            <v>Intercabiador a Placas 1100 l/hs 22 placas</v>
          </cell>
          <cell r="E441">
            <v>1</v>
          </cell>
          <cell r="I441">
            <v>1510</v>
          </cell>
          <cell r="J441">
            <v>16.062254901960785</v>
          </cell>
          <cell r="K441">
            <v>20.077818627450981</v>
          </cell>
          <cell r="L441">
            <v>2</v>
          </cell>
          <cell r="M441">
            <v>22.308687363834423</v>
          </cell>
          <cell r="N441">
            <v>23.424121732026144</v>
          </cell>
          <cell r="O441">
            <v>26.245514545687556</v>
          </cell>
          <cell r="P441">
            <v>28.870066000256312</v>
          </cell>
          <cell r="Q441">
            <v>3</v>
          </cell>
          <cell r="R441">
            <v>32.806893182109441</v>
          </cell>
        </row>
        <row r="442">
          <cell r="A442" t="str">
            <v>L000088</v>
          </cell>
          <cell r="B442" t="str">
            <v>IP26</v>
          </cell>
          <cell r="C442" t="str">
            <v>Inelac</v>
          </cell>
          <cell r="D442" t="str">
            <v>Intercabiador a Placas 1300 l/hs 26 placas</v>
          </cell>
          <cell r="E442">
            <v>1</v>
          </cell>
          <cell r="I442">
            <v>1628</v>
          </cell>
          <cell r="J442">
            <v>17.317450980392156</v>
          </cell>
          <cell r="K442">
            <v>21.646813725490194</v>
          </cell>
          <cell r="L442">
            <v>2</v>
          </cell>
          <cell r="M442">
            <v>24.05201525054466</v>
          </cell>
          <cell r="N442">
            <v>25.254616013071892</v>
          </cell>
          <cell r="O442">
            <v>28.296488530052542</v>
          </cell>
          <cell r="P442">
            <v>31.126137383057799</v>
          </cell>
          <cell r="Q442">
            <v>3</v>
          </cell>
          <cell r="R442">
            <v>35.370610662565674</v>
          </cell>
        </row>
        <row r="443">
          <cell r="A443" t="str">
            <v>L000089</v>
          </cell>
          <cell r="B443" t="str">
            <v>IP36</v>
          </cell>
          <cell r="C443" t="str">
            <v>Inelac</v>
          </cell>
          <cell r="D443" t="str">
            <v>Intercabiador a Placas 1800 l/hs 36 placas</v>
          </cell>
          <cell r="E443">
            <v>1</v>
          </cell>
          <cell r="I443">
            <v>1960</v>
          </cell>
          <cell r="J443">
            <v>20.849019607843136</v>
          </cell>
          <cell r="K443">
            <v>26.061274509803919</v>
          </cell>
          <cell r="L443">
            <v>2</v>
          </cell>
          <cell r="M443">
            <v>28.95697167755991</v>
          </cell>
          <cell r="N443">
            <v>30.404820261437905</v>
          </cell>
          <cell r="O443">
            <v>34.067025503011656</v>
          </cell>
          <cell r="P443">
            <v>37.473728053312826</v>
          </cell>
          <cell r="Q443">
            <v>3</v>
          </cell>
          <cell r="R443">
            <v>42.583781878764569</v>
          </cell>
        </row>
        <row r="444">
          <cell r="A444" t="str">
            <v>L000090</v>
          </cell>
          <cell r="B444" t="str">
            <v>IP44</v>
          </cell>
          <cell r="C444" t="str">
            <v>Inelac</v>
          </cell>
          <cell r="D444" t="str">
            <v>Intercabiador a Placas 2000 l/hs 40 placas</v>
          </cell>
          <cell r="E444">
            <v>1</v>
          </cell>
          <cell r="I444">
            <v>2100</v>
          </cell>
          <cell r="J444">
            <v>22.338235294117649</v>
          </cell>
          <cell r="K444">
            <v>27.922794117647058</v>
          </cell>
          <cell r="L444">
            <v>2</v>
          </cell>
          <cell r="M444">
            <v>31.02532679738562</v>
          </cell>
          <cell r="N444">
            <v>32.576593137254903</v>
          </cell>
          <cell r="O444">
            <v>36.500384467512497</v>
          </cell>
          <cell r="P444">
            <v>40.15042291426375</v>
          </cell>
          <cell r="Q444">
            <v>3</v>
          </cell>
          <cell r="R444">
            <v>45.625480584390615</v>
          </cell>
        </row>
        <row r="445">
          <cell r="A445" t="str">
            <v>L000091</v>
          </cell>
          <cell r="B445" t="str">
            <v>IP54</v>
          </cell>
          <cell r="C445" t="str">
            <v>Inelac</v>
          </cell>
          <cell r="D445" t="str">
            <v>Intercabiador a Placas 2500 l/hs 54 placas</v>
          </cell>
          <cell r="E445">
            <v>1</v>
          </cell>
          <cell r="I445">
            <v>2240</v>
          </cell>
          <cell r="J445">
            <v>23.827450980392157</v>
          </cell>
          <cell r="K445">
            <v>29.784313725490197</v>
          </cell>
          <cell r="L445">
            <v>2</v>
          </cell>
          <cell r="M445">
            <v>33.093681917211327</v>
          </cell>
          <cell r="N445">
            <v>34.748366013071895</v>
          </cell>
          <cell r="O445">
            <v>38.93374343201333</v>
          </cell>
          <cell r="P445">
            <v>42.827117775214667</v>
          </cell>
          <cell r="Q445">
            <v>3</v>
          </cell>
          <cell r="R445">
            <v>48.667179290016662</v>
          </cell>
        </row>
        <row r="446">
          <cell r="A446" t="str">
            <v>L000092</v>
          </cell>
          <cell r="C446" t="str">
            <v>Inelac</v>
          </cell>
          <cell r="D446" t="str">
            <v>Placa con junta</v>
          </cell>
          <cell r="E446">
            <v>1</v>
          </cell>
          <cell r="I446">
            <v>35</v>
          </cell>
          <cell r="J446">
            <v>0.37230392156862746</v>
          </cell>
          <cell r="K446">
            <v>0.46537990196078433</v>
          </cell>
          <cell r="L446">
            <v>2</v>
          </cell>
          <cell r="M446">
            <v>0.51708877995642699</v>
          </cell>
          <cell r="N446">
            <v>0.54294321895424835</v>
          </cell>
          <cell r="O446">
            <v>0.60833974112520828</v>
          </cell>
          <cell r="P446">
            <v>0.66917371523772917</v>
          </cell>
          <cell r="Q446">
            <v>3</v>
          </cell>
          <cell r="R446">
            <v>0.76042467640651035</v>
          </cell>
        </row>
        <row r="447">
          <cell r="A447" t="str">
            <v>L000093</v>
          </cell>
          <cell r="B447" t="str">
            <v>TIGAJP033</v>
          </cell>
          <cell r="C447" t="str">
            <v>hidropilar</v>
          </cell>
          <cell r="D447" t="str">
            <v>Tapas de pvc 2 "</v>
          </cell>
          <cell r="E447">
            <v>1</v>
          </cell>
          <cell r="I447">
            <v>4</v>
          </cell>
          <cell r="J447">
            <v>4.2549019607843137E-2</v>
          </cell>
          <cell r="K447">
            <v>5.318627450980392E-2</v>
          </cell>
          <cell r="L447">
            <v>2</v>
          </cell>
          <cell r="M447">
            <v>5.9095860566448798E-2</v>
          </cell>
          <cell r="N447">
            <v>6.2050653594771243E-2</v>
          </cell>
          <cell r="O447">
            <v>6.9524541842880941E-2</v>
          </cell>
          <cell r="P447">
            <v>7.6476996027169036E-2</v>
          </cell>
          <cell r="Q447">
            <v>3</v>
          </cell>
          <cell r="R447">
            <v>8.6905677303601173E-2</v>
          </cell>
        </row>
        <row r="448">
          <cell r="A448" t="str">
            <v>L000094</v>
          </cell>
          <cell r="B448" t="str">
            <v>TIGAJP034</v>
          </cell>
          <cell r="C448" t="str">
            <v>hidropilar</v>
          </cell>
          <cell r="D448" t="str">
            <v>Tapas de pvc 2,5 "</v>
          </cell>
          <cell r="E448">
            <v>1</v>
          </cell>
          <cell r="I448">
            <v>7</v>
          </cell>
          <cell r="J448">
            <v>7.4460784313725492E-2</v>
          </cell>
          <cell r="K448">
            <v>9.3075980392156865E-2</v>
          </cell>
          <cell r="L448">
            <v>2</v>
          </cell>
          <cell r="M448">
            <v>0.1034177559912854</v>
          </cell>
          <cell r="N448">
            <v>0.10858864379084968</v>
          </cell>
          <cell r="O448">
            <v>0.12166794822504165</v>
          </cell>
          <cell r="P448">
            <v>0.13383474304754583</v>
          </cell>
          <cell r="Q448">
            <v>3</v>
          </cell>
          <cell r="R448">
            <v>0.15208493528130204</v>
          </cell>
        </row>
        <row r="449">
          <cell r="A449" t="str">
            <v>L000095</v>
          </cell>
          <cell r="B449" t="str">
            <v>TIGAJP035</v>
          </cell>
          <cell r="C449" t="str">
            <v>hidropilar</v>
          </cell>
          <cell r="D449" t="str">
            <v>Tapas de pvc 3 "</v>
          </cell>
          <cell r="E449">
            <v>1</v>
          </cell>
          <cell r="I449">
            <v>4.3</v>
          </cell>
          <cell r="J449">
            <v>4.3</v>
          </cell>
          <cell r="K449">
            <v>5.3749999999999991</v>
          </cell>
          <cell r="L449">
            <v>2</v>
          </cell>
          <cell r="M449">
            <v>5.9722222222222214</v>
          </cell>
          <cell r="N449">
            <v>6.270833333333333</v>
          </cell>
          <cell r="O449">
            <v>7.0261437908496722</v>
          </cell>
          <cell r="P449">
            <v>7.7287581699346397</v>
          </cell>
          <cell r="Q449">
            <v>3</v>
          </cell>
          <cell r="R449">
            <v>8.7826797385620896</v>
          </cell>
        </row>
        <row r="450">
          <cell r="A450" t="str">
            <v>L000096</v>
          </cell>
          <cell r="B450" t="str">
            <v>TIGAJP037</v>
          </cell>
          <cell r="C450" t="str">
            <v>hidropilar</v>
          </cell>
          <cell r="D450" t="str">
            <v>Tapas de pvc 4 "</v>
          </cell>
          <cell r="E450">
            <v>1</v>
          </cell>
          <cell r="I450">
            <v>34</v>
          </cell>
          <cell r="J450">
            <v>0.36166666666666669</v>
          </cell>
          <cell r="K450">
            <v>0.45208333333333334</v>
          </cell>
          <cell r="L450">
            <v>2</v>
          </cell>
          <cell r="M450">
            <v>0.50231481481481477</v>
          </cell>
          <cell r="N450">
            <v>0.52743055555555551</v>
          </cell>
          <cell r="O450">
            <v>0.59095860566448799</v>
          </cell>
          <cell r="P450">
            <v>0.65005446623093688</v>
          </cell>
          <cell r="Q450">
            <v>3</v>
          </cell>
          <cell r="R450">
            <v>0.73869825708060999</v>
          </cell>
        </row>
        <row r="451">
          <cell r="A451" t="str">
            <v>L000097</v>
          </cell>
          <cell r="D451" t="str">
            <v>Swing arm W/brackets</v>
          </cell>
          <cell r="E451">
            <v>1</v>
          </cell>
          <cell r="F451">
            <v>68</v>
          </cell>
          <cell r="G451">
            <v>91.800000000000011</v>
          </cell>
          <cell r="H451">
            <v>1</v>
          </cell>
          <cell r="I451">
            <v>402.084</v>
          </cell>
          <cell r="J451">
            <v>4.2770700000000001</v>
          </cell>
          <cell r="K451">
            <v>5.3463374999999997</v>
          </cell>
          <cell r="L451">
            <v>2</v>
          </cell>
          <cell r="M451">
            <v>5.9403749999999995</v>
          </cell>
          <cell r="N451">
            <v>6.2373937499999998</v>
          </cell>
          <cell r="O451">
            <v>6.9886764705882349</v>
          </cell>
          <cell r="P451">
            <v>7.6875441176470591</v>
          </cell>
          <cell r="Q451">
            <v>3</v>
          </cell>
          <cell r="R451">
            <v>8.7358455882352928</v>
          </cell>
        </row>
        <row r="452">
          <cell r="A452" t="str">
            <v>L000098</v>
          </cell>
          <cell r="B452" t="str">
            <v>G-100</v>
          </cell>
          <cell r="C452" t="str">
            <v>Evial</v>
          </cell>
          <cell r="D452" t="str">
            <v>Grifo paso de leche</v>
          </cell>
          <cell r="E452">
            <v>1</v>
          </cell>
          <cell r="I452">
            <v>3.1</v>
          </cell>
          <cell r="J452">
            <v>3.2975490196078434E-2</v>
          </cell>
          <cell r="K452">
            <v>4.1219362745098041E-2</v>
          </cell>
          <cell r="L452">
            <v>2</v>
          </cell>
          <cell r="M452">
            <v>4.5799291938997823E-2</v>
          </cell>
          <cell r="N452">
            <v>4.8089256535947714E-2</v>
          </cell>
          <cell r="O452">
            <v>5.3881519928232736E-2</v>
          </cell>
          <cell r="P452">
            <v>5.9269671921056012E-2</v>
          </cell>
          <cell r="Q452">
            <v>3</v>
          </cell>
          <cell r="R452">
            <v>6.7351899910290919E-2</v>
          </cell>
        </row>
        <row r="453">
          <cell r="A453" t="str">
            <v>L000099</v>
          </cell>
          <cell r="C453" t="str">
            <v>Tropea</v>
          </cell>
          <cell r="D453" t="str">
            <v>Manguera de pulsado doble</v>
          </cell>
          <cell r="E453">
            <v>25</v>
          </cell>
          <cell r="I453">
            <v>106</v>
          </cell>
          <cell r="J453">
            <v>1.127549019607843</v>
          </cell>
          <cell r="K453">
            <v>1.4094362745098037</v>
          </cell>
          <cell r="L453">
            <v>3</v>
          </cell>
          <cell r="M453">
            <v>1.6581603229527102</v>
          </cell>
          <cell r="N453">
            <v>1.7410683391003459</v>
          </cell>
          <cell r="O453">
            <v>1.9507768505326002</v>
          </cell>
          <cell r="P453">
            <v>2.1458545355858605</v>
          </cell>
          <cell r="Q453">
            <v>3</v>
          </cell>
          <cell r="R453">
            <v>2.4384710631657502</v>
          </cell>
        </row>
        <row r="454">
          <cell r="A454" t="str">
            <v>L000100</v>
          </cell>
          <cell r="B454" t="str">
            <v>IP16</v>
          </cell>
          <cell r="C454" t="str">
            <v>Inelac</v>
          </cell>
          <cell r="D454" t="str">
            <v>Intercabiador a Placas 800 l/hs 16 placas SS</v>
          </cell>
          <cell r="E454">
            <v>1</v>
          </cell>
          <cell r="I454">
            <v>2296</v>
          </cell>
          <cell r="J454">
            <v>24.42313725490196</v>
          </cell>
          <cell r="K454">
            <v>30.52892156862745</v>
          </cell>
          <cell r="L454">
            <v>2</v>
          </cell>
          <cell r="M454">
            <v>33.921023965141607</v>
          </cell>
          <cell r="N454">
            <v>35.617075163398688</v>
          </cell>
          <cell r="O454">
            <v>39.907087017813659</v>
          </cell>
          <cell r="P454">
            <v>43.897795719595031</v>
          </cell>
          <cell r="Q454">
            <v>3</v>
          </cell>
          <cell r="R454">
            <v>49.883858772267068</v>
          </cell>
        </row>
        <row r="455">
          <cell r="A455" t="str">
            <v>L000101</v>
          </cell>
          <cell r="B455" t="str">
            <v>IP22</v>
          </cell>
          <cell r="C455" t="str">
            <v>Inelac</v>
          </cell>
          <cell r="D455" t="str">
            <v>Intercabiador a Placas 1100 l/hs 22 placas SS</v>
          </cell>
          <cell r="E455">
            <v>1</v>
          </cell>
          <cell r="I455">
            <v>2510</v>
          </cell>
          <cell r="J455">
            <v>26.699509803921568</v>
          </cell>
          <cell r="K455">
            <v>33.374387254901961</v>
          </cell>
          <cell r="L455">
            <v>2</v>
          </cell>
          <cell r="M455">
            <v>37.082652505446625</v>
          </cell>
          <cell r="N455">
            <v>38.93678513071896</v>
          </cell>
          <cell r="O455">
            <v>43.626650006407793</v>
          </cell>
          <cell r="P455">
            <v>47.989315007048575</v>
          </cell>
          <cell r="Q455">
            <v>3</v>
          </cell>
          <cell r="R455">
            <v>54.533312508009736</v>
          </cell>
        </row>
        <row r="456">
          <cell r="A456" t="str">
            <v>L000102</v>
          </cell>
          <cell r="B456" t="str">
            <v>IP26</v>
          </cell>
          <cell r="C456" t="str">
            <v>Inelac</v>
          </cell>
          <cell r="D456" t="str">
            <v>Intercabiador a Placas 1300 l/hs 26 placas SS</v>
          </cell>
          <cell r="E456">
            <v>1</v>
          </cell>
          <cell r="I456">
            <v>2630</v>
          </cell>
          <cell r="J456">
            <v>27.97598039215686</v>
          </cell>
          <cell r="K456">
            <v>34.96997549019607</v>
          </cell>
          <cell r="L456">
            <v>2</v>
          </cell>
          <cell r="M456">
            <v>38.85552832244008</v>
          </cell>
          <cell r="N456">
            <v>40.798304738562088</v>
          </cell>
          <cell r="O456">
            <v>45.712386261694213</v>
          </cell>
          <cell r="P456">
            <v>50.283624887863638</v>
          </cell>
          <cell r="Q456">
            <v>3</v>
          </cell>
          <cell r="R456">
            <v>57.140482827117765</v>
          </cell>
        </row>
        <row r="457">
          <cell r="A457" t="str">
            <v>L000103</v>
          </cell>
          <cell r="B457" t="str">
            <v>IP36</v>
          </cell>
          <cell r="C457" t="str">
            <v>Inelac</v>
          </cell>
          <cell r="D457" t="str">
            <v>Intercabiador a Placas 1800 l/hs 36 placas SS</v>
          </cell>
          <cell r="E457">
            <v>1</v>
          </cell>
          <cell r="I457">
            <v>2960</v>
          </cell>
          <cell r="J457">
            <v>31.48627450980392</v>
          </cell>
          <cell r="K457">
            <v>39.357843137254896</v>
          </cell>
          <cell r="L457">
            <v>2</v>
          </cell>
          <cell r="M457">
            <v>43.730936819172108</v>
          </cell>
          <cell r="N457">
            <v>45.917483660130713</v>
          </cell>
          <cell r="O457">
            <v>51.448160963731894</v>
          </cell>
          <cell r="P457">
            <v>56.592977060105085</v>
          </cell>
          <cell r="Q457">
            <v>3</v>
          </cell>
          <cell r="R457">
            <v>64.310201204664864</v>
          </cell>
        </row>
        <row r="458">
          <cell r="A458" t="str">
            <v>L000104</v>
          </cell>
          <cell r="B458" t="str">
            <v>IP44</v>
          </cell>
          <cell r="C458" t="str">
            <v>Inelac</v>
          </cell>
          <cell r="D458" t="str">
            <v>Intercabiador a Placas 2000 l/hs 40 placas SS</v>
          </cell>
          <cell r="E458">
            <v>1</v>
          </cell>
          <cell r="I458">
            <v>3100</v>
          </cell>
          <cell r="J458">
            <v>32.975490196078432</v>
          </cell>
          <cell r="K458">
            <v>41.219362745098039</v>
          </cell>
          <cell r="L458">
            <v>2</v>
          </cell>
          <cell r="M458">
            <v>45.799291938997818</v>
          </cell>
          <cell r="N458">
            <v>48.089256535947712</v>
          </cell>
          <cell r="O458">
            <v>53.881519928232727</v>
          </cell>
          <cell r="P458">
            <v>59.269671921056002</v>
          </cell>
          <cell r="Q458">
            <v>3</v>
          </cell>
          <cell r="R458">
            <v>67.351899910290911</v>
          </cell>
        </row>
        <row r="459">
          <cell r="A459" t="str">
            <v>L000105</v>
          </cell>
          <cell r="B459" t="str">
            <v>IP54</v>
          </cell>
          <cell r="C459" t="str">
            <v>Inelac</v>
          </cell>
          <cell r="D459" t="str">
            <v>Intercabiador a Placas 2500 l/hs 54 placas SS</v>
          </cell>
          <cell r="E459">
            <v>1</v>
          </cell>
          <cell r="I459">
            <v>3440</v>
          </cell>
          <cell r="J459">
            <v>36.592156862745099</v>
          </cell>
          <cell r="K459">
            <v>45.740196078431374</v>
          </cell>
          <cell r="L459">
            <v>2</v>
          </cell>
          <cell r="M459">
            <v>50.822440087145971</v>
          </cell>
          <cell r="N459">
            <v>53.363562091503269</v>
          </cell>
          <cell r="O459">
            <v>59.791105984877618</v>
          </cell>
          <cell r="P459">
            <v>65.770216583365382</v>
          </cell>
          <cell r="Q459">
            <v>3</v>
          </cell>
          <cell r="R459">
            <v>74.738882481097022</v>
          </cell>
        </row>
        <row r="460">
          <cell r="A460" t="str">
            <v>L000106</v>
          </cell>
          <cell r="C460" t="str">
            <v>Frautschi</v>
          </cell>
          <cell r="D460" t="str">
            <v>Curva180 ° 50.8 mm pulido interno y externo sanitario</v>
          </cell>
          <cell r="E460">
            <v>1</v>
          </cell>
          <cell r="I460">
            <v>84.6</v>
          </cell>
          <cell r="J460">
            <v>0.8999117647058823</v>
          </cell>
          <cell r="K460">
            <v>1.1248897058823528</v>
          </cell>
          <cell r="L460">
            <v>2</v>
          </cell>
          <cell r="M460">
            <v>1.249877450980392</v>
          </cell>
          <cell r="N460">
            <v>1.3123713235294117</v>
          </cell>
          <cell r="O460">
            <v>1.4704440599769319</v>
          </cell>
          <cell r="P460">
            <v>1.6174884659746254</v>
          </cell>
          <cell r="Q460">
            <v>3</v>
          </cell>
          <cell r="R460">
            <v>1.8380550749711648</v>
          </cell>
        </row>
        <row r="461">
          <cell r="A461" t="str">
            <v>L000107</v>
          </cell>
          <cell r="C461" t="str">
            <v>Frautschi</v>
          </cell>
          <cell r="D461" t="str">
            <v>Curva180 ° 63.5 mm pulido interno y externo sanitario</v>
          </cell>
          <cell r="E461">
            <v>1</v>
          </cell>
          <cell r="I461">
            <v>115.5</v>
          </cell>
          <cell r="J461">
            <v>1.2286029411764705</v>
          </cell>
          <cell r="K461">
            <v>1.5357536764705881</v>
          </cell>
          <cell r="L461">
            <v>2</v>
          </cell>
          <cell r="M461">
            <v>1.7063929738562089</v>
          </cell>
          <cell r="N461">
            <v>1.7917126225490194</v>
          </cell>
          <cell r="O461">
            <v>2.007521145713187</v>
          </cell>
          <cell r="P461">
            <v>2.2082732602845057</v>
          </cell>
          <cell r="Q461">
            <v>3</v>
          </cell>
          <cell r="R461">
            <v>2.5094014321414835</v>
          </cell>
        </row>
        <row r="462">
          <cell r="A462" t="str">
            <v>L000108</v>
          </cell>
          <cell r="C462" t="str">
            <v>Frautschi</v>
          </cell>
          <cell r="D462" t="str">
            <v>Curva180 ° 76.2.8 mm pulido interno y externo sanitario</v>
          </cell>
          <cell r="E462">
            <v>1</v>
          </cell>
          <cell r="I462">
            <v>157</v>
          </cell>
          <cell r="J462">
            <v>1.670049019607843</v>
          </cell>
          <cell r="K462">
            <v>2.0875612745098038</v>
          </cell>
          <cell r="L462">
            <v>2</v>
          </cell>
          <cell r="M462">
            <v>2.3195125272331154</v>
          </cell>
          <cell r="N462">
            <v>2.4354881535947714</v>
          </cell>
          <cell r="O462">
            <v>2.7288382673330771</v>
          </cell>
          <cell r="P462">
            <v>3.0017220940663849</v>
          </cell>
          <cell r="Q462">
            <v>3</v>
          </cell>
          <cell r="R462">
            <v>3.4110478341663462</v>
          </cell>
        </row>
        <row r="463">
          <cell r="A463" t="str">
            <v>L000109</v>
          </cell>
          <cell r="C463" t="str">
            <v>Frautschi</v>
          </cell>
          <cell r="D463" t="str">
            <v>Curva180 ° 101.6 mm pulido interno y externo sanitario</v>
          </cell>
          <cell r="E463">
            <v>1</v>
          </cell>
          <cell r="I463">
            <v>305</v>
          </cell>
          <cell r="J463">
            <v>3.2443627450980395</v>
          </cell>
          <cell r="K463">
            <v>4.0554534313725492</v>
          </cell>
          <cell r="L463">
            <v>2</v>
          </cell>
          <cell r="M463">
            <v>4.5060593681917211</v>
          </cell>
          <cell r="N463">
            <v>4.7313623366013076</v>
          </cell>
          <cell r="O463">
            <v>5.3012463155196725</v>
          </cell>
          <cell r="P463">
            <v>5.8313709470716404</v>
          </cell>
          <cell r="Q463">
            <v>3</v>
          </cell>
          <cell r="R463">
            <v>6.62655789439959</v>
          </cell>
        </row>
        <row r="464">
          <cell r="A464" t="str">
            <v>L000110</v>
          </cell>
          <cell r="D464" t="str">
            <v>llave mariposa sanitaria de 38.1</v>
          </cell>
          <cell r="E464">
            <v>1</v>
          </cell>
          <cell r="I464">
            <v>293.2</v>
          </cell>
          <cell r="J464">
            <v>3.1188431372549017</v>
          </cell>
          <cell r="K464">
            <v>3.8985539215686269</v>
          </cell>
          <cell r="L464">
            <v>2</v>
          </cell>
          <cell r="M464">
            <v>4.3317265795206961</v>
          </cell>
          <cell r="N464">
            <v>4.5483129084967313</v>
          </cell>
          <cell r="O464">
            <v>5.0961489170831724</v>
          </cell>
          <cell r="P464">
            <v>5.6057638087914903</v>
          </cell>
          <cell r="Q464">
            <v>3</v>
          </cell>
          <cell r="R464">
            <v>6.3701861463539649</v>
          </cell>
        </row>
        <row r="465">
          <cell r="A465" t="str">
            <v>L000111</v>
          </cell>
          <cell r="D465" t="str">
            <v>llave mariposa sanitaria de 50.8</v>
          </cell>
          <cell r="E465">
            <v>1</v>
          </cell>
          <cell r="I465">
            <v>318</v>
          </cell>
          <cell r="J465">
            <v>3.3826470588235291</v>
          </cell>
          <cell r="K465">
            <v>4.2283088235294111</v>
          </cell>
          <cell r="L465">
            <v>2</v>
          </cell>
          <cell r="M465">
            <v>4.6981209150326793</v>
          </cell>
          <cell r="N465">
            <v>4.9330269607843134</v>
          </cell>
          <cell r="O465">
            <v>5.5272010765090345</v>
          </cell>
          <cell r="P465">
            <v>6.0799211841599385</v>
          </cell>
          <cell r="Q465">
            <v>3</v>
          </cell>
          <cell r="R465">
            <v>6.9090013456362929</v>
          </cell>
        </row>
        <row r="466">
          <cell r="A466" t="str">
            <v>L000112</v>
          </cell>
          <cell r="D466" t="str">
            <v>llave mariposa sanitaria de 63.5</v>
          </cell>
          <cell r="E466">
            <v>1</v>
          </cell>
          <cell r="I466">
            <v>448.4</v>
          </cell>
          <cell r="J466">
            <v>4.7697450980392153</v>
          </cell>
          <cell r="K466">
            <v>5.9621813725490185</v>
          </cell>
          <cell r="L466">
            <v>2</v>
          </cell>
          <cell r="M466">
            <v>6.6246459694989088</v>
          </cell>
          <cell r="N466">
            <v>6.9558782679738549</v>
          </cell>
          <cell r="O466">
            <v>7.7937011405869514</v>
          </cell>
          <cell r="P466">
            <v>8.5730712546456473</v>
          </cell>
          <cell r="Q466">
            <v>3</v>
          </cell>
          <cell r="R466">
            <v>9.742126425733689</v>
          </cell>
        </row>
        <row r="467">
          <cell r="A467" t="str">
            <v>L000113</v>
          </cell>
          <cell r="D467" t="str">
            <v>llave mariposa sanitaria de 76.2</v>
          </cell>
          <cell r="E467">
            <v>1</v>
          </cell>
          <cell r="I467">
            <v>516.4</v>
          </cell>
          <cell r="J467">
            <v>5.4930784313725489</v>
          </cell>
          <cell r="K467">
            <v>6.8663480392156861</v>
          </cell>
          <cell r="L467">
            <v>2</v>
          </cell>
          <cell r="M467">
            <v>7.6292755991285404</v>
          </cell>
          <cell r="N467">
            <v>8.010739379084967</v>
          </cell>
          <cell r="O467">
            <v>8.97561835191593</v>
          </cell>
          <cell r="P467">
            <v>9.8731801871075238</v>
          </cell>
          <cell r="Q467">
            <v>3</v>
          </cell>
          <cell r="R467">
            <v>11.219522939894912</v>
          </cell>
        </row>
        <row r="468">
          <cell r="A468" t="str">
            <v>L000114</v>
          </cell>
          <cell r="D468" t="str">
            <v>llave mariposa sanitaria de 101.6</v>
          </cell>
          <cell r="E468">
            <v>1</v>
          </cell>
          <cell r="I468">
            <v>818.6</v>
          </cell>
          <cell r="J468">
            <v>8.7076568627450985</v>
          </cell>
          <cell r="K468">
            <v>10.884571078431373</v>
          </cell>
          <cell r="L468">
            <v>2</v>
          </cell>
          <cell r="M468">
            <v>12.093967864923748</v>
          </cell>
          <cell r="N468">
            <v>12.698666258169936</v>
          </cell>
          <cell r="O468">
            <v>14.228197488145586</v>
          </cell>
          <cell r="P468">
            <v>15.651017236960145</v>
          </cell>
          <cell r="Q468">
            <v>3</v>
          </cell>
          <cell r="R468">
            <v>17.785246860181982</v>
          </cell>
        </row>
        <row r="469">
          <cell r="A469" t="str">
            <v>L000115</v>
          </cell>
          <cell r="C469" t="str">
            <v>EZEQUIEL</v>
          </cell>
          <cell r="D469" t="str">
            <v>soporte rectangular inoxidable con guías laterales para cañería doble de  2 " de dimámetro</v>
          </cell>
          <cell r="E469">
            <v>1</v>
          </cell>
          <cell r="I469">
            <v>300</v>
          </cell>
          <cell r="J469">
            <v>3.1911764705882355</v>
          </cell>
          <cell r="K469">
            <v>3.9889705882352944</v>
          </cell>
          <cell r="L469">
            <v>3</v>
          </cell>
          <cell r="M469">
            <v>4.6929065743944642</v>
          </cell>
          <cell r="N469">
            <v>4.9275519031141872</v>
          </cell>
          <cell r="O469">
            <v>5.5210665581111344</v>
          </cell>
          <cell r="P469">
            <v>6.0731732139222485</v>
          </cell>
          <cell r="Q469">
            <v>3</v>
          </cell>
          <cell r="R469">
            <v>6.9013331976389178</v>
          </cell>
        </row>
        <row r="470">
          <cell r="A470" t="str">
            <v>L000116</v>
          </cell>
          <cell r="C470" t="str">
            <v>EZEQUIEL</v>
          </cell>
          <cell r="D470" t="str">
            <v>soporte rectangular inoxidable con guías laterales para cañería doble de  2,5 " de dimámetro</v>
          </cell>
          <cell r="E470">
            <v>1</v>
          </cell>
          <cell r="I470">
            <v>310</v>
          </cell>
          <cell r="J470">
            <v>3.297549019607843</v>
          </cell>
          <cell r="K470">
            <v>4.1219362745098032</v>
          </cell>
          <cell r="L470">
            <v>3</v>
          </cell>
          <cell r="M470">
            <v>4.849336793540945</v>
          </cell>
          <cell r="N470">
            <v>5.0918036332179923</v>
          </cell>
          <cell r="O470">
            <v>5.7051021100481707</v>
          </cell>
          <cell r="P470">
            <v>6.2756123210529884</v>
          </cell>
          <cell r="Q470">
            <v>3</v>
          </cell>
          <cell r="R470">
            <v>7.1313776375602131</v>
          </cell>
        </row>
        <row r="471">
          <cell r="A471" t="str">
            <v>L000117</v>
          </cell>
          <cell r="C471" t="str">
            <v>EZEQUIEL</v>
          </cell>
          <cell r="D471" t="str">
            <v>soporte rectangular inoxidable con guías laterales para cañería doble de  3 " de dimámetro</v>
          </cell>
          <cell r="E471">
            <v>1</v>
          </cell>
          <cell r="I471">
            <v>320</v>
          </cell>
          <cell r="J471">
            <v>3.4039215686274509</v>
          </cell>
          <cell r="K471">
            <v>4.2549019607843137</v>
          </cell>
          <cell r="L471">
            <v>3</v>
          </cell>
          <cell r="M471">
            <v>5.0057670126874276</v>
          </cell>
          <cell r="N471">
            <v>5.2560553633217992</v>
          </cell>
          <cell r="O471">
            <v>5.8891376619852087</v>
          </cell>
          <cell r="P471">
            <v>6.47805142818373</v>
          </cell>
          <cell r="Q471">
            <v>3</v>
          </cell>
          <cell r="R471">
            <v>7.3614220774815102</v>
          </cell>
        </row>
        <row r="472">
          <cell r="A472" t="str">
            <v>L000118</v>
          </cell>
          <cell r="C472" t="str">
            <v>EZEQUIEL</v>
          </cell>
          <cell r="D472" t="str">
            <v>soporte rectangular inoxidable con guías laterales para cañería doble de  4 " de dimámetro</v>
          </cell>
          <cell r="E472">
            <v>1</v>
          </cell>
          <cell r="I472">
            <v>320</v>
          </cell>
          <cell r="J472">
            <v>3.4039215686274509</v>
          </cell>
          <cell r="K472">
            <v>4.2549019607843137</v>
          </cell>
          <cell r="L472">
            <v>3</v>
          </cell>
          <cell r="M472">
            <v>5.0057670126874276</v>
          </cell>
          <cell r="N472">
            <v>5.2560553633217992</v>
          </cell>
          <cell r="O472">
            <v>5.8891376619852087</v>
          </cell>
          <cell r="P472">
            <v>6.47805142818373</v>
          </cell>
          <cell r="Q472">
            <v>3</v>
          </cell>
          <cell r="R472">
            <v>7.3614220774815102</v>
          </cell>
        </row>
        <row r="473">
          <cell r="A473" t="str">
            <v>L000119</v>
          </cell>
          <cell r="C473" t="str">
            <v>EZEQUIEL</v>
          </cell>
          <cell r="D473" t="str">
            <v>unión caños inox. Con abrazadera inox y cupla para 1,5 "</v>
          </cell>
          <cell r="E473">
            <v>1</v>
          </cell>
          <cell r="I473">
            <v>300</v>
          </cell>
          <cell r="J473">
            <v>3.1911764705882355</v>
          </cell>
          <cell r="K473">
            <v>3.9889705882352944</v>
          </cell>
          <cell r="L473">
            <v>3</v>
          </cell>
          <cell r="M473">
            <v>4.6929065743944642</v>
          </cell>
          <cell r="N473">
            <v>4.9275519031141872</v>
          </cell>
          <cell r="O473">
            <v>5.5210665581111344</v>
          </cell>
          <cell r="P473">
            <v>6.0731732139222485</v>
          </cell>
          <cell r="Q473">
            <v>3</v>
          </cell>
          <cell r="R473">
            <v>6.9013331976389178</v>
          </cell>
        </row>
        <row r="474">
          <cell r="A474" t="str">
            <v>L000120</v>
          </cell>
          <cell r="C474" t="str">
            <v>EZEQUIEL</v>
          </cell>
          <cell r="D474" t="str">
            <v>unión caños inox. Con abrazadera inox y cupla para 2 "</v>
          </cell>
          <cell r="E474">
            <v>1</v>
          </cell>
          <cell r="I474">
            <v>300</v>
          </cell>
          <cell r="J474">
            <v>3.1911764705882355</v>
          </cell>
          <cell r="K474">
            <v>3.9889705882352944</v>
          </cell>
          <cell r="L474">
            <v>3</v>
          </cell>
          <cell r="M474">
            <v>4.6929065743944642</v>
          </cell>
          <cell r="N474">
            <v>4.9275519031141872</v>
          </cell>
          <cell r="O474">
            <v>5.5210665581111344</v>
          </cell>
          <cell r="P474">
            <v>6.0731732139222485</v>
          </cell>
          <cell r="Q474">
            <v>3</v>
          </cell>
          <cell r="R474">
            <v>6.9013331976389178</v>
          </cell>
        </row>
        <row r="475">
          <cell r="A475" t="str">
            <v>L000121</v>
          </cell>
          <cell r="C475" t="str">
            <v>EZEQUIEL</v>
          </cell>
          <cell r="D475" t="str">
            <v>unión caños inox. Con abrazadera inox y cupla para 2,5 "</v>
          </cell>
          <cell r="E475">
            <v>1</v>
          </cell>
          <cell r="I475">
            <v>300</v>
          </cell>
          <cell r="J475">
            <v>3.1911764705882355</v>
          </cell>
          <cell r="K475">
            <v>3.9889705882352944</v>
          </cell>
          <cell r="L475">
            <v>3</v>
          </cell>
          <cell r="M475">
            <v>4.6929065743944642</v>
          </cell>
          <cell r="N475">
            <v>4.9275519031141872</v>
          </cell>
          <cell r="O475">
            <v>5.5210665581111344</v>
          </cell>
          <cell r="P475">
            <v>6.0731732139222485</v>
          </cell>
          <cell r="Q475">
            <v>3</v>
          </cell>
          <cell r="R475">
            <v>6.9013331976389178</v>
          </cell>
        </row>
        <row r="476">
          <cell r="A476" t="str">
            <v>L000122</v>
          </cell>
          <cell r="C476" t="str">
            <v>EZEQUIEL</v>
          </cell>
          <cell r="D476" t="str">
            <v>unión caños inox. Con abrazadera inox y cupla para 3 "</v>
          </cell>
          <cell r="E476">
            <v>1</v>
          </cell>
          <cell r="I476">
            <v>300</v>
          </cell>
          <cell r="J476">
            <v>3.1911764705882355</v>
          </cell>
          <cell r="K476">
            <v>3.9889705882352944</v>
          </cell>
          <cell r="L476">
            <v>3</v>
          </cell>
          <cell r="M476">
            <v>4.6929065743944642</v>
          </cell>
          <cell r="N476">
            <v>4.9275519031141872</v>
          </cell>
          <cell r="O476">
            <v>5.5210665581111344</v>
          </cell>
          <cell r="P476">
            <v>6.0731732139222485</v>
          </cell>
          <cell r="Q476">
            <v>3</v>
          </cell>
          <cell r="R476">
            <v>6.9013331976389178</v>
          </cell>
        </row>
        <row r="477">
          <cell r="A477" t="str">
            <v>L000123</v>
          </cell>
          <cell r="C477" t="str">
            <v>EZEQUIEL</v>
          </cell>
          <cell r="D477" t="str">
            <v>unión caños inox. Con abrazadera inox y cupla para 4 "</v>
          </cell>
          <cell r="E477">
            <v>1</v>
          </cell>
          <cell r="I477">
            <v>300</v>
          </cell>
          <cell r="J477">
            <v>3.1911764705882355</v>
          </cell>
          <cell r="K477">
            <v>3.9889705882352944</v>
          </cell>
          <cell r="L477">
            <v>3</v>
          </cell>
          <cell r="M477">
            <v>4.6929065743944642</v>
          </cell>
          <cell r="N477">
            <v>4.9275519031141872</v>
          </cell>
          <cell r="O477">
            <v>5.5210665581111344</v>
          </cell>
          <cell r="P477">
            <v>6.0731732139222485</v>
          </cell>
          <cell r="Q477">
            <v>3</v>
          </cell>
          <cell r="R477">
            <v>6.9013331976389178</v>
          </cell>
        </row>
        <row r="478">
          <cell r="A478" t="str">
            <v>L000124</v>
          </cell>
          <cell r="C478" t="str">
            <v>Omega</v>
          </cell>
          <cell r="D478" t="str">
            <v>ACCESORIO PLASTICO DE 1/2"H CON ABRAZADERA ACERO             </v>
          </cell>
          <cell r="E478">
            <v>1</v>
          </cell>
          <cell r="I478">
            <v>10</v>
          </cell>
          <cell r="J478">
            <v>0.10637254901960784</v>
          </cell>
          <cell r="K478">
            <v>0.1329656862745098</v>
          </cell>
          <cell r="L478">
            <v>3</v>
          </cell>
          <cell r="M478">
            <v>0.15643021914648211</v>
          </cell>
          <cell r="N478">
            <v>0.16425173010380623</v>
          </cell>
          <cell r="O478">
            <v>0.18403555193703777</v>
          </cell>
          <cell r="P478">
            <v>0.20243910713074156</v>
          </cell>
          <cell r="Q478">
            <v>3</v>
          </cell>
          <cell r="R478">
            <v>0.23004443992129719</v>
          </cell>
        </row>
        <row r="479">
          <cell r="A479" t="str">
            <v>L000125</v>
          </cell>
          <cell r="C479" t="str">
            <v>Inelac</v>
          </cell>
          <cell r="D479" t="str">
            <v>Filtro pre-placa construído en acero inox, de 2 " de diámetro</v>
          </cell>
          <cell r="E479">
            <v>1</v>
          </cell>
          <cell r="I479">
            <v>450</v>
          </cell>
          <cell r="J479">
            <v>4.7867647058823533</v>
          </cell>
          <cell r="K479">
            <v>5.9834558823529411</v>
          </cell>
          <cell r="L479">
            <v>2</v>
          </cell>
          <cell r="M479">
            <v>6.6482843137254903</v>
          </cell>
          <cell r="N479">
            <v>6.9806985294117654</v>
          </cell>
          <cell r="O479">
            <v>7.8215109573241062</v>
          </cell>
          <cell r="P479">
            <v>8.6036620530565173</v>
          </cell>
          <cell r="Q479">
            <v>3</v>
          </cell>
          <cell r="R479">
            <v>9.7768886966551314</v>
          </cell>
        </row>
        <row r="480">
          <cell r="A480" t="str">
            <v>L000126</v>
          </cell>
          <cell r="C480" t="str">
            <v>Inelac</v>
          </cell>
          <cell r="D480" t="str">
            <v>Filtro pre-placa construído en acero inox, de 2,5 " de diámetro</v>
          </cell>
          <cell r="E480">
            <v>1</v>
          </cell>
          <cell r="I480">
            <v>550</v>
          </cell>
          <cell r="J480">
            <v>5.8504901960784315</v>
          </cell>
          <cell r="K480">
            <v>7.3131127450980387</v>
          </cell>
          <cell r="L480">
            <v>2</v>
          </cell>
          <cell r="M480">
            <v>8.1256808278867094</v>
          </cell>
          <cell r="N480">
            <v>8.5319648692810457</v>
          </cell>
          <cell r="O480">
            <v>9.5596245033961296</v>
          </cell>
          <cell r="P480">
            <v>10.515586953735744</v>
          </cell>
          <cell r="Q480">
            <v>3</v>
          </cell>
          <cell r="R480">
            <v>11.949530629245162</v>
          </cell>
        </row>
        <row r="481">
          <cell r="A481" t="str">
            <v>L000127</v>
          </cell>
          <cell r="B481" t="str">
            <v>111-11008</v>
          </cell>
          <cell r="C481" t="str">
            <v>Indargom</v>
          </cell>
          <cell r="D481" t="str">
            <v>cupla con llave de 38 mm</v>
          </cell>
          <cell r="E481">
            <v>1</v>
          </cell>
          <cell r="I481">
            <v>38</v>
          </cell>
          <cell r="J481">
            <v>0.40421568627450977</v>
          </cell>
          <cell r="K481">
            <v>0.50526960784313713</v>
          </cell>
          <cell r="L481">
            <v>2</v>
          </cell>
          <cell r="M481">
            <v>0.56141067538126344</v>
          </cell>
          <cell r="N481">
            <v>0.58948120915032665</v>
          </cell>
          <cell r="O481">
            <v>0.66048314750736881</v>
          </cell>
          <cell r="P481">
            <v>0.72653146225810572</v>
          </cell>
          <cell r="Q481">
            <v>3</v>
          </cell>
          <cell r="R481">
            <v>0.82560393438421098</v>
          </cell>
        </row>
        <row r="482">
          <cell r="A482" t="str">
            <v>L000128</v>
          </cell>
          <cell r="B482" t="str">
            <v>111-11009</v>
          </cell>
          <cell r="C482" t="str">
            <v>Indargom</v>
          </cell>
          <cell r="D482" t="str">
            <v>cupla con llave de 51 mm</v>
          </cell>
          <cell r="E482">
            <v>1</v>
          </cell>
          <cell r="I482">
            <v>50</v>
          </cell>
          <cell r="J482">
            <v>0.53186274509803921</v>
          </cell>
          <cell r="K482">
            <v>0.66482843137254899</v>
          </cell>
          <cell r="L482">
            <v>2</v>
          </cell>
          <cell r="M482">
            <v>0.73869825708060999</v>
          </cell>
          <cell r="N482">
            <v>0.77563316993464049</v>
          </cell>
          <cell r="O482">
            <v>0.86905677303601181</v>
          </cell>
          <cell r="P482">
            <v>0.95596245033961302</v>
          </cell>
          <cell r="Q482">
            <v>3</v>
          </cell>
          <cell r="R482">
            <v>1.0863209662950146</v>
          </cell>
        </row>
        <row r="483">
          <cell r="A483" t="str">
            <v>L000129</v>
          </cell>
          <cell r="B483" t="str">
            <v>AZOLLA ZS 32</v>
          </cell>
          <cell r="C483" t="str">
            <v>Elf</v>
          </cell>
          <cell r="D483" t="str">
            <v>Aceite para ordeñadora por 5 litros</v>
          </cell>
          <cell r="E483">
            <v>5</v>
          </cell>
          <cell r="I483">
            <v>14.097560975609756</v>
          </cell>
          <cell r="J483">
            <v>15.295853658536585</v>
          </cell>
          <cell r="K483">
            <v>19.119817073170729</v>
          </cell>
          <cell r="L483">
            <v>1</v>
          </cell>
          <cell r="M483">
            <v>20.126123234916559</v>
          </cell>
          <cell r="N483">
            <v>21.132429396662388</v>
          </cell>
          <cell r="O483">
            <v>23.677792041078305</v>
          </cell>
          <cell r="P483">
            <v>26.045571245186139</v>
          </cell>
          <cell r="Q483">
            <v>3</v>
          </cell>
          <cell r="R483">
            <v>29.597240051347882</v>
          </cell>
        </row>
        <row r="484">
          <cell r="A484" t="str">
            <v>L000130</v>
          </cell>
          <cell r="B484" t="str">
            <v>AZOLLA ZS 32</v>
          </cell>
          <cell r="C484" t="str">
            <v>Elf</v>
          </cell>
          <cell r="D484" t="str">
            <v>Aceite para ordeñadoras por 10 litros</v>
          </cell>
          <cell r="E484">
            <v>10</v>
          </cell>
          <cell r="I484">
            <v>20.695121951219512</v>
          </cell>
          <cell r="J484">
            <v>22.45420731707317</v>
          </cell>
          <cell r="K484">
            <v>28.067759146341462</v>
          </cell>
          <cell r="L484">
            <v>1</v>
          </cell>
          <cell r="M484">
            <v>29.545009627727858</v>
          </cell>
          <cell r="N484">
            <v>31.022260109114253</v>
          </cell>
          <cell r="O484">
            <v>34.758834856150422</v>
          </cell>
          <cell r="P484">
            <v>38.234718341765465</v>
          </cell>
          <cell r="Q484">
            <v>3</v>
          </cell>
          <cell r="R484">
            <v>43.448543570188022</v>
          </cell>
        </row>
        <row r="485">
          <cell r="A485" t="str">
            <v>L000131</v>
          </cell>
          <cell r="B485" t="str">
            <v>3070 WF</v>
          </cell>
          <cell r="C485" t="str">
            <v>AM descartables</v>
          </cell>
          <cell r="D485" t="str">
            <v xml:space="preserve">SURGE 3070 9.5 X56                 </v>
          </cell>
          <cell r="E485">
            <v>100</v>
          </cell>
          <cell r="J485">
            <v>3635.0000000000005</v>
          </cell>
          <cell r="K485">
            <v>4543.75</v>
          </cell>
          <cell r="L485">
            <v>2</v>
          </cell>
          <cell r="M485">
            <v>5048.6111111111113</v>
          </cell>
          <cell r="N485">
            <v>5301.041666666667</v>
          </cell>
          <cell r="O485">
            <v>5939.5424836601314</v>
          </cell>
          <cell r="P485">
            <v>6533.4967320261449</v>
          </cell>
          <cell r="Q485">
            <v>3</v>
          </cell>
          <cell r="R485">
            <v>7424.4281045751641</v>
          </cell>
        </row>
        <row r="486">
          <cell r="A486" t="str">
            <v>L000132</v>
          </cell>
          <cell r="B486">
            <v>31620</v>
          </cell>
          <cell r="C486" t="str">
            <v>AM descartables</v>
          </cell>
          <cell r="D486" t="str">
            <v xml:space="preserve">FILTRO ALFA LAVAL 4" 15.5X62       </v>
          </cell>
          <cell r="E486">
            <v>100</v>
          </cell>
          <cell r="I486">
            <v>83</v>
          </cell>
          <cell r="J486">
            <v>0.88289215686274503</v>
          </cell>
          <cell r="K486">
            <v>1.1036151960784313</v>
          </cell>
          <cell r="L486">
            <v>3</v>
          </cell>
          <cell r="M486">
            <v>1.2983708189158016</v>
          </cell>
          <cell r="N486">
            <v>1.3632893598615918</v>
          </cell>
          <cell r="O486">
            <v>1.5274950810774137</v>
          </cell>
          <cell r="P486">
            <v>1.6802445891851552</v>
          </cell>
          <cell r="Q486">
            <v>3</v>
          </cell>
          <cell r="R486">
            <v>1.909368851346767</v>
          </cell>
        </row>
        <row r="487">
          <cell r="A487" t="str">
            <v>L000133</v>
          </cell>
          <cell r="B487">
            <v>14622</v>
          </cell>
          <cell r="C487" t="str">
            <v>AM descartables</v>
          </cell>
          <cell r="D487" t="str">
            <v xml:space="preserve">FILTRO ALFA LAVAL LARGO6.5 X62     </v>
          </cell>
          <cell r="E487">
            <v>100</v>
          </cell>
          <cell r="I487">
            <v>35</v>
          </cell>
          <cell r="J487">
            <v>0.37230392156862746</v>
          </cell>
          <cell r="K487">
            <v>0.46537990196078433</v>
          </cell>
          <cell r="L487">
            <v>3</v>
          </cell>
          <cell r="M487">
            <v>0.54750576701268749</v>
          </cell>
          <cell r="N487">
            <v>0.5748810553633219</v>
          </cell>
          <cell r="O487">
            <v>0.64412443177963241</v>
          </cell>
          <cell r="P487">
            <v>0.70853687495759576</v>
          </cell>
          <cell r="Q487">
            <v>3</v>
          </cell>
          <cell r="R487">
            <v>0.80515553972454046</v>
          </cell>
        </row>
        <row r="488">
          <cell r="A488" t="str">
            <v>L000134</v>
          </cell>
          <cell r="B488" t="str">
            <v>F00006</v>
          </cell>
          <cell r="C488" t="str">
            <v>Dairy</v>
          </cell>
          <cell r="D488" t="str">
            <v xml:space="preserve">FILTRO BOSIO MER.8,5 X66           </v>
          </cell>
          <cell r="E488">
            <v>100</v>
          </cell>
          <cell r="J488">
            <v>3375</v>
          </cell>
          <cell r="K488">
            <v>4218.75</v>
          </cell>
          <cell r="L488">
            <v>3</v>
          </cell>
          <cell r="M488">
            <v>4963.2352941176468</v>
          </cell>
          <cell r="N488">
            <v>5211.3970588235297</v>
          </cell>
          <cell r="O488">
            <v>5839.1003460207612</v>
          </cell>
          <cell r="P488">
            <v>6423.0103806228381</v>
          </cell>
          <cell r="Q488">
            <v>3</v>
          </cell>
          <cell r="R488">
            <v>7298.8754325259515</v>
          </cell>
        </row>
        <row r="489">
          <cell r="A489" t="str">
            <v>L000135</v>
          </cell>
          <cell r="B489" t="str">
            <v>F00007</v>
          </cell>
          <cell r="C489" t="str">
            <v>Gialmog</v>
          </cell>
          <cell r="D489" t="str">
            <v xml:space="preserve">FILTRO BOSIO 2 1/2 11X81           </v>
          </cell>
          <cell r="E489">
            <v>100</v>
          </cell>
          <cell r="I489">
            <v>65.31</v>
          </cell>
          <cell r="J489">
            <v>4785</v>
          </cell>
          <cell r="K489">
            <v>5981.25</v>
          </cell>
          <cell r="L489">
            <v>1</v>
          </cell>
          <cell r="M489">
            <v>6296.0526315789475</v>
          </cell>
          <cell r="N489">
            <v>6610.855263157895</v>
          </cell>
          <cell r="O489">
            <v>7407.1207430340564</v>
          </cell>
          <cell r="P489">
            <v>8147.832817337463</v>
          </cell>
          <cell r="Q489">
            <v>3</v>
          </cell>
          <cell r="R489">
            <v>9258.9009287925692</v>
          </cell>
        </row>
        <row r="490">
          <cell r="A490" t="str">
            <v>L000136</v>
          </cell>
          <cell r="B490">
            <v>23802</v>
          </cell>
          <cell r="C490" t="str">
            <v>AM descartables</v>
          </cell>
          <cell r="D490" t="str">
            <v xml:space="preserve">FILTRO BOSIO 2 1/2 11X81  sintetico    </v>
          </cell>
          <cell r="E490">
            <v>100</v>
          </cell>
          <cell r="I490">
            <v>45</v>
          </cell>
          <cell r="J490">
            <v>0.47867647058823526</v>
          </cell>
          <cell r="K490">
            <v>0.59834558823529405</v>
          </cell>
          <cell r="L490">
            <v>3</v>
          </cell>
          <cell r="M490">
            <v>0.70393598615916952</v>
          </cell>
          <cell r="N490">
            <v>0.73913278546712802</v>
          </cell>
          <cell r="O490">
            <v>0.8281599837166701</v>
          </cell>
          <cell r="P490">
            <v>0.91097598208833719</v>
          </cell>
          <cell r="Q490">
            <v>3</v>
          </cell>
          <cell r="R490">
            <v>1.0351999796458375</v>
          </cell>
        </row>
        <row r="491">
          <cell r="A491" t="str">
            <v>L000137</v>
          </cell>
          <cell r="C491" t="str">
            <v>Troyplast</v>
          </cell>
          <cell r="D491" t="str">
            <v>manguera de leche 16 x 27 mm Boumatic</v>
          </cell>
          <cell r="E491">
            <v>25</v>
          </cell>
          <cell r="J491">
            <v>65</v>
          </cell>
          <cell r="K491">
            <v>81.25</v>
          </cell>
          <cell r="L491">
            <v>3</v>
          </cell>
          <cell r="M491">
            <v>95.588235294117652</v>
          </cell>
          <cell r="N491">
            <v>100.36764705882354</v>
          </cell>
          <cell r="O491">
            <v>112.45674740484429</v>
          </cell>
          <cell r="P491">
            <v>123.70242214532874</v>
          </cell>
          <cell r="Q491">
            <v>3</v>
          </cell>
          <cell r="R491">
            <v>140.57093425605535</v>
          </cell>
        </row>
        <row r="492">
          <cell r="A492" t="str">
            <v>L000138</v>
          </cell>
          <cell r="C492" t="str">
            <v>Troyplast</v>
          </cell>
          <cell r="D492" t="str">
            <v>manguera de pulsado doble 2x7X12 Boumatic</v>
          </cell>
          <cell r="E492">
            <v>25</v>
          </cell>
          <cell r="J492">
            <v>35</v>
          </cell>
          <cell r="K492">
            <v>43.75</v>
          </cell>
          <cell r="L492">
            <v>3</v>
          </cell>
          <cell r="M492">
            <v>51.470588235294116</v>
          </cell>
          <cell r="N492">
            <v>54.044117647058826</v>
          </cell>
          <cell r="O492">
            <v>60.553633217993081</v>
          </cell>
          <cell r="P492">
            <v>66.6089965397924</v>
          </cell>
          <cell r="Q492">
            <v>3</v>
          </cell>
          <cell r="R492">
            <v>75.692041522491351</v>
          </cell>
        </row>
        <row r="493">
          <cell r="A493" t="str">
            <v>L000139</v>
          </cell>
          <cell r="C493" t="str">
            <v>EZEQUIEL</v>
          </cell>
          <cell r="D493" t="str">
            <v>Silenciador Bombas vacío entrada y salida 1 1/2</v>
          </cell>
          <cell r="E493">
            <v>1</v>
          </cell>
          <cell r="I493">
            <v>380</v>
          </cell>
          <cell r="J493">
            <v>4.0421568627450979</v>
          </cell>
          <cell r="K493">
            <v>5.0526960784313717</v>
          </cell>
          <cell r="L493">
            <v>2</v>
          </cell>
          <cell r="M493">
            <v>5.614106753812635</v>
          </cell>
          <cell r="N493">
            <v>5.8948120915032671</v>
          </cell>
          <cell r="O493">
            <v>6.6048314750736887</v>
          </cell>
          <cell r="P493">
            <v>7.2653146225810579</v>
          </cell>
          <cell r="Q493">
            <v>3</v>
          </cell>
          <cell r="R493">
            <v>8.2560393438421098</v>
          </cell>
        </row>
        <row r="494">
          <cell r="A494" t="str">
            <v>L000140</v>
          </cell>
          <cell r="C494" t="str">
            <v>EZEQUIEL</v>
          </cell>
          <cell r="D494" t="str">
            <v>Niple p/admisión 1 1/2" x 150 mm Largo</v>
          </cell>
          <cell r="E494">
            <v>1</v>
          </cell>
          <cell r="I494">
            <v>14</v>
          </cell>
          <cell r="J494">
            <v>0.14892156862745098</v>
          </cell>
          <cell r="K494">
            <v>0.18615196078431373</v>
          </cell>
          <cell r="L494">
            <v>2</v>
          </cell>
          <cell r="M494">
            <v>0.2068355119825708</v>
          </cell>
          <cell r="N494">
            <v>0.21717728758169935</v>
          </cell>
          <cell r="O494">
            <v>0.2433358964500833</v>
          </cell>
          <cell r="P494">
            <v>0.26766948609509167</v>
          </cell>
          <cell r="Q494">
            <v>3</v>
          </cell>
          <cell r="R494">
            <v>0.30416987056260408</v>
          </cell>
        </row>
        <row r="495">
          <cell r="A495" t="str">
            <v>L000141</v>
          </cell>
          <cell r="C495" t="str">
            <v>EZEQUIEL</v>
          </cell>
          <cell r="D495" t="str">
            <v>Bomba de vacío rotativa a paleta de 600/900 l/min de capacidad</v>
          </cell>
          <cell r="E495">
            <v>1</v>
          </cell>
          <cell r="I495">
            <v>650</v>
          </cell>
          <cell r="J495">
            <v>6.9142156862745097</v>
          </cell>
          <cell r="K495">
            <v>8.6427696078431371</v>
          </cell>
          <cell r="L495">
            <v>2</v>
          </cell>
          <cell r="M495">
            <v>9.6030773420479303</v>
          </cell>
          <cell r="N495">
            <v>10.083231209150327</v>
          </cell>
          <cell r="O495">
            <v>11.297738049468153</v>
          </cell>
          <cell r="P495">
            <v>12.42751185441497</v>
          </cell>
          <cell r="Q495">
            <v>3</v>
          </cell>
          <cell r="R495">
            <v>14.122172561835191</v>
          </cell>
        </row>
        <row r="496">
          <cell r="A496" t="str">
            <v>L000142</v>
          </cell>
          <cell r="B496">
            <v>14045</v>
          </cell>
          <cell r="C496" t="str">
            <v>Indargom</v>
          </cell>
          <cell r="D496" t="str">
            <v>TRAMPA COMPLETA PARA EQUIPOS AL TARRO</v>
          </cell>
          <cell r="E496">
            <v>1</v>
          </cell>
          <cell r="I496">
            <v>17</v>
          </cell>
          <cell r="J496">
            <v>0.18083333333333335</v>
          </cell>
          <cell r="K496">
            <v>0.22604166666666667</v>
          </cell>
          <cell r="L496">
            <v>2</v>
          </cell>
          <cell r="M496">
            <v>0.25115740740740738</v>
          </cell>
          <cell r="N496">
            <v>0.26371527777777776</v>
          </cell>
          <cell r="O496">
            <v>0.295479302832244</v>
          </cell>
          <cell r="P496">
            <v>0.32502723311546844</v>
          </cell>
          <cell r="Q496">
            <v>3</v>
          </cell>
          <cell r="R496">
            <v>0.36934912854030499</v>
          </cell>
        </row>
        <row r="497">
          <cell r="A497" t="str">
            <v>L000143</v>
          </cell>
          <cell r="B497">
            <v>14040</v>
          </cell>
          <cell r="C497" t="str">
            <v>Indargom</v>
          </cell>
          <cell r="D497" t="str">
            <v>Tapa para tacho de 2 picos con guarnición</v>
          </cell>
          <cell r="E497">
            <v>1</v>
          </cell>
          <cell r="I497">
            <v>30</v>
          </cell>
          <cell r="J497">
            <v>0.31911764705882351</v>
          </cell>
          <cell r="K497">
            <v>0.39889705882352938</v>
          </cell>
          <cell r="L497">
            <v>2</v>
          </cell>
          <cell r="M497">
            <v>0.44321895424836599</v>
          </cell>
          <cell r="N497">
            <v>0.46537990196078433</v>
          </cell>
          <cell r="O497">
            <v>0.52143406382160706</v>
          </cell>
          <cell r="P497">
            <v>0.57357747020376781</v>
          </cell>
          <cell r="Q497">
            <v>3</v>
          </cell>
          <cell r="R497">
            <v>0.65179257977700877</v>
          </cell>
        </row>
        <row r="498">
          <cell r="A498" t="str">
            <v>L000144</v>
          </cell>
          <cell r="B498">
            <v>38592</v>
          </cell>
          <cell r="C498" t="str">
            <v>3M</v>
          </cell>
          <cell r="D498" t="str">
            <v xml:space="preserve">Extra Fuerte #86 - CAJA 16cm x 22cm Caja x 50pq x 3u </v>
          </cell>
          <cell r="E498">
            <v>50</v>
          </cell>
          <cell r="I498">
            <v>154.1628</v>
          </cell>
          <cell r="J498">
            <v>167.266638</v>
          </cell>
          <cell r="K498">
            <v>209.08329749999999</v>
          </cell>
          <cell r="L498">
            <v>3</v>
          </cell>
          <cell r="M498">
            <v>245.98034999999999</v>
          </cell>
          <cell r="N498">
            <v>258.27936749999998</v>
          </cell>
          <cell r="O498">
            <v>289.38864705882349</v>
          </cell>
          <cell r="P498">
            <v>318.32751176470589</v>
          </cell>
          <cell r="Q498">
            <v>3</v>
          </cell>
          <cell r="R498">
            <v>361.73580882352934</v>
          </cell>
        </row>
        <row r="499">
          <cell r="A499" t="str">
            <v>L000145</v>
          </cell>
          <cell r="B499">
            <v>55943</v>
          </cell>
          <cell r="C499" t="str">
            <v>3M</v>
          </cell>
          <cell r="D499" t="str">
            <v>Extra Fuerte #86 - ROLLO 16cm x 20m c/u</v>
          </cell>
          <cell r="E499">
            <v>1</v>
          </cell>
          <cell r="I499">
            <v>120.12</v>
          </cell>
          <cell r="J499">
            <v>130.33019999999999</v>
          </cell>
          <cell r="K499">
            <v>162.91274999999999</v>
          </cell>
          <cell r="L499">
            <v>3</v>
          </cell>
          <cell r="M499">
            <v>191.66205882352941</v>
          </cell>
          <cell r="N499">
            <v>201.2451617647059</v>
          </cell>
          <cell r="O499">
            <v>225.48477508650518</v>
          </cell>
          <cell r="P499">
            <v>248.03325259515572</v>
          </cell>
          <cell r="Q499">
            <v>3</v>
          </cell>
          <cell r="R499">
            <v>281.85596885813146</v>
          </cell>
        </row>
        <row r="500">
          <cell r="A500" t="str">
            <v>L000146</v>
          </cell>
          <cell r="B500">
            <v>38593</v>
          </cell>
          <cell r="C500" t="str">
            <v>3M</v>
          </cell>
          <cell r="D500" t="str">
            <v>Normal # 96 - Espesor 9mm - CAJA 16cm x 22cm Caja x 50pq x 3u</v>
          </cell>
          <cell r="E500">
            <v>50</v>
          </cell>
          <cell r="I500">
            <v>99</v>
          </cell>
          <cell r="J500">
            <v>107.41499999999999</v>
          </cell>
          <cell r="K500">
            <v>134.26874999999998</v>
          </cell>
          <cell r="L500">
            <v>3</v>
          </cell>
          <cell r="M500">
            <v>157.96323529411762</v>
          </cell>
          <cell r="N500">
            <v>165.86139705882351</v>
          </cell>
          <cell r="O500">
            <v>185.83910034602073</v>
          </cell>
          <cell r="P500">
            <v>204.42301038062283</v>
          </cell>
          <cell r="Q500">
            <v>3</v>
          </cell>
          <cell r="R500">
            <v>232.2988754325259</v>
          </cell>
        </row>
        <row r="501">
          <cell r="A501" t="str">
            <v>L000147</v>
          </cell>
          <cell r="B501">
            <v>38351</v>
          </cell>
          <cell r="C501" t="str">
            <v>3M</v>
          </cell>
          <cell r="D501" t="str">
            <v>Normal # 96 - Espesor 9mm - CAJA 12cm x 16cm c/u 1500 unidades</v>
          </cell>
          <cell r="E501">
            <v>1500</v>
          </cell>
          <cell r="I501">
            <v>522.06000000000006</v>
          </cell>
          <cell r="J501">
            <v>566.43510000000003</v>
          </cell>
          <cell r="K501">
            <v>708.04387499999996</v>
          </cell>
          <cell r="L501">
            <v>3</v>
          </cell>
          <cell r="M501">
            <v>832.99279411764701</v>
          </cell>
          <cell r="N501">
            <v>874.64243382352936</v>
          </cell>
          <cell r="O501">
            <v>979.99152249134943</v>
          </cell>
          <cell r="P501">
            <v>1077.9906747404846</v>
          </cell>
          <cell r="Q501">
            <v>3</v>
          </cell>
          <cell r="R501">
            <v>1224.9894031141866</v>
          </cell>
        </row>
        <row r="502">
          <cell r="A502" t="str">
            <v>L000148</v>
          </cell>
          <cell r="B502">
            <v>55942</v>
          </cell>
          <cell r="C502" t="str">
            <v>3M</v>
          </cell>
          <cell r="D502" t="str">
            <v>Normal # 96 - Espesor 9mm - ROLLO 16cm x 20m Rollo</v>
          </cell>
          <cell r="E502">
            <v>1</v>
          </cell>
          <cell r="I502">
            <v>70</v>
          </cell>
          <cell r="J502">
            <v>75.95</v>
          </cell>
          <cell r="K502">
            <v>94.9375</v>
          </cell>
          <cell r="L502">
            <v>3</v>
          </cell>
          <cell r="M502">
            <v>111.69117647058823</v>
          </cell>
          <cell r="N502">
            <v>117.27573529411765</v>
          </cell>
          <cell r="O502">
            <v>131.40138408304497</v>
          </cell>
          <cell r="P502">
            <v>144.5415224913495</v>
          </cell>
          <cell r="Q502">
            <v>3</v>
          </cell>
          <cell r="R502">
            <v>164.25173010380621</v>
          </cell>
        </row>
        <row r="503">
          <cell r="A503" t="str">
            <v>L000149</v>
          </cell>
          <cell r="B503">
            <v>55977</v>
          </cell>
          <cell r="C503" t="str">
            <v>3M</v>
          </cell>
          <cell r="D503" t="str">
            <v xml:space="preserve">30347 Fibra Parrillera # 88 - CAJA 12cm x 16cm Paquete x 12u </v>
          </cell>
          <cell r="E503">
            <v>12</v>
          </cell>
          <cell r="I503">
            <v>15.84</v>
          </cell>
          <cell r="J503">
            <v>17.186399999999999</v>
          </cell>
          <cell r="K503">
            <v>21.482999999999997</v>
          </cell>
          <cell r="L503">
            <v>3</v>
          </cell>
          <cell r="M503">
            <v>25.274117647058819</v>
          </cell>
          <cell r="N503">
            <v>26.53782352941176</v>
          </cell>
          <cell r="O503">
            <v>29.734256055363318</v>
          </cell>
          <cell r="P503">
            <v>32.707681660899652</v>
          </cell>
          <cell r="Q503">
            <v>3</v>
          </cell>
          <cell r="R503">
            <v>37.167820069204147</v>
          </cell>
        </row>
        <row r="504">
          <cell r="A504" t="str">
            <v>L000150</v>
          </cell>
          <cell r="B504">
            <v>30091</v>
          </cell>
          <cell r="C504" t="str">
            <v>3M</v>
          </cell>
          <cell r="D504" t="str">
            <v xml:space="preserve">30091 Azul Extrafuerte # 2001 12cm x 16cm caja x 20 </v>
          </cell>
          <cell r="E504">
            <v>20</v>
          </cell>
          <cell r="I504">
            <v>27.060000000000002</v>
          </cell>
          <cell r="J504">
            <v>29.360100000000003</v>
          </cell>
          <cell r="K504">
            <v>36.700125</v>
          </cell>
          <cell r="L504">
            <v>3</v>
          </cell>
          <cell r="M504">
            <v>43.176617647058826</v>
          </cell>
          <cell r="N504">
            <v>45.335448529411771</v>
          </cell>
          <cell r="O504">
            <v>50.796020761245678</v>
          </cell>
          <cell r="P504">
            <v>55.875622837370251</v>
          </cell>
          <cell r="Q504">
            <v>3</v>
          </cell>
          <cell r="R504">
            <v>63.495025951557096</v>
          </cell>
        </row>
        <row r="505">
          <cell r="A505" t="str">
            <v>L000151</v>
          </cell>
          <cell r="B505">
            <v>19653</v>
          </cell>
          <cell r="C505" t="str">
            <v>3M</v>
          </cell>
          <cell r="D505" t="str">
            <v xml:space="preserve">19653 Blanca # 9030 p/ teflon Espesor 20mm 9cm x 12,5cm caja x 40 </v>
          </cell>
          <cell r="E505">
            <v>40</v>
          </cell>
          <cell r="I505">
            <v>56.1</v>
          </cell>
          <cell r="J505">
            <v>60.868499999999997</v>
          </cell>
          <cell r="K505">
            <v>76.085624999999993</v>
          </cell>
          <cell r="L505">
            <v>3</v>
          </cell>
          <cell r="M505">
            <v>89.512499999999989</v>
          </cell>
          <cell r="N505">
            <v>93.988124999999997</v>
          </cell>
          <cell r="O505">
            <v>105.30882352941175</v>
          </cell>
          <cell r="P505">
            <v>115.83970588235294</v>
          </cell>
          <cell r="Q505">
            <v>3</v>
          </cell>
          <cell r="R505">
            <v>131.6360294117647</v>
          </cell>
        </row>
        <row r="506">
          <cell r="A506" t="str">
            <v>L000152</v>
          </cell>
          <cell r="B506">
            <v>42503</v>
          </cell>
          <cell r="C506" t="str">
            <v>3M</v>
          </cell>
          <cell r="D506" t="str">
            <v xml:space="preserve">42503 Blanca # 98 p/ teflon 16cm x 20m cu </v>
          </cell>
          <cell r="E506">
            <v>1</v>
          </cell>
          <cell r="J506">
            <v>0</v>
          </cell>
          <cell r="K506">
            <v>0</v>
          </cell>
          <cell r="L506">
            <v>3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Q506">
            <v>3</v>
          </cell>
          <cell r="R506">
            <v>0</v>
          </cell>
        </row>
        <row r="507">
          <cell r="A507" t="str">
            <v>L000153</v>
          </cell>
          <cell r="B507">
            <v>47717</v>
          </cell>
          <cell r="C507" t="str">
            <v>3M</v>
          </cell>
          <cell r="D507" t="str">
            <v xml:space="preserve">47717 Fibra Purple Pad #2020 2,8cm x 4,5cm c/u </v>
          </cell>
          <cell r="E507">
            <v>24</v>
          </cell>
          <cell r="I507">
            <v>39.738600000000005</v>
          </cell>
          <cell r="J507">
            <v>43.116381000000004</v>
          </cell>
          <cell r="K507">
            <v>53.895476250000002</v>
          </cell>
          <cell r="L507">
            <v>3</v>
          </cell>
          <cell r="M507">
            <v>63.406442647058824</v>
          </cell>
          <cell r="N507">
            <v>66.576764779411775</v>
          </cell>
          <cell r="O507">
            <v>74.595814878892739</v>
          </cell>
          <cell r="P507">
            <v>82.05539636678202</v>
          </cell>
          <cell r="Q507">
            <v>3</v>
          </cell>
          <cell r="R507">
            <v>93.24476859861592</v>
          </cell>
        </row>
        <row r="508">
          <cell r="A508" t="str">
            <v>L000154</v>
          </cell>
          <cell r="C508" t="str">
            <v>3M</v>
          </cell>
          <cell r="D508" t="str">
            <v>Normal # 96 - Espesor 9mm - 16cm x 22cm Caja x 50pq x 3u</v>
          </cell>
          <cell r="E508">
            <v>1</v>
          </cell>
          <cell r="J508">
            <v>0</v>
          </cell>
          <cell r="K508">
            <v>0</v>
          </cell>
          <cell r="L508">
            <v>3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3</v>
          </cell>
          <cell r="R508">
            <v>0</v>
          </cell>
        </row>
        <row r="509">
          <cell r="A509" t="str">
            <v>L000155</v>
          </cell>
          <cell r="C509" t="str">
            <v>3M</v>
          </cell>
          <cell r="D509" t="str">
            <v xml:space="preserve">Extra Fuerte #86 - 16cm x 22cm x 3u </v>
          </cell>
          <cell r="E509">
            <v>1</v>
          </cell>
          <cell r="J509">
            <v>0</v>
          </cell>
          <cell r="K509">
            <v>0</v>
          </cell>
          <cell r="L509">
            <v>3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Q509">
            <v>3</v>
          </cell>
          <cell r="R509">
            <v>0</v>
          </cell>
        </row>
        <row r="510">
          <cell r="A510" t="str">
            <v>L000156</v>
          </cell>
          <cell r="B510">
            <v>20587</v>
          </cell>
          <cell r="C510" t="str">
            <v>3M</v>
          </cell>
          <cell r="D510" t="str">
            <v xml:space="preserve">Steel Cleaner Aerosol 600 grs </v>
          </cell>
          <cell r="E510">
            <v>1</v>
          </cell>
          <cell r="I510">
            <v>8.3999999999999986</v>
          </cell>
          <cell r="J510">
            <v>9.113999999999999</v>
          </cell>
          <cell r="K510">
            <v>11.392499999999998</v>
          </cell>
          <cell r="L510">
            <v>3</v>
          </cell>
          <cell r="M510">
            <v>13.402941176470586</v>
          </cell>
          <cell r="N510">
            <v>14.073088235294115</v>
          </cell>
          <cell r="O510">
            <v>15.768166089965396</v>
          </cell>
          <cell r="P510">
            <v>17.344982698961935</v>
          </cell>
          <cell r="Q510">
            <v>3</v>
          </cell>
          <cell r="R510">
            <v>19.710207612456745</v>
          </cell>
        </row>
        <row r="511">
          <cell r="A511" t="str">
            <v>L000157</v>
          </cell>
          <cell r="B511">
            <v>11004</v>
          </cell>
          <cell r="C511" t="str">
            <v>Indargom</v>
          </cell>
          <cell r="D511" t="str">
            <v>CODO 38 MM</v>
          </cell>
          <cell r="E511">
            <v>1</v>
          </cell>
          <cell r="I511">
            <v>8.5</v>
          </cell>
          <cell r="J511">
            <v>9.0416666666666673E-2</v>
          </cell>
          <cell r="K511">
            <v>0.11302083333333333</v>
          </cell>
          <cell r="L511">
            <v>2</v>
          </cell>
          <cell r="M511">
            <v>0.12557870370370369</v>
          </cell>
          <cell r="N511">
            <v>0.13185763888888888</v>
          </cell>
          <cell r="O511">
            <v>0.147739651416122</v>
          </cell>
          <cell r="P511">
            <v>0.16251361655773422</v>
          </cell>
          <cell r="Q511">
            <v>3</v>
          </cell>
          <cell r="R511">
            <v>0.1846745642701525</v>
          </cell>
        </row>
        <row r="512">
          <cell r="A512" t="str">
            <v>L000158</v>
          </cell>
          <cell r="C512" t="str">
            <v>EZEQUIEL</v>
          </cell>
          <cell r="D512" t="str">
            <v>Abrazadera inoxidable 32/50 mm</v>
          </cell>
          <cell r="E512">
            <v>1</v>
          </cell>
          <cell r="I512">
            <v>5</v>
          </cell>
          <cell r="J512">
            <v>5.318627450980392E-2</v>
          </cell>
          <cell r="K512">
            <v>6.6482843137254902E-2</v>
          </cell>
          <cell r="L512">
            <v>2</v>
          </cell>
          <cell r="M512">
            <v>7.3869825708060999E-2</v>
          </cell>
          <cell r="N512">
            <v>7.7563316993464054E-2</v>
          </cell>
          <cell r="O512">
            <v>8.6905677303601173E-2</v>
          </cell>
          <cell r="P512">
            <v>9.5596245033961302E-2</v>
          </cell>
          <cell r="Q512">
            <v>3</v>
          </cell>
          <cell r="R512">
            <v>0.10863209662950146</v>
          </cell>
        </row>
        <row r="513">
          <cell r="A513" t="str">
            <v>L000159</v>
          </cell>
          <cell r="C513" t="str">
            <v>EZEQUIEL</v>
          </cell>
          <cell r="D513" t="str">
            <v>Soldar entradas al recibidor DX  de 60 y 85 litros</v>
          </cell>
          <cell r="E513">
            <v>1</v>
          </cell>
          <cell r="I513">
            <v>450</v>
          </cell>
          <cell r="J513">
            <v>4.7867647058823533</v>
          </cell>
          <cell r="K513">
            <v>5.9834558823529411</v>
          </cell>
          <cell r="L513">
            <v>2</v>
          </cell>
          <cell r="M513">
            <v>6.6482843137254903</v>
          </cell>
          <cell r="N513">
            <v>6.9806985294117654</v>
          </cell>
          <cell r="O513">
            <v>7.8215109573241062</v>
          </cell>
          <cell r="P513">
            <v>8.6036620530565173</v>
          </cell>
          <cell r="Q513">
            <v>1</v>
          </cell>
          <cell r="R513">
            <v>8.690567730360117</v>
          </cell>
        </row>
        <row r="514">
          <cell r="A514" t="str">
            <v>L000160</v>
          </cell>
          <cell r="C514" t="str">
            <v>EZEQUIEL</v>
          </cell>
          <cell r="D514" t="str">
            <v>Armado caja comando DX</v>
          </cell>
          <cell r="E514">
            <v>1</v>
          </cell>
          <cell r="I514">
            <v>600</v>
          </cell>
          <cell r="J514">
            <v>6.382352941176471</v>
          </cell>
          <cell r="K514">
            <v>7.9779411764705888</v>
          </cell>
          <cell r="L514">
            <v>3</v>
          </cell>
          <cell r="M514">
            <v>9.3858131487889285</v>
          </cell>
          <cell r="N514">
            <v>9.8551038062283745</v>
          </cell>
          <cell r="O514">
            <v>11.042133116222269</v>
          </cell>
          <cell r="P514">
            <v>12.146346427844497</v>
          </cell>
          <cell r="Q514">
            <v>3</v>
          </cell>
          <cell r="R514">
            <v>13.802666395277836</v>
          </cell>
        </row>
        <row r="515">
          <cell r="A515" t="str">
            <v>L000161</v>
          </cell>
          <cell r="C515" t="str">
            <v>EZEQUIEL</v>
          </cell>
          <cell r="D515" t="str">
            <v>Tablero comando equipo de ordeñe  DX</v>
          </cell>
          <cell r="E515">
            <v>1</v>
          </cell>
          <cell r="M515" t="e">
            <v>#VALUE!</v>
          </cell>
          <cell r="N515" t="e">
            <v>#VALUE!</v>
          </cell>
          <cell r="O515" t="e">
            <v>#VALUE!</v>
          </cell>
          <cell r="P515" t="e">
            <v>#VALUE!</v>
          </cell>
          <cell r="R515" t="e">
            <v>#VALUE!</v>
          </cell>
        </row>
        <row r="516">
          <cell r="A516" t="str">
            <v>L000162</v>
          </cell>
          <cell r="B516" t="str">
            <v>TIGAJP105</v>
          </cell>
          <cell r="C516" t="str">
            <v>hidropilar</v>
          </cell>
          <cell r="D516" t="str">
            <v>buje corto 63/50</v>
          </cell>
          <cell r="E516">
            <v>1</v>
          </cell>
          <cell r="I516">
            <v>6</v>
          </cell>
          <cell r="J516">
            <v>6.382352941176471E-2</v>
          </cell>
          <cell r="K516">
            <v>7.9779411764705876E-2</v>
          </cell>
          <cell r="L516">
            <v>2</v>
          </cell>
          <cell r="M516">
            <v>8.8643790849673193E-2</v>
          </cell>
          <cell r="N516">
            <v>9.3075980392156851E-2</v>
          </cell>
          <cell r="O516">
            <v>0.1042868127643214</v>
          </cell>
          <cell r="P516">
            <v>0.11471549404075355</v>
          </cell>
          <cell r="Q516">
            <v>3</v>
          </cell>
          <cell r="R516">
            <v>0.13035851595540174</v>
          </cell>
        </row>
        <row r="517">
          <cell r="A517" t="str">
            <v>L000163</v>
          </cell>
          <cell r="B517" t="str">
            <v>TIGAJP106</v>
          </cell>
          <cell r="C517" t="str">
            <v>hidropilar</v>
          </cell>
          <cell r="D517" t="str">
            <v>buje corto 75/63</v>
          </cell>
          <cell r="E517">
            <v>1</v>
          </cell>
          <cell r="I517">
            <v>8</v>
          </cell>
          <cell r="J517">
            <v>8.5098039215686275E-2</v>
          </cell>
          <cell r="K517">
            <v>0.10637254901960784</v>
          </cell>
          <cell r="L517">
            <v>2</v>
          </cell>
          <cell r="M517">
            <v>0.1181917211328976</v>
          </cell>
          <cell r="N517">
            <v>0.12410130718954249</v>
          </cell>
          <cell r="O517">
            <v>0.13904908368576188</v>
          </cell>
          <cell r="P517">
            <v>0.15295399205433807</v>
          </cell>
          <cell r="Q517">
            <v>3</v>
          </cell>
          <cell r="R517">
            <v>0.17381135460720235</v>
          </cell>
        </row>
        <row r="518">
          <cell r="A518" t="str">
            <v>L000164</v>
          </cell>
          <cell r="B518" t="str">
            <v>TIGAJP108</v>
          </cell>
          <cell r="C518" t="str">
            <v>hidropilar</v>
          </cell>
          <cell r="D518" t="str">
            <v>buje corto 110/75</v>
          </cell>
          <cell r="E518">
            <v>1</v>
          </cell>
          <cell r="I518">
            <v>45</v>
          </cell>
          <cell r="J518">
            <v>0.47867647058823526</v>
          </cell>
          <cell r="K518">
            <v>0.59834558823529405</v>
          </cell>
          <cell r="L518">
            <v>2</v>
          </cell>
          <cell r="M518">
            <v>0.66482843137254888</v>
          </cell>
          <cell r="N518">
            <v>0.69806985294117641</v>
          </cell>
          <cell r="O518">
            <v>0.78215109573241048</v>
          </cell>
          <cell r="P518">
            <v>0.86036620530565155</v>
          </cell>
          <cell r="Q518">
            <v>3</v>
          </cell>
          <cell r="R518">
            <v>0.97768886966551305</v>
          </cell>
        </row>
        <row r="519">
          <cell r="A519" t="str">
            <v>L000165</v>
          </cell>
          <cell r="B519" t="str">
            <v>F00020</v>
          </cell>
          <cell r="C519" t="str">
            <v>Gialmog</v>
          </cell>
          <cell r="D519" t="str">
            <v>Aplicador de sellador</v>
          </cell>
          <cell r="E519">
            <v>1</v>
          </cell>
          <cell r="I519">
            <v>16.5</v>
          </cell>
          <cell r="J519">
            <v>0.17551470588235293</v>
          </cell>
          <cell r="K519">
            <v>0.21939338235294115</v>
          </cell>
          <cell r="L519">
            <v>2</v>
          </cell>
          <cell r="M519">
            <v>0.24377042483660127</v>
          </cell>
          <cell r="N519">
            <v>0.25595894607843134</v>
          </cell>
          <cell r="O519">
            <v>0.28678873510188385</v>
          </cell>
          <cell r="P519">
            <v>0.31546760861207224</v>
          </cell>
          <cell r="Q519">
            <v>3</v>
          </cell>
          <cell r="R519">
            <v>0.35848591887735481</v>
          </cell>
        </row>
        <row r="520">
          <cell r="A520" t="str">
            <v>L000166</v>
          </cell>
          <cell r="B520" t="str">
            <v>F00019</v>
          </cell>
          <cell r="C520" t="str">
            <v>Gialmog</v>
          </cell>
          <cell r="D520" t="str">
            <v>Ducha de lavado</v>
          </cell>
          <cell r="E520">
            <v>1</v>
          </cell>
          <cell r="I520">
            <v>3.52</v>
          </cell>
          <cell r="J520">
            <v>3.7443137254901962E-2</v>
          </cell>
          <cell r="K520">
            <v>4.6803921568627449E-2</v>
          </cell>
          <cell r="L520">
            <v>3</v>
          </cell>
          <cell r="M520">
            <v>5.5063437139561709E-2</v>
          </cell>
          <cell r="N520">
            <v>5.7816608996539801E-2</v>
          </cell>
          <cell r="O520">
            <v>6.4780514281837301E-2</v>
          </cell>
          <cell r="P520">
            <v>7.1258565710021038E-2</v>
          </cell>
          <cell r="Q520">
            <v>3</v>
          </cell>
          <cell r="R520">
            <v>8.0975642852296623E-2</v>
          </cell>
        </row>
        <row r="521">
          <cell r="A521" t="str">
            <v>L000167</v>
          </cell>
          <cell r="B521" t="str">
            <v>F00021</v>
          </cell>
          <cell r="C521" t="str">
            <v>Gialmog</v>
          </cell>
          <cell r="D521" t="str">
            <v>DELANTAL</v>
          </cell>
          <cell r="E521">
            <v>1</v>
          </cell>
          <cell r="I521">
            <v>27.5</v>
          </cell>
          <cell r="J521">
            <v>0.29252450980392153</v>
          </cell>
          <cell r="K521">
            <v>0.36565563725490191</v>
          </cell>
          <cell r="L521">
            <v>3</v>
          </cell>
          <cell r="M521">
            <v>0.43018310265282578</v>
          </cell>
          <cell r="N521">
            <v>0.45169225778546707</v>
          </cell>
          <cell r="O521">
            <v>0.50609776782685389</v>
          </cell>
          <cell r="P521">
            <v>0.55670754460953931</v>
          </cell>
          <cell r="Q521">
            <v>3</v>
          </cell>
          <cell r="R521">
            <v>0.63262220978356731</v>
          </cell>
        </row>
        <row r="522">
          <cell r="A522" t="str">
            <v>L000168</v>
          </cell>
          <cell r="B522" t="str">
            <v>F00022</v>
          </cell>
          <cell r="C522" t="str">
            <v>Gialmog</v>
          </cell>
          <cell r="D522" t="str">
            <v>Tapon de pezoneras</v>
          </cell>
          <cell r="E522">
            <v>1</v>
          </cell>
          <cell r="I522">
            <v>3.25</v>
          </cell>
          <cell r="J522">
            <v>3.4571078431372547E-2</v>
          </cell>
          <cell r="K522">
            <v>4.3213848039215678E-2</v>
          </cell>
          <cell r="L522">
            <v>3</v>
          </cell>
          <cell r="M522">
            <v>5.0839821222606683E-2</v>
          </cell>
          <cell r="N522">
            <v>5.3381812283737021E-2</v>
          </cell>
          <cell r="O522">
            <v>5.9811554379537279E-2</v>
          </cell>
          <cell r="P522">
            <v>6.579270981749101E-2</v>
          </cell>
          <cell r="Q522">
            <v>3</v>
          </cell>
          <cell r="R522">
            <v>7.4764442974421599E-2</v>
          </cell>
        </row>
        <row r="523">
          <cell r="A523" t="str">
            <v>L000169</v>
          </cell>
          <cell r="B523" t="str">
            <v>F00023</v>
          </cell>
          <cell r="C523" t="str">
            <v>Gialmog</v>
          </cell>
          <cell r="D523" t="str">
            <v>Y de adaptacion de pulsado</v>
          </cell>
          <cell r="E523">
            <v>1</v>
          </cell>
          <cell r="I523">
            <v>3.74</v>
          </cell>
          <cell r="J523">
            <v>3.9783333333333337E-2</v>
          </cell>
          <cell r="K523">
            <v>4.9729166666666672E-2</v>
          </cell>
          <cell r="L523">
            <v>3</v>
          </cell>
          <cell r="M523">
            <v>5.8504901960784318E-2</v>
          </cell>
          <cell r="N523">
            <v>6.1430147058823534E-2</v>
          </cell>
          <cell r="O523">
            <v>6.8829296424452138E-2</v>
          </cell>
          <cell r="P523">
            <v>7.5712226066897356E-2</v>
          </cell>
          <cell r="Q523">
            <v>3</v>
          </cell>
          <cell r="R523">
            <v>8.6036620530565169E-2</v>
          </cell>
        </row>
        <row r="524">
          <cell r="A524" t="str">
            <v>L000170</v>
          </cell>
          <cell r="B524" t="str">
            <v>F00024</v>
          </cell>
          <cell r="C524" t="str">
            <v>Gialmog</v>
          </cell>
          <cell r="D524" t="str">
            <v>Lava ubre</v>
          </cell>
          <cell r="E524">
            <v>1</v>
          </cell>
          <cell r="I524">
            <v>8.25</v>
          </cell>
          <cell r="J524">
            <v>8.7757352941176467E-2</v>
          </cell>
          <cell r="K524">
            <v>0.10969669117647057</v>
          </cell>
          <cell r="L524">
            <v>3</v>
          </cell>
          <cell r="M524">
            <v>0.12905493079584773</v>
          </cell>
          <cell r="N524">
            <v>0.13550767733564012</v>
          </cell>
          <cell r="O524">
            <v>0.15182933034805615</v>
          </cell>
          <cell r="P524">
            <v>0.16701226338286179</v>
          </cell>
          <cell r="Q524">
            <v>3</v>
          </cell>
          <cell r="R524">
            <v>0.18978666293507018</v>
          </cell>
        </row>
        <row r="525">
          <cell r="A525" t="str">
            <v>L000171</v>
          </cell>
          <cell r="B525" t="str">
            <v>F00025</v>
          </cell>
          <cell r="C525" t="str">
            <v>Gialmog</v>
          </cell>
          <cell r="D525" t="str">
            <v>jarra de fondo oscuro</v>
          </cell>
          <cell r="E525">
            <v>1</v>
          </cell>
          <cell r="I525">
            <v>17.05</v>
          </cell>
          <cell r="J525">
            <v>0.18136519607843138</v>
          </cell>
          <cell r="K525">
            <v>0.22670649509803922</v>
          </cell>
          <cell r="L525">
            <v>3</v>
          </cell>
          <cell r="M525">
            <v>0.26671352364475204</v>
          </cell>
          <cell r="N525">
            <v>0.28004919982698967</v>
          </cell>
          <cell r="O525">
            <v>0.31378061605264945</v>
          </cell>
          <cell r="P525">
            <v>0.34515867765791441</v>
          </cell>
          <cell r="Q525">
            <v>3</v>
          </cell>
          <cell r="R525">
            <v>0.39222577006581177</v>
          </cell>
        </row>
        <row r="526">
          <cell r="A526" t="str">
            <v>L000172</v>
          </cell>
          <cell r="B526">
            <v>2004</v>
          </cell>
          <cell r="C526" t="str">
            <v>Indargom</v>
          </cell>
          <cell r="D526" t="str">
            <v>DIAFRAGMA BOMBA LECHE</v>
          </cell>
          <cell r="E526">
            <v>1</v>
          </cell>
          <cell r="I526">
            <v>28</v>
          </cell>
          <cell r="J526">
            <v>0.29784313725490197</v>
          </cell>
          <cell r="K526">
            <v>0.37230392156862746</v>
          </cell>
          <cell r="L526">
            <v>1</v>
          </cell>
          <cell r="M526">
            <v>0.39189886480908154</v>
          </cell>
          <cell r="N526">
            <v>0.41149380804953561</v>
          </cell>
          <cell r="O526">
            <v>0.46105748801068419</v>
          </cell>
          <cell r="P526">
            <v>0.50716323681175268</v>
          </cell>
          <cell r="Q526">
            <v>3</v>
          </cell>
          <cell r="R526">
            <v>0.57632186001335517</v>
          </cell>
        </row>
        <row r="527">
          <cell r="A527" t="str">
            <v>L000173</v>
          </cell>
          <cell r="B527">
            <v>2005</v>
          </cell>
          <cell r="C527" t="str">
            <v>Indargom</v>
          </cell>
          <cell r="D527" t="str">
            <v>DIAFRAGMA LAVADOR PULSOMETRO</v>
          </cell>
          <cell r="E527">
            <v>1</v>
          </cell>
          <cell r="I527">
            <v>6</v>
          </cell>
          <cell r="J527">
            <v>6.382352941176471E-2</v>
          </cell>
          <cell r="K527">
            <v>7.9779411764705876E-2</v>
          </cell>
          <cell r="L527">
            <v>1</v>
          </cell>
          <cell r="M527">
            <v>8.3978328173374611E-2</v>
          </cell>
          <cell r="N527">
            <v>8.8177244582043346E-2</v>
          </cell>
          <cell r="O527">
            <v>9.879803314514661E-2</v>
          </cell>
          <cell r="P527">
            <v>0.10867783645966128</v>
          </cell>
          <cell r="Q527">
            <v>3</v>
          </cell>
          <cell r="R527">
            <v>0.12349754143143325</v>
          </cell>
        </row>
        <row r="528">
          <cell r="A528" t="str">
            <v>L000174</v>
          </cell>
          <cell r="B528">
            <v>2006</v>
          </cell>
          <cell r="C528" t="str">
            <v>Indargom</v>
          </cell>
          <cell r="D528" t="str">
            <v>DIAFRAGMA MR2</v>
          </cell>
          <cell r="E528">
            <v>1</v>
          </cell>
          <cell r="I528">
            <v>3</v>
          </cell>
          <cell r="J528">
            <v>3.1911764705882355E-2</v>
          </cell>
          <cell r="K528">
            <v>3.9889705882352938E-2</v>
          </cell>
          <cell r="L528">
            <v>1</v>
          </cell>
          <cell r="M528">
            <v>4.1989164086687306E-2</v>
          </cell>
          <cell r="N528">
            <v>4.4088622291021673E-2</v>
          </cell>
          <cell r="O528">
            <v>4.9399016572573305E-2</v>
          </cell>
          <cell r="P528">
            <v>5.4338918229830641E-2</v>
          </cell>
          <cell r="Q528">
            <v>3</v>
          </cell>
          <cell r="R528">
            <v>6.1748770715716626E-2</v>
          </cell>
        </row>
        <row r="529">
          <cell r="A529" t="str">
            <v>L000175</v>
          </cell>
          <cell r="B529">
            <v>2007</v>
          </cell>
          <cell r="C529" t="str">
            <v>Indargom</v>
          </cell>
          <cell r="D529" t="str">
            <v>DIAFRAGMA MR4</v>
          </cell>
          <cell r="E529">
            <v>1</v>
          </cell>
          <cell r="I529">
            <v>3.839</v>
          </cell>
          <cell r="J529">
            <v>4.0836421568627448E-2</v>
          </cell>
          <cell r="K529">
            <v>5.1045526960784307E-2</v>
          </cell>
          <cell r="L529">
            <v>1</v>
          </cell>
          <cell r="M529">
            <v>5.3732133642930849E-2</v>
          </cell>
          <cell r="N529">
            <v>5.6418740325077391E-2</v>
          </cell>
          <cell r="O529">
            <v>6.3214274874036289E-2</v>
          </cell>
          <cell r="P529">
            <v>6.9535702361439924E-2</v>
          </cell>
          <cell r="Q529">
            <v>3</v>
          </cell>
          <cell r="R529">
            <v>7.901784359254535E-2</v>
          </cell>
        </row>
        <row r="530">
          <cell r="A530" t="str">
            <v>L000176</v>
          </cell>
          <cell r="B530">
            <v>2025</v>
          </cell>
          <cell r="C530" t="str">
            <v>Indargom</v>
          </cell>
          <cell r="D530" t="str">
            <v>LAVADOR PEZONERA IRLANDA</v>
          </cell>
          <cell r="E530">
            <v>1</v>
          </cell>
          <cell r="I530">
            <v>5</v>
          </cell>
          <cell r="J530">
            <v>5.318627450980392E-2</v>
          </cell>
          <cell r="K530">
            <v>6.6482843137254902E-2</v>
          </cell>
          <cell r="L530">
            <v>1</v>
          </cell>
          <cell r="M530">
            <v>6.9981940144478852E-2</v>
          </cell>
          <cell r="N530">
            <v>7.3481037151702802E-2</v>
          </cell>
          <cell r="O530">
            <v>8.2331694287622187E-2</v>
          </cell>
          <cell r="P530">
            <v>9.0564863716384419E-2</v>
          </cell>
          <cell r="Q530">
            <v>3</v>
          </cell>
          <cell r="R530">
            <v>0.10291461785952773</v>
          </cell>
        </row>
        <row r="531">
          <cell r="A531" t="str">
            <v>L000177</v>
          </cell>
          <cell r="B531">
            <v>2016</v>
          </cell>
          <cell r="C531" t="str">
            <v>Indargom</v>
          </cell>
          <cell r="D531" t="str">
            <v>GUARNICION MR2</v>
          </cell>
          <cell r="E531">
            <v>1</v>
          </cell>
          <cell r="I531">
            <v>1.127016</v>
          </cell>
          <cell r="J531">
            <v>1.1988356470588235E-2</v>
          </cell>
          <cell r="K531">
            <v>1.4985445588235294E-2</v>
          </cell>
          <cell r="L531">
            <v>1</v>
          </cell>
          <cell r="M531">
            <v>1.5774153250773994E-2</v>
          </cell>
          <cell r="N531">
            <v>1.6562860913312695E-2</v>
          </cell>
          <cell r="O531">
            <v>1.8557827353851759E-2</v>
          </cell>
          <cell r="P531">
            <v>2.0413610089236936E-2</v>
          </cell>
          <cell r="Q531">
            <v>3</v>
          </cell>
          <cell r="R531">
            <v>2.3197284192314697E-2</v>
          </cell>
        </row>
        <row r="532">
          <cell r="A532" t="str">
            <v>L000178</v>
          </cell>
          <cell r="B532">
            <v>2017</v>
          </cell>
          <cell r="C532" t="str">
            <v>Indargom</v>
          </cell>
          <cell r="D532" t="str">
            <v>GUARNICION MR4</v>
          </cell>
          <cell r="E532">
            <v>1</v>
          </cell>
          <cell r="I532">
            <v>1.127016</v>
          </cell>
          <cell r="J532">
            <v>1.1988356470588235E-2</v>
          </cell>
          <cell r="K532">
            <v>1.4985445588235294E-2</v>
          </cell>
          <cell r="L532">
            <v>1</v>
          </cell>
          <cell r="M532">
            <v>1.5774153250773994E-2</v>
          </cell>
          <cell r="N532">
            <v>1.6562860913312695E-2</v>
          </cell>
          <cell r="O532">
            <v>1.8557827353851759E-2</v>
          </cell>
          <cell r="P532">
            <v>2.0413610089236936E-2</v>
          </cell>
          <cell r="Q532">
            <v>3</v>
          </cell>
          <cell r="R532">
            <v>2.3197284192314697E-2</v>
          </cell>
        </row>
        <row r="533">
          <cell r="A533" t="str">
            <v>L000179</v>
          </cell>
          <cell r="B533">
            <v>2037</v>
          </cell>
          <cell r="C533" t="str">
            <v>Indargom</v>
          </cell>
          <cell r="D533" t="str">
            <v>TOPE MR4</v>
          </cell>
          <cell r="E533">
            <v>1</v>
          </cell>
          <cell r="I533">
            <v>0.84</v>
          </cell>
          <cell r="J533">
            <v>8.9352941176470586E-3</v>
          </cell>
          <cell r="K533">
            <v>1.1169117647058822E-2</v>
          </cell>
          <cell r="L533">
            <v>1</v>
          </cell>
          <cell r="M533">
            <v>1.1756965944272444E-2</v>
          </cell>
          <cell r="N533">
            <v>1.2344814241486066E-2</v>
          </cell>
          <cell r="O533">
            <v>1.3831724640320522E-2</v>
          </cell>
          <cell r="P533">
            <v>1.5214897104352577E-2</v>
          </cell>
          <cell r="Q533">
            <v>3</v>
          </cell>
          <cell r="R533">
            <v>1.7289655800400653E-2</v>
          </cell>
        </row>
        <row r="534">
          <cell r="A534" t="str">
            <v>L000180</v>
          </cell>
          <cell r="B534">
            <v>2036</v>
          </cell>
          <cell r="C534" t="str">
            <v>Indargom</v>
          </cell>
          <cell r="D534" t="str">
            <v>TOPES MR2</v>
          </cell>
          <cell r="E534">
            <v>1</v>
          </cell>
          <cell r="I534">
            <v>0.84</v>
          </cell>
          <cell r="J534">
            <v>8.9352941176470586E-3</v>
          </cell>
          <cell r="K534">
            <v>1.1169117647058822E-2</v>
          </cell>
          <cell r="L534">
            <v>1</v>
          </cell>
          <cell r="M534">
            <v>1.1756965944272444E-2</v>
          </cell>
          <cell r="N534">
            <v>1.2344814241486066E-2</v>
          </cell>
          <cell r="O534">
            <v>1.3831724640320522E-2</v>
          </cell>
          <cell r="P534">
            <v>1.5214897104352577E-2</v>
          </cell>
          <cell r="Q534">
            <v>3</v>
          </cell>
          <cell r="R534">
            <v>1.7289655800400653E-2</v>
          </cell>
        </row>
        <row r="535">
          <cell r="A535" t="str">
            <v>L000181</v>
          </cell>
          <cell r="B535" t="str">
            <v>G-811</v>
          </cell>
          <cell r="C535" t="str">
            <v>Evial</v>
          </cell>
          <cell r="D535" t="str">
            <v>Colector de leche tipo HCC-150.</v>
          </cell>
          <cell r="E535">
            <v>1</v>
          </cell>
          <cell r="I535">
            <v>12.285</v>
          </cell>
          <cell r="J535">
            <v>0.13067867647058823</v>
          </cell>
          <cell r="K535">
            <v>0.16334834558823527</v>
          </cell>
          <cell r="L535">
            <v>1</v>
          </cell>
          <cell r="M535">
            <v>0.1719456269349845</v>
          </cell>
          <cell r="N535">
            <v>0.18054290828173372</v>
          </cell>
          <cell r="O535">
            <v>0.20228897286468764</v>
          </cell>
          <cell r="P535">
            <v>0.22251787015115643</v>
          </cell>
          <cell r="Q535">
            <v>3</v>
          </cell>
          <cell r="R535">
            <v>0.25286121608085954</v>
          </cell>
        </row>
        <row r="536">
          <cell r="A536" t="str">
            <v>L000182</v>
          </cell>
          <cell r="B536" t="str">
            <v>G-802</v>
          </cell>
          <cell r="C536" t="str">
            <v>Evial</v>
          </cell>
          <cell r="D536" t="str">
            <v>Colector de leche tipo Irl. Polic</v>
          </cell>
          <cell r="E536">
            <v>1</v>
          </cell>
          <cell r="I536">
            <v>9.7650000000000006</v>
          </cell>
          <cell r="J536">
            <v>0.10387279411764705</v>
          </cell>
          <cell r="K536">
            <v>0.12984099264705881</v>
          </cell>
          <cell r="L536">
            <v>1</v>
          </cell>
          <cell r="M536">
            <v>0.13667472910216719</v>
          </cell>
          <cell r="N536">
            <v>0.14350846555727556</v>
          </cell>
          <cell r="O536">
            <v>0.16079379894372611</v>
          </cell>
          <cell r="P536">
            <v>0.17687317883809875</v>
          </cell>
          <cell r="Q536">
            <v>3</v>
          </cell>
          <cell r="R536">
            <v>0.20099224867965762</v>
          </cell>
        </row>
        <row r="537">
          <cell r="A537" t="str">
            <v>L000183</v>
          </cell>
          <cell r="B537" t="str">
            <v>G-801</v>
          </cell>
          <cell r="C537" t="str">
            <v>Evial</v>
          </cell>
          <cell r="D537" t="str">
            <v xml:space="preserve">Colector de leche tipo M. Nuevo polic. </v>
          </cell>
          <cell r="E537">
            <v>1</v>
          </cell>
          <cell r="I537">
            <v>10.657500000000001</v>
          </cell>
          <cell r="J537">
            <v>0.11336654411764707</v>
          </cell>
          <cell r="K537">
            <v>0.14170818014705883</v>
          </cell>
          <cell r="L537">
            <v>1</v>
          </cell>
          <cell r="M537">
            <v>0.14916650541795667</v>
          </cell>
          <cell r="N537">
            <v>0.15662483068885452</v>
          </cell>
          <cell r="O537">
            <v>0.17549000637406667</v>
          </cell>
          <cell r="P537">
            <v>0.19303900701147336</v>
          </cell>
          <cell r="Q537">
            <v>3</v>
          </cell>
          <cell r="R537">
            <v>0.21936250796758333</v>
          </cell>
        </row>
        <row r="538">
          <cell r="A538" t="str">
            <v>L000184</v>
          </cell>
          <cell r="B538" t="str">
            <v>G-822</v>
          </cell>
          <cell r="C538" t="str">
            <v>Evial</v>
          </cell>
          <cell r="D538" t="str">
            <v>Colector de leche tipo T.F.</v>
          </cell>
          <cell r="E538">
            <v>1</v>
          </cell>
          <cell r="I538">
            <v>32.497500000000002</v>
          </cell>
          <cell r="J538">
            <v>0.34568419117647059</v>
          </cell>
          <cell r="K538">
            <v>0.43210523897058822</v>
          </cell>
          <cell r="L538">
            <v>1</v>
          </cell>
          <cell r="M538">
            <v>0.45484761996904027</v>
          </cell>
          <cell r="N538">
            <v>0.47759000096749232</v>
          </cell>
          <cell r="O538">
            <v>0.53511484702240031</v>
          </cell>
          <cell r="P538">
            <v>0.58862633172464041</v>
          </cell>
          <cell r="Q538">
            <v>3</v>
          </cell>
          <cell r="R538">
            <v>0.66889355877800039</v>
          </cell>
        </row>
        <row r="539">
          <cell r="A539" t="str">
            <v>L000185</v>
          </cell>
          <cell r="B539" t="str">
            <v>G-820</v>
          </cell>
          <cell r="C539" t="str">
            <v>Evial</v>
          </cell>
          <cell r="D539" t="str">
            <v xml:space="preserve">Copa central tipo TF. </v>
          </cell>
          <cell r="E539">
            <v>1</v>
          </cell>
          <cell r="I539">
            <v>5.2709999999999999</v>
          </cell>
          <cell r="J539">
            <v>5.606897058823529E-2</v>
          </cell>
          <cell r="K539">
            <v>7.0086213235294112E-2</v>
          </cell>
          <cell r="L539">
            <v>1</v>
          </cell>
          <cell r="M539">
            <v>7.3774961300309597E-2</v>
          </cell>
          <cell r="N539">
            <v>7.7463709365325081E-2</v>
          </cell>
          <cell r="O539">
            <v>8.6794072118011295E-2</v>
          </cell>
          <cell r="P539">
            <v>9.5473479329812427E-2</v>
          </cell>
          <cell r="Q539">
            <v>3</v>
          </cell>
          <cell r="R539">
            <v>0.10849259014751411</v>
          </cell>
        </row>
        <row r="540">
          <cell r="A540" t="str">
            <v>L000186</v>
          </cell>
          <cell r="B540" t="str">
            <v>N-251</v>
          </cell>
          <cell r="C540" t="str">
            <v>Evial</v>
          </cell>
          <cell r="D540" t="str">
            <v>Ducha de lavado Laval.</v>
          </cell>
          <cell r="E540">
            <v>1</v>
          </cell>
          <cell r="I540">
            <v>1.9949999999999999</v>
          </cell>
          <cell r="J540">
            <v>2.1221323529411761E-2</v>
          </cell>
          <cell r="K540">
            <v>2.6526654411764699E-2</v>
          </cell>
          <cell r="L540">
            <v>1</v>
          </cell>
          <cell r="M540">
            <v>2.7922794117647053E-2</v>
          </cell>
          <cell r="N540">
            <v>2.9318933823529406E-2</v>
          </cell>
          <cell r="O540">
            <v>3.2850346020761242E-2</v>
          </cell>
          <cell r="P540">
            <v>3.6135380622837367E-2</v>
          </cell>
          <cell r="Q540">
            <v>3</v>
          </cell>
          <cell r="R540">
            <v>4.106293252595155E-2</v>
          </cell>
        </row>
        <row r="541">
          <cell r="A541" t="str">
            <v>L000187</v>
          </cell>
          <cell r="B541" t="str">
            <v>G-100</v>
          </cell>
          <cell r="C541" t="str">
            <v>Evial</v>
          </cell>
          <cell r="D541" t="str">
            <v xml:space="preserve">Grifo paso de leche. </v>
          </cell>
          <cell r="E541">
            <v>1</v>
          </cell>
          <cell r="I541">
            <v>3.6749999999999998</v>
          </cell>
          <cell r="J541">
            <v>3.9091911764705882E-2</v>
          </cell>
          <cell r="K541">
            <v>4.8864889705882347E-2</v>
          </cell>
          <cell r="L541">
            <v>1</v>
          </cell>
          <cell r="M541">
            <v>5.1436726006191945E-2</v>
          </cell>
          <cell r="N541">
            <v>5.4008562306501542E-2</v>
          </cell>
          <cell r="O541">
            <v>6.0513795301402287E-2</v>
          </cell>
          <cell r="P541">
            <v>6.656517483154252E-2</v>
          </cell>
          <cell r="Q541">
            <v>3</v>
          </cell>
          <cell r="R541">
            <v>7.5642244126752856E-2</v>
          </cell>
        </row>
        <row r="542">
          <cell r="A542" t="str">
            <v>L000188</v>
          </cell>
          <cell r="B542" t="str">
            <v>L-254</v>
          </cell>
          <cell r="C542" t="str">
            <v>Evial</v>
          </cell>
          <cell r="D542" t="str">
            <v xml:space="preserve">Lava ubre. </v>
          </cell>
          <cell r="E542">
            <v>1</v>
          </cell>
          <cell r="I542">
            <v>4.5360000000000005</v>
          </cell>
          <cell r="J542">
            <v>4.8250588235294121E-2</v>
          </cell>
          <cell r="K542">
            <v>6.0313235294117647E-2</v>
          </cell>
          <cell r="L542">
            <v>1</v>
          </cell>
          <cell r="M542">
            <v>6.3487616099071206E-2</v>
          </cell>
          <cell r="N542">
            <v>6.6661996904024773E-2</v>
          </cell>
          <cell r="O542">
            <v>7.4691313057730829E-2</v>
          </cell>
          <cell r="P542">
            <v>8.2160444363503921E-2</v>
          </cell>
          <cell r="Q542">
            <v>3</v>
          </cell>
          <cell r="R542">
            <v>9.336414132216353E-2</v>
          </cell>
        </row>
        <row r="543">
          <cell r="A543" t="str">
            <v>L000189</v>
          </cell>
          <cell r="B543" t="str">
            <v>T-503</v>
          </cell>
          <cell r="C543" t="str">
            <v>Evial</v>
          </cell>
          <cell r="D543" t="str">
            <v>Trampa completa.</v>
          </cell>
          <cell r="E543">
            <v>1</v>
          </cell>
          <cell r="I543">
            <v>17.009999999999998</v>
          </cell>
          <cell r="J543">
            <v>0.18093970588235292</v>
          </cell>
          <cell r="K543">
            <v>0.22617463235294114</v>
          </cell>
          <cell r="L543">
            <v>1</v>
          </cell>
          <cell r="M543">
            <v>0.23807856037151701</v>
          </cell>
          <cell r="N543">
            <v>0.24998248839009288</v>
          </cell>
          <cell r="O543">
            <v>0.28009242396649059</v>
          </cell>
          <cell r="P543">
            <v>0.30810166636313968</v>
          </cell>
          <cell r="Q543">
            <v>3</v>
          </cell>
          <cell r="R543">
            <v>0.35011552995811324</v>
          </cell>
        </row>
        <row r="544">
          <cell r="A544" t="str">
            <v>L000190</v>
          </cell>
          <cell r="B544" t="str">
            <v>D-823</v>
          </cell>
          <cell r="C544" t="str">
            <v>Evial</v>
          </cell>
          <cell r="D544" t="str">
            <v>Y para pulsado</v>
          </cell>
          <cell r="E544">
            <v>1</v>
          </cell>
          <cell r="I544">
            <v>3.0659999999999998</v>
          </cell>
          <cell r="J544">
            <v>3.2613823529411758E-2</v>
          </cell>
          <cell r="K544">
            <v>4.0767279411764695E-2</v>
          </cell>
          <cell r="L544">
            <v>1</v>
          </cell>
          <cell r="M544">
            <v>4.2912925696594419E-2</v>
          </cell>
          <cell r="N544">
            <v>4.5058571981424142E-2</v>
          </cell>
          <cell r="O544">
            <v>5.0485794937169905E-2</v>
          </cell>
          <cell r="P544">
            <v>5.55343744308869E-2</v>
          </cell>
          <cell r="Q544">
            <v>3</v>
          </cell>
          <cell r="R544">
            <v>6.3107243671462379E-2</v>
          </cell>
        </row>
        <row r="545">
          <cell r="A545" t="str">
            <v>L000191</v>
          </cell>
          <cell r="B545" t="str">
            <v xml:space="preserve"> 1-22</v>
          </cell>
          <cell r="C545" t="str">
            <v>Evial</v>
          </cell>
          <cell r="D545" t="str">
            <v>ACC. DE GOMA MOD. NVO.</v>
          </cell>
          <cell r="E545">
            <v>1</v>
          </cell>
          <cell r="I545">
            <v>6.0059999999999993</v>
          </cell>
          <cell r="J545">
            <v>6.3887352941176465E-2</v>
          </cell>
          <cell r="K545">
            <v>7.985919117647057E-2</v>
          </cell>
          <cell r="L545">
            <v>1</v>
          </cell>
          <cell r="M545">
            <v>8.4062306501547973E-2</v>
          </cell>
          <cell r="N545">
            <v>8.8265421826625376E-2</v>
          </cell>
          <cell r="O545">
            <v>9.8896831178291733E-2</v>
          </cell>
          <cell r="P545">
            <v>0.10878651429612092</v>
          </cell>
          <cell r="Q545">
            <v>3</v>
          </cell>
          <cell r="R545">
            <v>0.12362103897286467</v>
          </cell>
        </row>
        <row r="546">
          <cell r="A546" t="str">
            <v>L000192</v>
          </cell>
          <cell r="B546" t="str">
            <v xml:space="preserve"> 1-20</v>
          </cell>
          <cell r="C546" t="str">
            <v>Evial</v>
          </cell>
          <cell r="D546" t="str">
            <v>ACC. GOMA P/COLECT. HCC</v>
          </cell>
          <cell r="E546">
            <v>1</v>
          </cell>
          <cell r="I546">
            <v>6.8565000000000005</v>
          </cell>
          <cell r="J546">
            <v>7.2934338235294119E-2</v>
          </cell>
          <cell r="K546">
            <v>9.1167922794117645E-2</v>
          </cell>
          <cell r="L546">
            <v>1</v>
          </cell>
          <cell r="M546">
            <v>9.5966234520123844E-2</v>
          </cell>
          <cell r="N546">
            <v>0.10076454624613004</v>
          </cell>
          <cell r="O546">
            <v>0.11290145237661629</v>
          </cell>
          <cell r="P546">
            <v>0.12419159761427793</v>
          </cell>
          <cell r="Q546">
            <v>3</v>
          </cell>
          <cell r="R546">
            <v>0.14112681547077036</v>
          </cell>
        </row>
        <row r="547">
          <cell r="A547" t="str">
            <v>L000193</v>
          </cell>
          <cell r="B547" t="str">
            <v xml:space="preserve"> 1-21</v>
          </cell>
          <cell r="C547" t="str">
            <v>Evial</v>
          </cell>
          <cell r="D547" t="str">
            <v>ACC. GOMA P/COLECT.IRLANDA.</v>
          </cell>
          <cell r="E547">
            <v>1</v>
          </cell>
          <cell r="I547">
            <v>6.8565000000000005</v>
          </cell>
          <cell r="J547">
            <v>7.2934338235294119E-2</v>
          </cell>
          <cell r="K547">
            <v>9.1167922794117645E-2</v>
          </cell>
          <cell r="L547">
            <v>1</v>
          </cell>
          <cell r="M547">
            <v>9.5966234520123844E-2</v>
          </cell>
          <cell r="N547">
            <v>0.10076454624613004</v>
          </cell>
          <cell r="O547">
            <v>0.11290145237661629</v>
          </cell>
          <cell r="P547">
            <v>0.12419159761427793</v>
          </cell>
          <cell r="Q547">
            <v>3</v>
          </cell>
          <cell r="R547">
            <v>0.14112681547077036</v>
          </cell>
        </row>
        <row r="548">
          <cell r="A548" t="str">
            <v>L000194</v>
          </cell>
          <cell r="B548" t="str">
            <v xml:space="preserve"> 1-27</v>
          </cell>
          <cell r="C548" t="str">
            <v>Evial</v>
          </cell>
          <cell r="D548" t="str">
            <v xml:space="preserve">ACC. GOMA P/COLECTOR TF. </v>
          </cell>
          <cell r="E548">
            <v>1</v>
          </cell>
          <cell r="I548">
            <v>10.773</v>
          </cell>
          <cell r="J548">
            <v>0.11459514705882352</v>
          </cell>
          <cell r="K548">
            <v>0.1432439338235294</v>
          </cell>
          <cell r="L548">
            <v>1</v>
          </cell>
          <cell r="M548">
            <v>0.15078308823529413</v>
          </cell>
          <cell r="N548">
            <v>0.15832224264705885</v>
          </cell>
          <cell r="O548">
            <v>0.17739186851211075</v>
          </cell>
          <cell r="P548">
            <v>0.19513105536332184</v>
          </cell>
          <cell r="Q548">
            <v>3</v>
          </cell>
          <cell r="R548">
            <v>0.22173983564013844</v>
          </cell>
        </row>
        <row r="549">
          <cell r="A549" t="str">
            <v>L000195</v>
          </cell>
          <cell r="B549" t="str">
            <v>B-43</v>
          </cell>
          <cell r="C549" t="str">
            <v>Evial</v>
          </cell>
          <cell r="D549" t="str">
            <v>KIT DE GOMAS DE MR2</v>
          </cell>
          <cell r="E549">
            <v>1</v>
          </cell>
          <cell r="I549">
            <v>4.2</v>
          </cell>
          <cell r="J549">
            <v>4.4676470588235297E-2</v>
          </cell>
          <cell r="K549">
            <v>5.5845588235294119E-2</v>
          </cell>
          <cell r="L549">
            <v>1</v>
          </cell>
          <cell r="M549">
            <v>5.8784829721362231E-2</v>
          </cell>
          <cell r="N549">
            <v>6.1724071207430342E-2</v>
          </cell>
          <cell r="O549">
            <v>6.9158623201602626E-2</v>
          </cell>
          <cell r="P549">
            <v>7.6074485521762894E-2</v>
          </cell>
          <cell r="Q549">
            <v>3</v>
          </cell>
          <cell r="R549">
            <v>8.6448279002003275E-2</v>
          </cell>
        </row>
        <row r="550">
          <cell r="A550" t="str">
            <v>L000196</v>
          </cell>
          <cell r="C550" t="str">
            <v>Celtrap</v>
          </cell>
          <cell r="D550" t="str">
            <v>4 bobinas de papel de doble hoja, precortadas de 680 toallad de 24x24 cm</v>
          </cell>
          <cell r="E550">
            <v>4</v>
          </cell>
          <cell r="I550">
            <v>125</v>
          </cell>
          <cell r="J550">
            <v>1.329656862745098</v>
          </cell>
          <cell r="K550">
            <v>1.6620710784313724</v>
          </cell>
          <cell r="L550">
            <v>1</v>
          </cell>
          <cell r="M550">
            <v>1.7495485036119709</v>
          </cell>
          <cell r="N550">
            <v>1.8370259287925694</v>
          </cell>
          <cell r="O550">
            <v>2.0582923571905543</v>
          </cell>
          <cell r="P550">
            <v>2.2641215929096097</v>
          </cell>
          <cell r="Q550">
            <v>3</v>
          </cell>
          <cell r="R550">
            <v>2.5728654464881928</v>
          </cell>
        </row>
        <row r="551">
          <cell r="A551" t="str">
            <v>L000197</v>
          </cell>
          <cell r="B551">
            <v>6006</v>
          </cell>
          <cell r="C551" t="str">
            <v>PDP</v>
          </cell>
          <cell r="D551" t="str">
            <v>TO ELITE INT 6P SH BEIGE x 2500 usos</v>
          </cell>
          <cell r="E551">
            <v>1</v>
          </cell>
          <cell r="I551">
            <v>77.23</v>
          </cell>
          <cell r="J551">
            <v>0.82151519607843138</v>
          </cell>
          <cell r="K551">
            <v>1.0268939950980391</v>
          </cell>
          <cell r="L551">
            <v>2</v>
          </cell>
          <cell r="M551">
            <v>1.1409933278867102</v>
          </cell>
          <cell r="N551">
            <v>1.1980429942810458</v>
          </cell>
          <cell r="O551">
            <v>1.3423450916314237</v>
          </cell>
          <cell r="P551">
            <v>1.4765796007945662</v>
          </cell>
          <cell r="Q551">
            <v>3</v>
          </cell>
          <cell r="R551">
            <v>1.6779313645392795</v>
          </cell>
        </row>
        <row r="552">
          <cell r="A552" t="str">
            <v>L000198</v>
          </cell>
          <cell r="B552">
            <v>6205</v>
          </cell>
          <cell r="C552" t="str">
            <v>PDP</v>
          </cell>
          <cell r="D552" t="str">
            <v>TO ELITE INT 6P SH EXT BCA x 2500 usos</v>
          </cell>
          <cell r="E552">
            <v>1</v>
          </cell>
          <cell r="I552">
            <v>94.51</v>
          </cell>
          <cell r="J552">
            <v>1.0053269607843138</v>
          </cell>
          <cell r="K552">
            <v>1.2566587009803922</v>
          </cell>
          <cell r="L552">
            <v>2</v>
          </cell>
          <cell r="M552">
            <v>1.396287445533769</v>
          </cell>
          <cell r="N552">
            <v>1.4661018178104575</v>
          </cell>
          <cell r="O552">
            <v>1.6426911123926695</v>
          </cell>
          <cell r="P552">
            <v>1.8069602236319366</v>
          </cell>
          <cell r="Q552">
            <v>3</v>
          </cell>
          <cell r="R552">
            <v>2.0533638904908367</v>
          </cell>
        </row>
        <row r="553">
          <cell r="A553" t="str">
            <v>L000199</v>
          </cell>
          <cell r="B553">
            <v>6216</v>
          </cell>
          <cell r="C553" t="str">
            <v>PDP</v>
          </cell>
          <cell r="D553" t="str">
            <v>TO ELITE INT 6P SH BLANCA x  2500 usos</v>
          </cell>
          <cell r="E553">
            <v>1</v>
          </cell>
          <cell r="I553">
            <v>92.67</v>
          </cell>
          <cell r="J553">
            <v>0.9857544117647058</v>
          </cell>
          <cell r="K553">
            <v>1.2321930147058822</v>
          </cell>
          <cell r="L553">
            <v>2</v>
          </cell>
          <cell r="M553">
            <v>1.3691033496732024</v>
          </cell>
          <cell r="N553">
            <v>1.4375585171568626</v>
          </cell>
          <cell r="O553">
            <v>1.6107098231449439</v>
          </cell>
          <cell r="P553">
            <v>1.7717808054594384</v>
          </cell>
          <cell r="Q553">
            <v>3</v>
          </cell>
          <cell r="R553">
            <v>2.0133872789311797</v>
          </cell>
        </row>
        <row r="554">
          <cell r="A554" t="str">
            <v>L000200</v>
          </cell>
          <cell r="B554">
            <v>6208</v>
          </cell>
          <cell r="C554" t="str">
            <v>PDP</v>
          </cell>
          <cell r="D554" t="str">
            <v>TO ELITE INT 4P SH EXT BCA x 2500 usos</v>
          </cell>
          <cell r="E554">
            <v>1</v>
          </cell>
          <cell r="I554">
            <v>67.22</v>
          </cell>
          <cell r="J554">
            <v>0.71503627450980389</v>
          </cell>
          <cell r="K554">
            <v>0.89379534313725484</v>
          </cell>
          <cell r="L554">
            <v>2</v>
          </cell>
          <cell r="M554">
            <v>0.99310593681917203</v>
          </cell>
          <cell r="N554">
            <v>1.0427612336601306</v>
          </cell>
          <cell r="O554">
            <v>1.1683599256696142</v>
          </cell>
          <cell r="P554">
            <v>1.2851959182365758</v>
          </cell>
          <cell r="Q554">
            <v>3</v>
          </cell>
          <cell r="R554">
            <v>1.4604499070870176</v>
          </cell>
        </row>
        <row r="555">
          <cell r="A555" t="str">
            <v>L000201</v>
          </cell>
          <cell r="B555">
            <v>6209</v>
          </cell>
          <cell r="C555" t="str">
            <v>PDP</v>
          </cell>
          <cell r="D555" t="str">
            <v>TO ELITE INT 4P SH BLANCA x 2500 usos</v>
          </cell>
          <cell r="E555">
            <v>1</v>
          </cell>
          <cell r="I555">
            <v>64.88</v>
          </cell>
          <cell r="J555">
            <v>0.69014509803921553</v>
          </cell>
          <cell r="K555">
            <v>0.86268137254901933</v>
          </cell>
          <cell r="L555">
            <v>2</v>
          </cell>
          <cell r="M555">
            <v>0.95853485838779928</v>
          </cell>
          <cell r="N555">
            <v>1.0064616013071892</v>
          </cell>
          <cell r="O555">
            <v>1.1276880686915285</v>
          </cell>
          <cell r="P555">
            <v>1.2404568755606815</v>
          </cell>
          <cell r="Q555">
            <v>3</v>
          </cell>
          <cell r="R555">
            <v>1.4096100858644105</v>
          </cell>
        </row>
        <row r="556">
          <cell r="A556" t="str">
            <v>L000202</v>
          </cell>
          <cell r="B556">
            <v>6210</v>
          </cell>
          <cell r="C556" t="str">
            <v>PDP</v>
          </cell>
          <cell r="D556" t="str">
            <v>TO ELITE INT 4P SH BEIGE x 2500 usos</v>
          </cell>
          <cell r="E556">
            <v>1</v>
          </cell>
          <cell r="I556">
            <v>54.43</v>
          </cell>
          <cell r="J556">
            <v>0.57898578431372538</v>
          </cell>
          <cell r="K556">
            <v>0.72373223039215673</v>
          </cell>
          <cell r="L556">
            <v>2</v>
          </cell>
          <cell r="M556">
            <v>0.80414692265795185</v>
          </cell>
          <cell r="N556">
            <v>0.84435426879084952</v>
          </cell>
          <cell r="O556">
            <v>0.9460552031270022</v>
          </cell>
          <cell r="P556">
            <v>1.0406607234397025</v>
          </cell>
          <cell r="Q556">
            <v>3</v>
          </cell>
          <cell r="R556">
            <v>1.1825690039087526</v>
          </cell>
        </row>
        <row r="557">
          <cell r="A557" t="str">
            <v>L000203</v>
          </cell>
          <cell r="B557">
            <v>6220</v>
          </cell>
          <cell r="C557" t="str">
            <v>PDP</v>
          </cell>
          <cell r="D557" t="str">
            <v>TO ELITE INT 4P SH BEIGE ECON x 2500 usos</v>
          </cell>
          <cell r="E557">
            <v>1</v>
          </cell>
          <cell r="I557">
            <v>49.11</v>
          </cell>
          <cell r="J557">
            <v>0.52239558823529408</v>
          </cell>
          <cell r="K557">
            <v>0.65299448529411752</v>
          </cell>
          <cell r="L557">
            <v>2</v>
          </cell>
          <cell r="M557">
            <v>0.72554942810457501</v>
          </cell>
          <cell r="N557">
            <v>0.76182689950980376</v>
          </cell>
          <cell r="O557">
            <v>0.85358756247597067</v>
          </cell>
          <cell r="P557">
            <v>0.93894631872356782</v>
          </cell>
          <cell r="Q557">
            <v>3</v>
          </cell>
          <cell r="R557">
            <v>1.0669844530949633</v>
          </cell>
        </row>
        <row r="558">
          <cell r="A558" t="str">
            <v>L000204</v>
          </cell>
          <cell r="B558">
            <v>6243</v>
          </cell>
          <cell r="C558" t="str">
            <v>PDP</v>
          </cell>
          <cell r="D558" t="str">
            <v>TO ELITE INT 3P SH EXT BCA x  2500 usos</v>
          </cell>
          <cell r="E558">
            <v>1</v>
          </cell>
          <cell r="I558">
            <v>53.76</v>
          </cell>
          <cell r="J558">
            <v>0.57185882352941175</v>
          </cell>
          <cell r="K558">
            <v>0.71482352941176464</v>
          </cell>
          <cell r="L558">
            <v>2</v>
          </cell>
          <cell r="M558">
            <v>0.7942483660130718</v>
          </cell>
          <cell r="N558">
            <v>0.83396078431372545</v>
          </cell>
          <cell r="O558">
            <v>0.93440984236831981</v>
          </cell>
          <cell r="P558">
            <v>1.0278508266051518</v>
          </cell>
          <cell r="Q558">
            <v>3</v>
          </cell>
          <cell r="R558">
            <v>1.1680123029603997</v>
          </cell>
        </row>
        <row r="559">
          <cell r="A559" t="str">
            <v>L000205</v>
          </cell>
          <cell r="B559">
            <v>6244</v>
          </cell>
          <cell r="C559" t="str">
            <v>PDP</v>
          </cell>
          <cell r="D559" t="str">
            <v>TO ELITE INT 3P SH TOP x 2500 usos</v>
          </cell>
          <cell r="E559">
            <v>1</v>
          </cell>
          <cell r="I559">
            <v>92.95</v>
          </cell>
          <cell r="J559">
            <v>0.98873284313725496</v>
          </cell>
          <cell r="K559">
            <v>1.2359160539215686</v>
          </cell>
          <cell r="L559">
            <v>2</v>
          </cell>
          <cell r="M559">
            <v>1.373240059912854</v>
          </cell>
          <cell r="N559">
            <v>1.4419020629084969</v>
          </cell>
          <cell r="O559">
            <v>1.615576541073946</v>
          </cell>
          <cell r="P559">
            <v>1.7771341951813406</v>
          </cell>
          <cell r="Q559">
            <v>3</v>
          </cell>
          <cell r="R559">
            <v>2.0194706763424324</v>
          </cell>
        </row>
        <row r="560">
          <cell r="A560" t="str">
            <v>L000206</v>
          </cell>
          <cell r="B560">
            <v>6247</v>
          </cell>
          <cell r="C560" t="str">
            <v>PDP</v>
          </cell>
          <cell r="D560" t="str">
            <v>TO ELITE INT 3P SH BCA x 2500 usos</v>
          </cell>
          <cell r="E560">
            <v>1</v>
          </cell>
          <cell r="I560">
            <v>59.96</v>
          </cell>
          <cell r="J560">
            <v>0.63780980392156861</v>
          </cell>
          <cell r="K560">
            <v>0.79726225490196068</v>
          </cell>
          <cell r="L560">
            <v>2</v>
          </cell>
          <cell r="M560">
            <v>0.88584694989106738</v>
          </cell>
          <cell r="N560">
            <v>0.93013929738562084</v>
          </cell>
          <cell r="O560">
            <v>1.0421728822247851</v>
          </cell>
          <cell r="P560">
            <v>1.1463901704472637</v>
          </cell>
          <cell r="Q560">
            <v>3</v>
          </cell>
          <cell r="R560">
            <v>1.3027161027809813</v>
          </cell>
        </row>
        <row r="561">
          <cell r="A561" t="str">
            <v>L000207</v>
          </cell>
          <cell r="B561">
            <v>6213</v>
          </cell>
          <cell r="C561" t="str">
            <v>PDP</v>
          </cell>
          <cell r="D561" t="str">
            <v>BP ELITE BOB INDUST 400M DH EXT BCA x 2</v>
          </cell>
          <cell r="E561">
            <v>2</v>
          </cell>
          <cell r="I561">
            <v>88.38</v>
          </cell>
          <cell r="J561">
            <v>0.94012058823529399</v>
          </cell>
          <cell r="K561">
            <v>1.1751507352941175</v>
          </cell>
          <cell r="L561">
            <v>2</v>
          </cell>
          <cell r="M561">
            <v>1.305723039215686</v>
          </cell>
          <cell r="N561">
            <v>1.3710091911764704</v>
          </cell>
          <cell r="O561">
            <v>1.5361447520184541</v>
          </cell>
          <cell r="P561">
            <v>1.6897592272202997</v>
          </cell>
          <cell r="Q561">
            <v>3</v>
          </cell>
          <cell r="R561">
            <v>1.9201809400230676</v>
          </cell>
        </row>
        <row r="562">
          <cell r="A562" t="str">
            <v>L000208</v>
          </cell>
          <cell r="B562">
            <v>6214</v>
          </cell>
          <cell r="C562" t="str">
            <v>PDP</v>
          </cell>
          <cell r="D562" t="str">
            <v>BP ELITE BOB INDUST 400M SH BEIGE x 2</v>
          </cell>
          <cell r="E562">
            <v>2</v>
          </cell>
          <cell r="I562">
            <v>64.19</v>
          </cell>
          <cell r="J562">
            <v>0.68280539215686264</v>
          </cell>
          <cell r="K562">
            <v>0.85350674019607831</v>
          </cell>
          <cell r="L562">
            <v>2</v>
          </cell>
          <cell r="M562">
            <v>0.94834082244008699</v>
          </cell>
          <cell r="N562">
            <v>0.99575786356209139</v>
          </cell>
          <cell r="O562">
            <v>1.1156950852236318</v>
          </cell>
          <cell r="P562">
            <v>1.2272645937459952</v>
          </cell>
          <cell r="Q562">
            <v>3</v>
          </cell>
          <cell r="R562">
            <v>1.3946188565295397</v>
          </cell>
        </row>
        <row r="563">
          <cell r="A563" t="str">
            <v>L000209</v>
          </cell>
          <cell r="B563">
            <v>6303</v>
          </cell>
          <cell r="C563" t="str">
            <v>PDP</v>
          </cell>
          <cell r="D563" t="str">
            <v>TO ELITE ATMOS 150 Mts DH PREMIUM X 2</v>
          </cell>
          <cell r="E563">
            <v>2</v>
          </cell>
          <cell r="I563">
            <v>75</v>
          </cell>
          <cell r="J563">
            <v>0.79779411764705888</v>
          </cell>
          <cell r="K563">
            <v>0.99724264705882359</v>
          </cell>
          <cell r="L563">
            <v>2</v>
          </cell>
          <cell r="M563">
            <v>1.108047385620915</v>
          </cell>
          <cell r="N563">
            <v>1.1634497549019607</v>
          </cell>
          <cell r="O563">
            <v>1.3035851595540178</v>
          </cell>
          <cell r="P563">
            <v>1.4339436755094197</v>
          </cell>
          <cell r="Q563">
            <v>3</v>
          </cell>
          <cell r="R563">
            <v>1.629481449442522</v>
          </cell>
        </row>
        <row r="564">
          <cell r="A564" t="str">
            <v>L000210</v>
          </cell>
          <cell r="B564">
            <v>6304</v>
          </cell>
          <cell r="C564" t="str">
            <v>PDP</v>
          </cell>
          <cell r="D564" t="str">
            <v>TO ELITE ATMOS 310 Mts SH PREMIUM X 2</v>
          </cell>
          <cell r="E564">
            <v>2</v>
          </cell>
          <cell r="I564">
            <v>81.93</v>
          </cell>
          <cell r="J564">
            <v>0.87151029411764713</v>
          </cell>
          <cell r="K564">
            <v>1.0893878676470587</v>
          </cell>
          <cell r="L564">
            <v>2</v>
          </cell>
          <cell r="M564">
            <v>1.2104309640522875</v>
          </cell>
          <cell r="N564">
            <v>1.2709525122549019</v>
          </cell>
          <cell r="O564">
            <v>1.4240364282968088</v>
          </cell>
          <cell r="P564">
            <v>1.5664400711264899</v>
          </cell>
          <cell r="Q564">
            <v>3</v>
          </cell>
          <cell r="R564">
            <v>1.780045535371011</v>
          </cell>
        </row>
        <row r="565">
          <cell r="A565" t="str">
            <v>L000211</v>
          </cell>
          <cell r="C565" t="str">
            <v>EZEQUIEL</v>
          </cell>
          <cell r="D565" t="str">
            <v>inyector de lavado DX</v>
          </cell>
          <cell r="E565">
            <v>1</v>
          </cell>
          <cell r="I565">
            <v>100</v>
          </cell>
          <cell r="J565">
            <v>108.5</v>
          </cell>
          <cell r="K565">
            <v>135.625</v>
          </cell>
          <cell r="L565">
            <v>2</v>
          </cell>
          <cell r="M565">
            <v>150.69444444444443</v>
          </cell>
          <cell r="N565">
            <v>158.22916666666666</v>
          </cell>
          <cell r="O565">
            <v>177.28758169934639</v>
          </cell>
          <cell r="P565">
            <v>195.01633986928104</v>
          </cell>
          <cell r="Q565">
            <v>3</v>
          </cell>
          <cell r="R565">
            <v>221.60947712418297</v>
          </cell>
        </row>
        <row r="566">
          <cell r="A566" t="str">
            <v>L000212</v>
          </cell>
          <cell r="C566" t="str">
            <v>EZEQUIEL</v>
          </cell>
          <cell r="D566" t="str">
            <v>T de lavado y T inyector DX</v>
          </cell>
          <cell r="E566">
            <v>1</v>
          </cell>
          <cell r="I566">
            <v>110</v>
          </cell>
          <cell r="J566">
            <v>119.35</v>
          </cell>
          <cell r="K566">
            <v>149.18749999999997</v>
          </cell>
          <cell r="L566">
            <v>2</v>
          </cell>
          <cell r="M566">
            <v>165.76388888888886</v>
          </cell>
          <cell r="N566">
            <v>174.05208333333331</v>
          </cell>
          <cell r="O566">
            <v>195.01633986928101</v>
          </cell>
          <cell r="P566">
            <v>214.51797385620912</v>
          </cell>
          <cell r="Q566">
            <v>3</v>
          </cell>
          <cell r="R566">
            <v>243.77042483660125</v>
          </cell>
        </row>
        <row r="567">
          <cell r="A567" t="str">
            <v>L000213</v>
          </cell>
          <cell r="C567" t="str">
            <v>EZEQUIEL</v>
          </cell>
          <cell r="D567" t="str">
            <v>tapon lavado ordene DX 2,5 "</v>
          </cell>
          <cell r="E567">
            <v>1</v>
          </cell>
          <cell r="I567">
            <v>55</v>
          </cell>
          <cell r="J567">
            <v>59.674999999999997</v>
          </cell>
          <cell r="K567">
            <v>74.593749999999986</v>
          </cell>
          <cell r="L567">
            <v>2</v>
          </cell>
          <cell r="M567">
            <v>82.881944444444429</v>
          </cell>
          <cell r="N567">
            <v>87.026041666666657</v>
          </cell>
          <cell r="O567">
            <v>97.508169934640506</v>
          </cell>
          <cell r="P567">
            <v>107.25898692810456</v>
          </cell>
          <cell r="Q567">
            <v>3</v>
          </cell>
          <cell r="R567">
            <v>121.88521241830063</v>
          </cell>
        </row>
        <row r="568">
          <cell r="A568" t="str">
            <v>L000214</v>
          </cell>
          <cell r="C568" t="str">
            <v>EZEQUIEL</v>
          </cell>
          <cell r="D568" t="str">
            <v>tapon lavado ordene DX 3 "</v>
          </cell>
          <cell r="E568">
            <v>1</v>
          </cell>
          <cell r="I568">
            <v>60</v>
          </cell>
          <cell r="J568">
            <v>65.099999999999994</v>
          </cell>
          <cell r="K568">
            <v>81.374999999999986</v>
          </cell>
          <cell r="L568">
            <v>2</v>
          </cell>
          <cell r="M568">
            <v>90.416666666666643</v>
          </cell>
          <cell r="N568">
            <v>94.937499999999986</v>
          </cell>
          <cell r="O568">
            <v>106.37254901960782</v>
          </cell>
          <cell r="P568">
            <v>117.0098039215686</v>
          </cell>
          <cell r="Q568">
            <v>3</v>
          </cell>
          <cell r="R568">
            <v>132.96568627450975</v>
          </cell>
        </row>
        <row r="569">
          <cell r="A569" t="str">
            <v>L000215</v>
          </cell>
          <cell r="C569" t="str">
            <v>EZEQUIEL</v>
          </cell>
          <cell r="D569" t="str">
            <v>Electrobomba DX trifasica</v>
          </cell>
          <cell r="E569">
            <v>1</v>
          </cell>
          <cell r="I569">
            <v>308</v>
          </cell>
          <cell r="J569">
            <v>334.18</v>
          </cell>
          <cell r="K569">
            <v>417.72499999999997</v>
          </cell>
          <cell r="L569">
            <v>2</v>
          </cell>
          <cell r="M569">
            <v>464.13888888888886</v>
          </cell>
          <cell r="N569">
            <v>487.3458333333333</v>
          </cell>
          <cell r="O569">
            <v>546.04575163398692</v>
          </cell>
          <cell r="P569">
            <v>600.65032679738567</v>
          </cell>
          <cell r="Q569">
            <v>3</v>
          </cell>
          <cell r="R569">
            <v>682.55718954248357</v>
          </cell>
        </row>
        <row r="570">
          <cell r="A570" t="str">
            <v>L000216</v>
          </cell>
          <cell r="C570" t="str">
            <v>EZEQUIEL</v>
          </cell>
          <cell r="D570" t="str">
            <v>Electrobomba DX monofasica</v>
          </cell>
          <cell r="E570">
            <v>1</v>
          </cell>
          <cell r="I570">
            <v>308</v>
          </cell>
          <cell r="J570">
            <v>334.18</v>
          </cell>
          <cell r="K570">
            <v>417.72499999999997</v>
          </cell>
          <cell r="L570">
            <v>2</v>
          </cell>
          <cell r="M570">
            <v>464.13888888888886</v>
          </cell>
          <cell r="N570">
            <v>487.3458333333333</v>
          </cell>
          <cell r="O570">
            <v>546.04575163398692</v>
          </cell>
          <cell r="P570">
            <v>600.65032679738567</v>
          </cell>
          <cell r="Q570">
            <v>3</v>
          </cell>
          <cell r="R570">
            <v>682.55718954248357</v>
          </cell>
        </row>
        <row r="571">
          <cell r="A571" t="str">
            <v>L000217</v>
          </cell>
          <cell r="C571" t="str">
            <v>EZEQUIEL</v>
          </cell>
          <cell r="D571" t="str">
            <v>soporte electrobomba DX</v>
          </cell>
          <cell r="E571">
            <v>1</v>
          </cell>
          <cell r="I571">
            <v>50</v>
          </cell>
          <cell r="J571">
            <v>54.25</v>
          </cell>
          <cell r="K571">
            <v>67.8125</v>
          </cell>
          <cell r="L571">
            <v>2</v>
          </cell>
          <cell r="M571">
            <v>75.347222222222214</v>
          </cell>
          <cell r="N571">
            <v>79.114583333333329</v>
          </cell>
          <cell r="O571">
            <v>88.643790849673195</v>
          </cell>
          <cell r="P571">
            <v>97.50816993464052</v>
          </cell>
          <cell r="Q571">
            <v>3</v>
          </cell>
          <cell r="R571">
            <v>110.80473856209149</v>
          </cell>
        </row>
        <row r="572">
          <cell r="A572" t="str">
            <v>L000218</v>
          </cell>
          <cell r="C572" t="str">
            <v>EZEQUIEL</v>
          </cell>
          <cell r="D572" t="str">
            <v>curva final de caneria DX 2,5 "</v>
          </cell>
          <cell r="E572">
            <v>1</v>
          </cell>
          <cell r="I572">
            <v>40</v>
          </cell>
          <cell r="J572">
            <v>43.4</v>
          </cell>
          <cell r="K572">
            <v>54.249999999999993</v>
          </cell>
          <cell r="L572">
            <v>2</v>
          </cell>
          <cell r="M572">
            <v>60.277777777777771</v>
          </cell>
          <cell r="N572">
            <v>63.291666666666664</v>
          </cell>
          <cell r="O572">
            <v>70.915032679738559</v>
          </cell>
          <cell r="P572">
            <v>78.006535947712422</v>
          </cell>
          <cell r="Q572">
            <v>3</v>
          </cell>
          <cell r="R572">
            <v>88.643790849673195</v>
          </cell>
        </row>
        <row r="573">
          <cell r="A573" t="str">
            <v>L000219</v>
          </cell>
          <cell r="C573" t="str">
            <v>EZEQUIEL</v>
          </cell>
          <cell r="D573" t="str">
            <v>curva final de caneria DX 3 "</v>
          </cell>
          <cell r="E573">
            <v>1</v>
          </cell>
          <cell r="I573">
            <v>50</v>
          </cell>
          <cell r="J573">
            <v>54.25</v>
          </cell>
          <cell r="K573">
            <v>67.8125</v>
          </cell>
          <cell r="L573">
            <v>2</v>
          </cell>
          <cell r="M573">
            <v>75.347222222222214</v>
          </cell>
          <cell r="N573">
            <v>79.114583333333329</v>
          </cell>
          <cell r="O573">
            <v>88.643790849673195</v>
          </cell>
          <cell r="P573">
            <v>97.50816993464052</v>
          </cell>
          <cell r="Q573">
            <v>3</v>
          </cell>
          <cell r="R573">
            <v>110.80473856209149</v>
          </cell>
        </row>
        <row r="574">
          <cell r="A574" t="str">
            <v>L000220</v>
          </cell>
          <cell r="C574" t="str">
            <v>EZEQUIEL</v>
          </cell>
          <cell r="D574" t="str">
            <v>recibidor 55 litros con trampa DX</v>
          </cell>
          <cell r="E574">
            <v>1</v>
          </cell>
          <cell r="I574">
            <v>515</v>
          </cell>
          <cell r="J574">
            <v>558.77499999999998</v>
          </cell>
          <cell r="K574">
            <v>698.46874999999989</v>
          </cell>
          <cell r="L574">
            <v>2</v>
          </cell>
          <cell r="M574">
            <v>776.07638888888869</v>
          </cell>
          <cell r="N574">
            <v>814.88020833333314</v>
          </cell>
          <cell r="O574">
            <v>913.03104575163377</v>
          </cell>
          <cell r="P574">
            <v>1004.3341503267973</v>
          </cell>
          <cell r="Q574">
            <v>3</v>
          </cell>
          <cell r="R574">
            <v>1141.2888071895422</v>
          </cell>
        </row>
        <row r="575">
          <cell r="A575" t="str">
            <v>L000221</v>
          </cell>
          <cell r="B575" t="str">
            <v>F00056</v>
          </cell>
          <cell r="C575" t="str">
            <v>Gialmog</v>
          </cell>
          <cell r="D575" t="str">
            <v>Paños reutilizables lava/seca ubre</v>
          </cell>
          <cell r="E575">
            <v>10</v>
          </cell>
          <cell r="I575">
            <v>16.28</v>
          </cell>
          <cell r="J575">
            <v>0.1731745098039216</v>
          </cell>
          <cell r="K575">
            <v>0.21646813725490199</v>
          </cell>
          <cell r="L575">
            <v>2</v>
          </cell>
          <cell r="M575">
            <v>0.24052015250544664</v>
          </cell>
          <cell r="N575">
            <v>0.25254616013071901</v>
          </cell>
          <cell r="O575">
            <v>0.28296488530052549</v>
          </cell>
          <cell r="P575">
            <v>0.31126137383057806</v>
          </cell>
          <cell r="Q575">
            <v>3</v>
          </cell>
          <cell r="R575">
            <v>0.35370610662565682</v>
          </cell>
        </row>
        <row r="576">
          <cell r="A576" t="str">
            <v>L000222</v>
          </cell>
          <cell r="D576" t="str">
            <v>ALKATAB, 4,5 kgrs</v>
          </cell>
          <cell r="E576">
            <v>4.5</v>
          </cell>
          <cell r="I576" t="e">
            <v>#REF!</v>
          </cell>
          <cell r="J576" t="e">
            <v>#REF!</v>
          </cell>
          <cell r="K576" t="e">
            <v>#REF!</v>
          </cell>
          <cell r="L576">
            <v>3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4</v>
          </cell>
          <cell r="R576" t="e">
            <v>#REF!</v>
          </cell>
        </row>
        <row r="577">
          <cell r="A577" t="str">
            <v>L000223</v>
          </cell>
          <cell r="D577" t="str">
            <v>ACIDTAB, 3 kgrs</v>
          </cell>
          <cell r="E577">
            <v>3</v>
          </cell>
          <cell r="I577" t="e">
            <v>#REF!</v>
          </cell>
          <cell r="J577" t="e">
            <v>#REF!</v>
          </cell>
          <cell r="K577" t="e">
            <v>#REF!</v>
          </cell>
          <cell r="L577">
            <v>2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5</v>
          </cell>
          <cell r="R577" t="e">
            <v>#REF!</v>
          </cell>
        </row>
        <row r="578">
          <cell r="A578" t="str">
            <v>L000224</v>
          </cell>
          <cell r="D578" t="str">
            <v>CHLORTAB, 3 kgrs LB</v>
          </cell>
          <cell r="E578">
            <v>3</v>
          </cell>
          <cell r="I578" t="e">
            <v>#REF!</v>
          </cell>
          <cell r="J578" t="e">
            <v>#REF!</v>
          </cell>
          <cell r="K578" t="e">
            <v>#REF!</v>
          </cell>
          <cell r="L578">
            <v>2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5</v>
          </cell>
          <cell r="R578" t="e">
            <v>#REF!</v>
          </cell>
        </row>
        <row r="579">
          <cell r="A579" t="str">
            <v>L000225</v>
          </cell>
          <cell r="D579" t="str">
            <v>ALKACLOR TAB, 4,5 kgrs</v>
          </cell>
          <cell r="E579">
            <v>4.5</v>
          </cell>
          <cell r="I579" t="e">
            <v>#REF!</v>
          </cell>
          <cell r="J579" t="e">
            <v>#REF!</v>
          </cell>
          <cell r="K579" t="e">
            <v>#REF!</v>
          </cell>
          <cell r="L579">
            <v>2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4</v>
          </cell>
          <cell r="R579" t="e">
            <v>#REF!</v>
          </cell>
        </row>
        <row r="580">
          <cell r="A580" t="str">
            <v>L000226</v>
          </cell>
          <cell r="B580" t="str">
            <v>F00001</v>
          </cell>
          <cell r="C580" t="str">
            <v>Gialmog</v>
          </cell>
          <cell r="D580" t="str">
            <v>Surge 3194 6,5 X 62</v>
          </cell>
          <cell r="E580">
            <v>100</v>
          </cell>
          <cell r="I580">
            <v>47.32</v>
          </cell>
          <cell r="J580">
            <v>0.50335490196078425</v>
          </cell>
          <cell r="K580">
            <v>0.62919362745098029</v>
          </cell>
          <cell r="L580">
            <v>3</v>
          </cell>
          <cell r="M580">
            <v>0.74022779700115326</v>
          </cell>
          <cell r="N580">
            <v>0.77723918685121096</v>
          </cell>
          <cell r="O580">
            <v>0.87085623176606264</v>
          </cell>
          <cell r="P580">
            <v>0.95794185494266892</v>
          </cell>
          <cell r="Q580">
            <v>3</v>
          </cell>
          <cell r="R580">
            <v>1.0885702897075782</v>
          </cell>
        </row>
        <row r="581">
          <cell r="A581" t="str">
            <v>L000227</v>
          </cell>
          <cell r="B581" t="str">
            <v>F00002</v>
          </cell>
          <cell r="C581" t="str">
            <v>Gialmog</v>
          </cell>
          <cell r="D581" t="str">
            <v>FILTRO SURGE 5" 13 X 92</v>
          </cell>
          <cell r="E581">
            <v>100</v>
          </cell>
          <cell r="I581">
            <v>115.89</v>
          </cell>
          <cell r="J581">
            <v>1.2327514705882354</v>
          </cell>
          <cell r="K581">
            <v>1.5409393382352943</v>
          </cell>
          <cell r="L581">
            <v>3</v>
          </cell>
          <cell r="M581">
            <v>1.8128698096885816</v>
          </cell>
          <cell r="N581">
            <v>1.9035133001730107</v>
          </cell>
          <cell r="O581">
            <v>2.1327880113983313</v>
          </cell>
          <cell r="P581">
            <v>2.3460668125381647</v>
          </cell>
          <cell r="Q581">
            <v>3</v>
          </cell>
          <cell r="R581">
            <v>2.665985014247914</v>
          </cell>
        </row>
        <row r="582">
          <cell r="A582" t="str">
            <v>L000228</v>
          </cell>
          <cell r="B582" t="str">
            <v>F00008</v>
          </cell>
          <cell r="C582" t="str">
            <v>Gialmog</v>
          </cell>
          <cell r="D582" t="str">
            <v>N/Pulse 9,5 X 62</v>
          </cell>
          <cell r="E582">
            <v>100</v>
          </cell>
          <cell r="I582">
            <v>51.53</v>
          </cell>
          <cell r="J582">
            <v>0.54813774509803925</v>
          </cell>
          <cell r="K582">
            <v>0.68517218137254898</v>
          </cell>
          <cell r="L582">
            <v>3</v>
          </cell>
          <cell r="M582">
            <v>0.80608491926182235</v>
          </cell>
          <cell r="N582">
            <v>0.84638916522491348</v>
          </cell>
          <cell r="O582">
            <v>0.94833519913155573</v>
          </cell>
          <cell r="P582">
            <v>1.0431687190447114</v>
          </cell>
          <cell r="Q582">
            <v>3</v>
          </cell>
          <cell r="R582">
            <v>1.1854189989144446</v>
          </cell>
        </row>
        <row r="583">
          <cell r="A583" t="str">
            <v>L000229</v>
          </cell>
          <cell r="B583" t="str">
            <v>F00009</v>
          </cell>
          <cell r="C583" t="str">
            <v>Gialmog</v>
          </cell>
          <cell r="D583" t="str">
            <v>FILTRO WESTFALIA  80  8,5 X 80</v>
          </cell>
          <cell r="E583">
            <v>100</v>
          </cell>
          <cell r="I583">
            <v>74.97</v>
          </cell>
          <cell r="J583">
            <v>0.79747500000000004</v>
          </cell>
          <cell r="K583">
            <v>0.99684375000000003</v>
          </cell>
          <cell r="L583">
            <v>3</v>
          </cell>
          <cell r="M583">
            <v>1.1727573529411766</v>
          </cell>
          <cell r="N583">
            <v>1.2313952205882355</v>
          </cell>
          <cell r="O583">
            <v>1.3797145328719724</v>
          </cell>
          <cell r="P583">
            <v>1.5176859861591698</v>
          </cell>
          <cell r="Q583">
            <v>3</v>
          </cell>
          <cell r="R583">
            <v>1.7246431660899655</v>
          </cell>
        </row>
        <row r="584">
          <cell r="A584" t="str">
            <v>L000230</v>
          </cell>
          <cell r="B584" t="str">
            <v>F00010</v>
          </cell>
          <cell r="C584" t="str">
            <v>Gialmog</v>
          </cell>
          <cell r="D584" t="str">
            <v>WAIKATO CORTO 8,5 X 45</v>
          </cell>
          <cell r="E584">
            <v>100</v>
          </cell>
          <cell r="I584">
            <v>34.83</v>
          </cell>
          <cell r="J584">
            <v>0.3704955882352941</v>
          </cell>
          <cell r="K584">
            <v>0.46311948529411762</v>
          </cell>
          <cell r="L584">
            <v>3</v>
          </cell>
          <cell r="M584">
            <v>0.54484645328719716</v>
          </cell>
          <cell r="N584">
            <v>0.57208877595155705</v>
          </cell>
          <cell r="O584">
            <v>0.64099582739670258</v>
          </cell>
          <cell r="P584">
            <v>0.70509541013637289</v>
          </cell>
          <cell r="Q584">
            <v>3</v>
          </cell>
          <cell r="R584">
            <v>0.80124478424587819</v>
          </cell>
        </row>
        <row r="585">
          <cell r="A585" t="str">
            <v>L000231</v>
          </cell>
          <cell r="B585" t="str">
            <v>F00011</v>
          </cell>
          <cell r="C585" t="str">
            <v>Gialmog</v>
          </cell>
          <cell r="D585" t="str">
            <v>Filtro especial 12,5x 85</v>
          </cell>
          <cell r="E585">
            <v>100</v>
          </cell>
          <cell r="I585">
            <v>100.63</v>
          </cell>
          <cell r="J585">
            <v>1.0704269607843138</v>
          </cell>
          <cell r="K585">
            <v>1.3380337009803922</v>
          </cell>
          <cell r="L585">
            <v>3</v>
          </cell>
          <cell r="M585">
            <v>1.5741572952710496</v>
          </cell>
          <cell r="N585">
            <v>1.6528651600346023</v>
          </cell>
          <cell r="O585">
            <v>1.8519497591424114</v>
          </cell>
          <cell r="P585">
            <v>2.0371447350566529</v>
          </cell>
          <cell r="Q585">
            <v>3</v>
          </cell>
          <cell r="R585">
            <v>2.3149371989280141</v>
          </cell>
        </row>
        <row r="586">
          <cell r="A586" t="str">
            <v>L000232</v>
          </cell>
          <cell r="B586" t="str">
            <v>F00012</v>
          </cell>
          <cell r="C586" t="str">
            <v>Gialmog</v>
          </cell>
          <cell r="D586" t="str">
            <v>Westfalia corto  6,5x45</v>
          </cell>
          <cell r="E586">
            <v>100</v>
          </cell>
          <cell r="I586">
            <v>28.04</v>
          </cell>
          <cell r="J586">
            <v>0.29826862745098037</v>
          </cell>
          <cell r="K586">
            <v>0.37283578431372544</v>
          </cell>
          <cell r="L586">
            <v>3</v>
          </cell>
          <cell r="M586">
            <v>0.43863033448673583</v>
          </cell>
          <cell r="N586">
            <v>0.46056185121107263</v>
          </cell>
          <cell r="O586">
            <v>0.51603568763145391</v>
          </cell>
          <cell r="P586">
            <v>0.56763925639459933</v>
          </cell>
          <cell r="Q586">
            <v>3</v>
          </cell>
          <cell r="R586">
            <v>0.6450446095393173</v>
          </cell>
        </row>
        <row r="587">
          <cell r="A587" t="str">
            <v>L000233</v>
          </cell>
          <cell r="B587" t="str">
            <v>F00014</v>
          </cell>
          <cell r="C587" t="str">
            <v>Gialmog</v>
          </cell>
          <cell r="D587" t="str">
            <v>Filtro Jumbo 15x61</v>
          </cell>
          <cell r="E587">
            <v>100</v>
          </cell>
          <cell r="I587">
            <v>91.29</v>
          </cell>
          <cell r="J587">
            <v>0.97107500000000002</v>
          </cell>
          <cell r="K587">
            <v>1.2138437499999999</v>
          </cell>
          <cell r="L587">
            <v>3</v>
          </cell>
          <cell r="M587">
            <v>1.4280514705882352</v>
          </cell>
          <cell r="N587">
            <v>1.4994540441176472</v>
          </cell>
          <cell r="O587">
            <v>1.680060553633218</v>
          </cell>
          <cell r="P587">
            <v>1.8480666089965401</v>
          </cell>
          <cell r="Q587">
            <v>3</v>
          </cell>
          <cell r="R587">
            <v>2.1000756920415222</v>
          </cell>
        </row>
        <row r="588">
          <cell r="A588" t="str">
            <v>L000234</v>
          </cell>
          <cell r="B588" t="str">
            <v>F00015</v>
          </cell>
          <cell r="C588" t="str">
            <v>Gialmog</v>
          </cell>
          <cell r="D588" t="str">
            <v>Rodeg 9,5 x 66</v>
          </cell>
          <cell r="E588">
            <v>100</v>
          </cell>
          <cell r="I588">
            <v>49.92</v>
          </cell>
          <cell r="J588">
            <v>0.53101176470588241</v>
          </cell>
          <cell r="K588">
            <v>0.66376470588235292</v>
          </cell>
          <cell r="L588">
            <v>3</v>
          </cell>
          <cell r="M588">
            <v>0.78089965397923877</v>
          </cell>
          <cell r="N588">
            <v>0.81994463667820072</v>
          </cell>
          <cell r="O588">
            <v>0.91870547526969271</v>
          </cell>
          <cell r="P588">
            <v>1.010576022796662</v>
          </cell>
          <cell r="Q588">
            <v>3</v>
          </cell>
          <cell r="R588">
            <v>1.1483818440871159</v>
          </cell>
        </row>
        <row r="589">
          <cell r="A589" t="str">
            <v>L000235</v>
          </cell>
          <cell r="B589" t="str">
            <v>F00016</v>
          </cell>
          <cell r="C589" t="str">
            <v>Gialmog</v>
          </cell>
          <cell r="D589" t="str">
            <v>WAIKATO  LARGO 8,5 X 62</v>
          </cell>
          <cell r="E589">
            <v>100</v>
          </cell>
          <cell r="I589">
            <v>45.87</v>
          </cell>
          <cell r="J589">
            <v>0.48793088235294113</v>
          </cell>
          <cell r="K589">
            <v>0.60991360294117636</v>
          </cell>
          <cell r="L589">
            <v>3</v>
          </cell>
          <cell r="M589">
            <v>0.71754541522491333</v>
          </cell>
          <cell r="N589">
            <v>0.75342268598615902</v>
          </cell>
          <cell r="O589">
            <v>0.84417107673519221</v>
          </cell>
          <cell r="P589">
            <v>0.92858818440871149</v>
          </cell>
          <cell r="Q589">
            <v>3</v>
          </cell>
          <cell r="R589">
            <v>1.0552138459189901</v>
          </cell>
        </row>
        <row r="590">
          <cell r="A590" t="str">
            <v>L000236</v>
          </cell>
          <cell r="B590" t="str">
            <v>F00017</v>
          </cell>
          <cell r="C590" t="str">
            <v>Gialmog</v>
          </cell>
          <cell r="D590" t="str">
            <v>Boumatic 4 " RODEG ESPECIAL 15,5 X 106</v>
          </cell>
          <cell r="E590">
            <v>100</v>
          </cell>
          <cell r="J590">
            <v>8058</v>
          </cell>
          <cell r="K590">
            <v>10072.5</v>
          </cell>
          <cell r="L590">
            <v>2</v>
          </cell>
          <cell r="M590">
            <v>11191.666666666666</v>
          </cell>
          <cell r="N590">
            <v>11751.25</v>
          </cell>
          <cell r="O590">
            <v>13166.666666666666</v>
          </cell>
          <cell r="P590">
            <v>14483.333333333334</v>
          </cell>
          <cell r="Q590">
            <v>3</v>
          </cell>
          <cell r="R590">
            <v>16458.333333333332</v>
          </cell>
        </row>
        <row r="591">
          <cell r="A591" t="str">
            <v>L000237</v>
          </cell>
          <cell r="C591" t="str">
            <v>ferreteria</v>
          </cell>
          <cell r="D591" t="str">
            <v>cano galvanizado por 1 metro</v>
          </cell>
          <cell r="E591">
            <v>1</v>
          </cell>
          <cell r="I591">
            <v>35</v>
          </cell>
          <cell r="J591">
            <v>0.37230392156862746</v>
          </cell>
          <cell r="K591">
            <v>0.46537990196078433</v>
          </cell>
          <cell r="L591">
            <v>3</v>
          </cell>
          <cell r="M591">
            <v>0.54750576701268749</v>
          </cell>
          <cell r="N591">
            <v>0.5748810553633219</v>
          </cell>
          <cell r="O591">
            <v>0.64412443177963241</v>
          </cell>
          <cell r="P591">
            <v>0.70853687495759576</v>
          </cell>
          <cell r="Q591">
            <v>3</v>
          </cell>
          <cell r="R591">
            <v>0.80515553972454046</v>
          </cell>
        </row>
        <row r="592">
          <cell r="A592" t="str">
            <v>L000238</v>
          </cell>
          <cell r="C592" t="str">
            <v>Abate</v>
          </cell>
          <cell r="D592" t="str">
            <v>pasador en cruz para 1,5 "</v>
          </cell>
          <cell r="E592">
            <v>1</v>
          </cell>
          <cell r="I592">
            <v>200</v>
          </cell>
          <cell r="J592">
            <v>2.1274509803921569</v>
          </cell>
          <cell r="K592">
            <v>2.659313725490196</v>
          </cell>
          <cell r="L592">
            <v>3</v>
          </cell>
          <cell r="M592">
            <v>3.1286043829296424</v>
          </cell>
          <cell r="N592">
            <v>3.2850346020761245</v>
          </cell>
          <cell r="O592">
            <v>3.680711038740756</v>
          </cell>
          <cell r="P592">
            <v>4.048782142614832</v>
          </cell>
          <cell r="Q592">
            <v>3</v>
          </cell>
          <cell r="R592">
            <v>4.6008887984259443</v>
          </cell>
        </row>
        <row r="593">
          <cell r="A593" t="str">
            <v>L000239</v>
          </cell>
          <cell r="C593" t="str">
            <v>abrafer</v>
          </cell>
          <cell r="D593" t="str">
            <v>abrazadera inoxidable 63/75 mm</v>
          </cell>
          <cell r="E593">
            <v>1</v>
          </cell>
          <cell r="I593">
            <v>100</v>
          </cell>
          <cell r="J593">
            <v>1.0637254901960784</v>
          </cell>
          <cell r="K593">
            <v>1.329656862745098</v>
          </cell>
          <cell r="L593">
            <v>3</v>
          </cell>
          <cell r="M593">
            <v>1.5643021914648212</v>
          </cell>
          <cell r="N593">
            <v>1.6425173010380623</v>
          </cell>
          <cell r="O593">
            <v>1.840355519370378</v>
          </cell>
          <cell r="P593">
            <v>2.024391071307416</v>
          </cell>
          <cell r="Q593">
            <v>3</v>
          </cell>
          <cell r="R593">
            <v>2.3004443992129722</v>
          </cell>
        </row>
        <row r="594">
          <cell r="A594" t="str">
            <v>L000240</v>
          </cell>
          <cell r="C594" t="str">
            <v>EZEQUIEL</v>
          </cell>
          <cell r="D594" t="str">
            <v>soporte de acero inox de 2,5 "</v>
          </cell>
          <cell r="E594">
            <v>1</v>
          </cell>
          <cell r="I594">
            <v>130</v>
          </cell>
          <cell r="J594">
            <v>1.3828431372549017</v>
          </cell>
          <cell r="K594">
            <v>1.728553921568627</v>
          </cell>
          <cell r="L594">
            <v>3</v>
          </cell>
          <cell r="M594">
            <v>2.0335928489042669</v>
          </cell>
          <cell r="N594">
            <v>2.1352724913494803</v>
          </cell>
          <cell r="O594">
            <v>2.3924621751814907</v>
          </cell>
          <cell r="P594">
            <v>2.6317083926996401</v>
          </cell>
          <cell r="Q594">
            <v>3</v>
          </cell>
          <cell r="R594">
            <v>2.9905777189768634</v>
          </cell>
        </row>
        <row r="595">
          <cell r="A595" t="str">
            <v>L000241</v>
          </cell>
          <cell r="C595" t="str">
            <v>EZEQUIEL</v>
          </cell>
          <cell r="D595" t="str">
            <v>soporte de acero inox de 3 "</v>
          </cell>
          <cell r="E595">
            <v>1</v>
          </cell>
          <cell r="I595">
            <v>140</v>
          </cell>
          <cell r="J595">
            <v>1.4892156862745098</v>
          </cell>
          <cell r="K595">
            <v>1.8615196078431373</v>
          </cell>
          <cell r="L595">
            <v>3</v>
          </cell>
          <cell r="M595">
            <v>2.19002306805075</v>
          </cell>
          <cell r="N595">
            <v>2.2995242214532876</v>
          </cell>
          <cell r="O595">
            <v>2.5764977271185296</v>
          </cell>
          <cell r="P595">
            <v>2.8341474998303831</v>
          </cell>
          <cell r="Q595">
            <v>3</v>
          </cell>
          <cell r="R595">
            <v>3.2206221588981618</v>
          </cell>
        </row>
        <row r="596">
          <cell r="A596" t="str">
            <v>L000242</v>
          </cell>
          <cell r="C596" t="str">
            <v>EZEQUIEL</v>
          </cell>
          <cell r="D596" t="str">
            <v>Trombon para equipo unilinea de 2,5 "</v>
          </cell>
          <cell r="E596">
            <v>1</v>
          </cell>
          <cell r="I596">
            <v>150</v>
          </cell>
          <cell r="J596">
            <v>1.5955882352941178</v>
          </cell>
          <cell r="K596">
            <v>1.9944852941176472</v>
          </cell>
          <cell r="L596">
            <v>2</v>
          </cell>
          <cell r="M596">
            <v>2.21609477124183</v>
          </cell>
          <cell r="N596">
            <v>2.3268995098039214</v>
          </cell>
          <cell r="O596">
            <v>2.6071703191080355</v>
          </cell>
          <cell r="P596">
            <v>2.8678873510188394</v>
          </cell>
          <cell r="Q596">
            <v>3</v>
          </cell>
          <cell r="R596">
            <v>3.2589628988850441</v>
          </cell>
        </row>
        <row r="597">
          <cell r="A597" t="str">
            <v>L000243</v>
          </cell>
          <cell r="C597" t="str">
            <v>EZEQUIEL</v>
          </cell>
          <cell r="D597" t="str">
            <v>Trombon para equipo unilinea de 3 "</v>
          </cell>
          <cell r="E597">
            <v>1</v>
          </cell>
          <cell r="I597">
            <v>200</v>
          </cell>
          <cell r="J597">
            <v>2.1274509803921569</v>
          </cell>
          <cell r="K597">
            <v>2.659313725490196</v>
          </cell>
          <cell r="L597">
            <v>2</v>
          </cell>
          <cell r="M597">
            <v>2.95479302832244</v>
          </cell>
          <cell r="N597">
            <v>3.1025326797385619</v>
          </cell>
          <cell r="O597">
            <v>3.4762270921440472</v>
          </cell>
          <cell r="P597">
            <v>3.8238498013584521</v>
          </cell>
          <cell r="Q597">
            <v>3</v>
          </cell>
          <cell r="R597">
            <v>4.3452838651800585</v>
          </cell>
        </row>
        <row r="598">
          <cell r="A598" t="str">
            <v>L000244</v>
          </cell>
          <cell r="C598" t="str">
            <v>EZEQUIEL</v>
          </cell>
          <cell r="D598" t="str">
            <v>T de lavado para tapones e injector DX 2,5 "</v>
          </cell>
          <cell r="E598">
            <v>1</v>
          </cell>
          <cell r="I598">
            <v>150</v>
          </cell>
          <cell r="J598">
            <v>1.5955882352941178</v>
          </cell>
          <cell r="K598">
            <v>1.9944852941176472</v>
          </cell>
          <cell r="L598">
            <v>2</v>
          </cell>
          <cell r="M598">
            <v>2.21609477124183</v>
          </cell>
          <cell r="N598">
            <v>2.3268995098039214</v>
          </cell>
          <cell r="O598">
            <v>2.6071703191080355</v>
          </cell>
          <cell r="P598">
            <v>2.8678873510188394</v>
          </cell>
          <cell r="Q598">
            <v>3</v>
          </cell>
          <cell r="R598">
            <v>3.2589628988850441</v>
          </cell>
        </row>
        <row r="599">
          <cell r="A599" t="str">
            <v>L000245</v>
          </cell>
          <cell r="C599" t="str">
            <v>EZEQUIEL</v>
          </cell>
          <cell r="D599" t="str">
            <v>T de lavado para tapones e injector DX 3 "</v>
          </cell>
          <cell r="E599">
            <v>1</v>
          </cell>
          <cell r="I599">
            <v>160</v>
          </cell>
          <cell r="J599">
            <v>1.7019607843137254</v>
          </cell>
          <cell r="K599">
            <v>2.1274509803921569</v>
          </cell>
          <cell r="L599">
            <v>2</v>
          </cell>
          <cell r="M599">
            <v>2.363834422657952</v>
          </cell>
          <cell r="N599">
            <v>2.4820261437908497</v>
          </cell>
          <cell r="O599">
            <v>2.7809816737152375</v>
          </cell>
          <cell r="P599">
            <v>3.0590798410867617</v>
          </cell>
          <cell r="Q599">
            <v>3</v>
          </cell>
          <cell r="R599">
            <v>3.4762270921440468</v>
          </cell>
        </row>
        <row r="600">
          <cell r="A600" t="str">
            <v>L000246</v>
          </cell>
          <cell r="B600" t="str">
            <v>F00106</v>
          </cell>
          <cell r="C600" t="str">
            <v>Gialmog</v>
          </cell>
          <cell r="D600" t="str">
            <v>cepillo lava colector</v>
          </cell>
          <cell r="E600">
            <v>1</v>
          </cell>
          <cell r="I600">
            <v>6.71</v>
          </cell>
          <cell r="J600">
            <v>7.1375980392156854E-2</v>
          </cell>
          <cell r="K600">
            <v>8.9219975490196057E-2</v>
          </cell>
          <cell r="L600">
            <v>2</v>
          </cell>
          <cell r="M600">
            <v>9.9133306100217838E-2</v>
          </cell>
          <cell r="N600">
            <v>0.10408997140522873</v>
          </cell>
          <cell r="O600">
            <v>0.11662741894143275</v>
          </cell>
          <cell r="P600">
            <v>0.12829016083557604</v>
          </cell>
          <cell r="Q600">
            <v>3</v>
          </cell>
          <cell r="R600">
            <v>0.14578427367679092</v>
          </cell>
        </row>
        <row r="601">
          <cell r="A601" t="str">
            <v>L000247</v>
          </cell>
          <cell r="B601" t="str">
            <v>F00107</v>
          </cell>
          <cell r="C601" t="str">
            <v>Gialmog</v>
          </cell>
          <cell r="D601" t="str">
            <v>cepillo lava pezonera</v>
          </cell>
          <cell r="E601">
            <v>1</v>
          </cell>
          <cell r="I601">
            <v>14.14</v>
          </cell>
          <cell r="J601">
            <v>0.15041078431372551</v>
          </cell>
          <cell r="K601">
            <v>0.18801348039215687</v>
          </cell>
          <cell r="L601">
            <v>2</v>
          </cell>
          <cell r="M601">
            <v>0.20890386710239653</v>
          </cell>
          <cell r="N601">
            <v>0.21934906045751637</v>
          </cell>
          <cell r="O601">
            <v>0.24576925541458416</v>
          </cell>
          <cell r="P601">
            <v>0.27034618095604263</v>
          </cell>
          <cell r="Q601">
            <v>3</v>
          </cell>
          <cell r="R601">
            <v>0.30721156926823018</v>
          </cell>
        </row>
        <row r="602">
          <cell r="A602" t="str">
            <v>L000248</v>
          </cell>
          <cell r="B602" t="str">
            <v>F00108</v>
          </cell>
          <cell r="C602" t="str">
            <v>Gialmog</v>
          </cell>
          <cell r="D602" t="str">
            <v>cepillo lava pezonera reforzado</v>
          </cell>
          <cell r="E602">
            <v>1</v>
          </cell>
          <cell r="I602">
            <v>16.72</v>
          </cell>
          <cell r="J602">
            <v>0.1778549019607843</v>
          </cell>
          <cell r="K602">
            <v>0.22231862745098036</v>
          </cell>
          <cell r="L602">
            <v>2</v>
          </cell>
          <cell r="M602">
            <v>0.24702069716775593</v>
          </cell>
          <cell r="N602">
            <v>0.25937173202614372</v>
          </cell>
          <cell r="O602">
            <v>0.29061258490324227</v>
          </cell>
          <cell r="P602">
            <v>0.31967384339356653</v>
          </cell>
          <cell r="Q602">
            <v>3</v>
          </cell>
          <cell r="R602">
            <v>0.3632657311290528</v>
          </cell>
        </row>
        <row r="603">
          <cell r="A603" t="str">
            <v>L000249</v>
          </cell>
          <cell r="B603" t="str">
            <v>F00109</v>
          </cell>
          <cell r="C603" t="str">
            <v>Gialmog</v>
          </cell>
          <cell r="D603" t="str">
            <v>cepillo lava manguera (baqueta) 25 mm x 2,5 m</v>
          </cell>
          <cell r="E603">
            <v>1</v>
          </cell>
          <cell r="I603">
            <v>14.19</v>
          </cell>
          <cell r="J603">
            <v>0.15094264705882351</v>
          </cell>
          <cell r="K603">
            <v>0.18867830882352937</v>
          </cell>
          <cell r="L603">
            <v>2</v>
          </cell>
          <cell r="M603">
            <v>0.20964256535947706</v>
          </cell>
          <cell r="N603">
            <v>0.22012469362745093</v>
          </cell>
          <cell r="O603">
            <v>0.24663831218762008</v>
          </cell>
          <cell r="P603">
            <v>0.27130214340638209</v>
          </cell>
          <cell r="Q603">
            <v>3</v>
          </cell>
          <cell r="R603">
            <v>0.30829789023452508</v>
          </cell>
        </row>
        <row r="604">
          <cell r="A604" t="str">
            <v>L000250</v>
          </cell>
          <cell r="B604" t="str">
            <v>F00110</v>
          </cell>
          <cell r="C604" t="str">
            <v>Gialmog</v>
          </cell>
          <cell r="D604" t="str">
            <v>cepillo lava manguera x 7 m</v>
          </cell>
          <cell r="E604">
            <v>1</v>
          </cell>
          <cell r="I604">
            <v>13.53</v>
          </cell>
          <cell r="J604">
            <v>0.1439220588235294</v>
          </cell>
          <cell r="K604">
            <v>0.17990257352941175</v>
          </cell>
          <cell r="L604">
            <v>2</v>
          </cell>
          <cell r="M604">
            <v>0.19989174836601303</v>
          </cell>
          <cell r="N604">
            <v>0.2098863357843137</v>
          </cell>
          <cell r="O604">
            <v>0.23516676278354476</v>
          </cell>
          <cell r="P604">
            <v>0.25868343906189928</v>
          </cell>
          <cell r="Q604">
            <v>3</v>
          </cell>
          <cell r="R604">
            <v>0.29395845347943095</v>
          </cell>
        </row>
        <row r="605">
          <cell r="A605" t="str">
            <v>L000251</v>
          </cell>
          <cell r="B605" t="str">
            <v>F00117</v>
          </cell>
          <cell r="C605" t="str">
            <v>Gialmog</v>
          </cell>
          <cell r="D605" t="str">
            <v>cepillo lava tarro con mango</v>
          </cell>
          <cell r="E605">
            <v>1</v>
          </cell>
          <cell r="I605">
            <v>11.77</v>
          </cell>
          <cell r="J605">
            <v>0.12520049019607843</v>
          </cell>
          <cell r="K605">
            <v>0.15650061274509802</v>
          </cell>
          <cell r="L605">
            <v>2</v>
          </cell>
          <cell r="M605">
            <v>0.17388956971677558</v>
          </cell>
          <cell r="N605">
            <v>0.18258404820261437</v>
          </cell>
          <cell r="O605">
            <v>0.20457596437267717</v>
          </cell>
          <cell r="P605">
            <v>0.22503356080994491</v>
          </cell>
          <cell r="Q605">
            <v>3</v>
          </cell>
          <cell r="R605">
            <v>0.25571995546584642</v>
          </cell>
        </row>
        <row r="606">
          <cell r="A606" t="str">
            <v>L000252</v>
          </cell>
          <cell r="B606" t="str">
            <v>F00118</v>
          </cell>
          <cell r="C606" t="str">
            <v>Gialmog</v>
          </cell>
          <cell r="D606" t="str">
            <v>cepillo lava tarro plano</v>
          </cell>
          <cell r="E606">
            <v>1</v>
          </cell>
          <cell r="I606">
            <v>19</v>
          </cell>
          <cell r="J606">
            <v>0.20210784313725488</v>
          </cell>
          <cell r="K606">
            <v>0.25263480392156856</v>
          </cell>
          <cell r="L606">
            <v>2</v>
          </cell>
          <cell r="M606">
            <v>0.28070533769063172</v>
          </cell>
          <cell r="N606">
            <v>0.29474060457516332</v>
          </cell>
          <cell r="O606">
            <v>0.3302415737536844</v>
          </cell>
          <cell r="P606">
            <v>0.36326573112905286</v>
          </cell>
          <cell r="Q606">
            <v>3</v>
          </cell>
          <cell r="R606">
            <v>0.41280196719210549</v>
          </cell>
        </row>
        <row r="607">
          <cell r="A607" t="str">
            <v>L000253</v>
          </cell>
          <cell r="B607" t="str">
            <v>F00119</v>
          </cell>
          <cell r="C607" t="str">
            <v>Gialmog</v>
          </cell>
          <cell r="D607" t="str">
            <v>cepillo barrendero</v>
          </cell>
          <cell r="E607">
            <v>1</v>
          </cell>
          <cell r="I607">
            <v>20.46</v>
          </cell>
          <cell r="J607">
            <v>0.21763823529411766</v>
          </cell>
          <cell r="K607">
            <v>0.27204779411764707</v>
          </cell>
          <cell r="L607">
            <v>2</v>
          </cell>
          <cell r="M607">
            <v>0.30227532679738561</v>
          </cell>
          <cell r="N607">
            <v>0.31738909313725489</v>
          </cell>
          <cell r="O607">
            <v>0.35561803152633603</v>
          </cell>
          <cell r="P607">
            <v>0.39117983467896966</v>
          </cell>
          <cell r="Q607">
            <v>3</v>
          </cell>
          <cell r="R607">
            <v>0.44452253940792003</v>
          </cell>
        </row>
        <row r="608">
          <cell r="A608" t="str">
            <v>L000254</v>
          </cell>
          <cell r="B608" t="str">
            <v>F00114</v>
          </cell>
          <cell r="C608" t="str">
            <v>Gialmog</v>
          </cell>
          <cell r="D608" t="str">
            <v>baqueta de 51 mm x 7m lava caneria</v>
          </cell>
          <cell r="E608">
            <v>1</v>
          </cell>
          <cell r="I608">
            <v>27</v>
          </cell>
          <cell r="J608">
            <v>0.28720588235294114</v>
          </cell>
          <cell r="K608">
            <v>0.35900735294117642</v>
          </cell>
          <cell r="L608">
            <v>2</v>
          </cell>
          <cell r="M608">
            <v>0.39889705882352933</v>
          </cell>
          <cell r="N608">
            <v>0.41884191176470581</v>
          </cell>
          <cell r="O608">
            <v>0.46929065743944626</v>
          </cell>
          <cell r="P608">
            <v>0.51621972318339093</v>
          </cell>
          <cell r="Q608">
            <v>3</v>
          </cell>
          <cell r="R608">
            <v>0.58661332179930781</v>
          </cell>
        </row>
        <row r="609">
          <cell r="A609" t="str">
            <v>L000255</v>
          </cell>
          <cell r="B609" t="str">
            <v>F00123</v>
          </cell>
          <cell r="C609" t="str">
            <v>Gialmog</v>
          </cell>
          <cell r="D609" t="str">
            <v>cepillo para boca de tanque</v>
          </cell>
          <cell r="E609">
            <v>1</v>
          </cell>
          <cell r="I609">
            <v>11.55</v>
          </cell>
          <cell r="J609">
            <v>0.12286029411764707</v>
          </cell>
          <cell r="K609">
            <v>0.15357536764705881</v>
          </cell>
          <cell r="L609">
            <v>2</v>
          </cell>
          <cell r="M609">
            <v>0.17063929738562089</v>
          </cell>
          <cell r="N609">
            <v>0.17917126225490193</v>
          </cell>
          <cell r="O609">
            <v>0.2007521145713187</v>
          </cell>
          <cell r="P609">
            <v>0.22082732602845059</v>
          </cell>
          <cell r="Q609">
            <v>3</v>
          </cell>
          <cell r="R609">
            <v>0.25094014321414837</v>
          </cell>
        </row>
        <row r="610">
          <cell r="A610" t="str">
            <v>L000256</v>
          </cell>
          <cell r="C610" t="str">
            <v>David</v>
          </cell>
          <cell r="D610" t="str">
            <v>Plaqueta de control electrobomba temporizada retardada con control de sensibilidad.</v>
          </cell>
          <cell r="E610">
            <v>1</v>
          </cell>
          <cell r="I610">
            <v>160</v>
          </cell>
          <cell r="J610">
            <v>1.7019607843137254</v>
          </cell>
          <cell r="K610">
            <v>2.1274509803921569</v>
          </cell>
          <cell r="L610">
            <v>2</v>
          </cell>
          <cell r="M610">
            <v>2.363834422657952</v>
          </cell>
          <cell r="N610">
            <v>2.4820261437908497</v>
          </cell>
          <cell r="O610">
            <v>2.7809816737152375</v>
          </cell>
          <cell r="P610">
            <v>3.0590798410867617</v>
          </cell>
          <cell r="Q610">
            <v>3</v>
          </cell>
          <cell r="R610">
            <v>3.4762270921440468</v>
          </cell>
        </row>
        <row r="611">
          <cell r="A611" t="str">
            <v>L000257</v>
          </cell>
          <cell r="C611" t="str">
            <v>David</v>
          </cell>
          <cell r="D611" t="str">
            <v>Plaqueta de control de inyección de aire</v>
          </cell>
          <cell r="E611">
            <v>1</v>
          </cell>
          <cell r="I611">
            <v>160</v>
          </cell>
          <cell r="J611">
            <v>1.7019607843137254</v>
          </cell>
          <cell r="K611">
            <v>2.1274509803921569</v>
          </cell>
          <cell r="L611">
            <v>2</v>
          </cell>
          <cell r="M611">
            <v>2.363834422657952</v>
          </cell>
          <cell r="N611">
            <v>2.4820261437908497</v>
          </cell>
          <cell r="O611">
            <v>2.7809816737152375</v>
          </cell>
          <cell r="P611">
            <v>3.0590798410867617</v>
          </cell>
          <cell r="Q611">
            <v>3</v>
          </cell>
          <cell r="R611">
            <v>3.4762270921440468</v>
          </cell>
        </row>
        <row r="612">
          <cell r="A612" t="str">
            <v>L000258</v>
          </cell>
          <cell r="C612" t="str">
            <v>David</v>
          </cell>
          <cell r="D612" t="str">
            <v>Temporizador cíclico</v>
          </cell>
          <cell r="E612">
            <v>1</v>
          </cell>
          <cell r="I612">
            <v>98</v>
          </cell>
          <cell r="J612">
            <v>1.0424509803921569</v>
          </cell>
          <cell r="K612">
            <v>1.303063725490196</v>
          </cell>
          <cell r="L612">
            <v>2</v>
          </cell>
          <cell r="M612">
            <v>1.4478485838779955</v>
          </cell>
          <cell r="N612">
            <v>1.5202410130718953</v>
          </cell>
          <cell r="O612">
            <v>1.703351275150583</v>
          </cell>
          <cell r="P612">
            <v>1.8736864026656415</v>
          </cell>
          <cell r="Q612">
            <v>3</v>
          </cell>
          <cell r="R612">
            <v>2.1291890939382285</v>
          </cell>
        </row>
        <row r="613">
          <cell r="A613" t="str">
            <v>L000259</v>
          </cell>
          <cell r="C613" t="str">
            <v>David</v>
          </cell>
          <cell r="D613" t="str">
            <v>Retardador de arranque</v>
          </cell>
          <cell r="E613">
            <v>1</v>
          </cell>
          <cell r="I613">
            <v>78</v>
          </cell>
          <cell r="J613">
            <v>0.82970588235294118</v>
          </cell>
          <cell r="K613">
            <v>1.0371323529411764</v>
          </cell>
          <cell r="L613">
            <v>2</v>
          </cell>
          <cell r="M613">
            <v>1.1523692810457515</v>
          </cell>
          <cell r="N613">
            <v>1.2099877450980392</v>
          </cell>
          <cell r="O613">
            <v>1.3557285659361784</v>
          </cell>
          <cell r="P613">
            <v>1.4913014225297965</v>
          </cell>
          <cell r="Q613">
            <v>3</v>
          </cell>
          <cell r="R613">
            <v>1.6946607074202229</v>
          </cell>
        </row>
        <row r="614">
          <cell r="A614" t="str">
            <v>L000260</v>
          </cell>
          <cell r="C614" t="str">
            <v>David</v>
          </cell>
          <cell r="D614" t="str">
            <v>Plaqueta pulsador 4 canales Master</v>
          </cell>
          <cell r="E614">
            <v>1</v>
          </cell>
          <cell r="I614">
            <v>250</v>
          </cell>
          <cell r="J614">
            <v>2.659313725490196</v>
          </cell>
          <cell r="K614">
            <v>3.3241421568627447</v>
          </cell>
          <cell r="L614">
            <v>2</v>
          </cell>
          <cell r="M614">
            <v>3.6934912854030495</v>
          </cell>
          <cell r="N614">
            <v>3.8781658496732021</v>
          </cell>
          <cell r="O614">
            <v>4.3452838651800585</v>
          </cell>
          <cell r="P614">
            <v>4.7798122516980648</v>
          </cell>
          <cell r="Q614">
            <v>3</v>
          </cell>
          <cell r="R614">
            <v>5.4316048314750729</v>
          </cell>
        </row>
        <row r="615">
          <cell r="A615" t="str">
            <v>L000261</v>
          </cell>
          <cell r="C615" t="str">
            <v>David</v>
          </cell>
          <cell r="D615" t="str">
            <v>Plaqueta pulsador 4 canales Esclavo</v>
          </cell>
          <cell r="E615">
            <v>1</v>
          </cell>
          <cell r="I615">
            <v>230</v>
          </cell>
          <cell r="J615">
            <v>2.4465686274509801</v>
          </cell>
          <cell r="K615">
            <v>3.058210784313725</v>
          </cell>
          <cell r="L615">
            <v>2</v>
          </cell>
          <cell r="M615">
            <v>3.3980119825708055</v>
          </cell>
          <cell r="N615">
            <v>3.5679125816993458</v>
          </cell>
          <cell r="O615">
            <v>3.9976611559656536</v>
          </cell>
          <cell r="P615">
            <v>4.3974272715622194</v>
          </cell>
          <cell r="Q615">
            <v>3</v>
          </cell>
          <cell r="R615">
            <v>4.9970764449570666</v>
          </cell>
        </row>
        <row r="616">
          <cell r="A616" t="str">
            <v>L000262</v>
          </cell>
          <cell r="C616" t="str">
            <v>David</v>
          </cell>
          <cell r="D616" t="str">
            <v>Plaqueta pulsador 2Ch / Iny Aire</v>
          </cell>
          <cell r="E616">
            <v>1</v>
          </cell>
          <cell r="I616">
            <v>180</v>
          </cell>
          <cell r="J616">
            <v>1.914705882352941</v>
          </cell>
          <cell r="K616">
            <v>2.3933823529411762</v>
          </cell>
          <cell r="L616">
            <v>2</v>
          </cell>
          <cell r="M616">
            <v>2.6593137254901955</v>
          </cell>
          <cell r="N616">
            <v>2.7922794117647056</v>
          </cell>
          <cell r="O616">
            <v>3.1286043829296419</v>
          </cell>
          <cell r="P616">
            <v>3.4414648212226062</v>
          </cell>
          <cell r="Q616">
            <v>3</v>
          </cell>
          <cell r="R616">
            <v>3.9107554786620522</v>
          </cell>
        </row>
        <row r="617">
          <cell r="A617" t="str">
            <v>L000263</v>
          </cell>
          <cell r="C617" t="str">
            <v>David</v>
          </cell>
          <cell r="D617" t="str">
            <v>Control electrobomba monofásico convertible trifásico, s/relevo térmico</v>
          </cell>
          <cell r="E617">
            <v>1</v>
          </cell>
          <cell r="I617">
            <v>610</v>
          </cell>
          <cell r="J617">
            <v>6.4887254901960789</v>
          </cell>
          <cell r="K617">
            <v>8.1109068627450984</v>
          </cell>
          <cell r="L617">
            <v>2</v>
          </cell>
          <cell r="M617">
            <v>9.0121187363834423</v>
          </cell>
          <cell r="N617">
            <v>9.4627246732026151</v>
          </cell>
          <cell r="O617">
            <v>10.602492631039345</v>
          </cell>
          <cell r="P617">
            <v>11.662741894143281</v>
          </cell>
          <cell r="Q617">
            <v>3</v>
          </cell>
          <cell r="R617">
            <v>13.25311578879918</v>
          </cell>
        </row>
        <row r="618">
          <cell r="A618" t="str">
            <v>L000264</v>
          </cell>
          <cell r="C618" t="str">
            <v>David</v>
          </cell>
          <cell r="D618" t="str">
            <v>Control electrobomba trifásica 1HP c/variador alim 220Vca SIEMENS</v>
          </cell>
          <cell r="E618">
            <v>1</v>
          </cell>
          <cell r="I618">
            <v>1800</v>
          </cell>
          <cell r="J618">
            <v>19.147058823529413</v>
          </cell>
          <cell r="K618">
            <v>23.933823529411764</v>
          </cell>
          <cell r="L618">
            <v>2</v>
          </cell>
          <cell r="M618">
            <v>26.593137254901961</v>
          </cell>
          <cell r="N618">
            <v>27.922794117647062</v>
          </cell>
          <cell r="O618">
            <v>31.286043829296425</v>
          </cell>
          <cell r="P618">
            <v>34.414648212226069</v>
          </cell>
          <cell r="Q618">
            <v>3</v>
          </cell>
          <cell r="R618">
            <v>39.107554786620526</v>
          </cell>
        </row>
        <row r="619">
          <cell r="A619" t="str">
            <v>L000265</v>
          </cell>
          <cell r="C619" t="str">
            <v>David</v>
          </cell>
          <cell r="D619" t="str">
            <v>Control electrobomba trifásica 2HP c/variador alim 220Vca SIEMENS</v>
          </cell>
          <cell r="E619">
            <v>1</v>
          </cell>
          <cell r="I619">
            <v>2050</v>
          </cell>
          <cell r="J619">
            <v>21.806372549019606</v>
          </cell>
          <cell r="K619">
            <v>27.257965686274506</v>
          </cell>
          <cell r="L619">
            <v>2</v>
          </cell>
          <cell r="M619">
            <v>30.286628540305006</v>
          </cell>
          <cell r="N619">
            <v>31.800959967320257</v>
          </cell>
          <cell r="O619">
            <v>35.631327694476482</v>
          </cell>
          <cell r="P619">
            <v>39.194460463924131</v>
          </cell>
          <cell r="Q619">
            <v>3</v>
          </cell>
          <cell r="R619">
            <v>44.539159618095603</v>
          </cell>
        </row>
        <row r="620">
          <cell r="A620" t="str">
            <v>L000266</v>
          </cell>
          <cell r="C620" t="str">
            <v>David</v>
          </cell>
          <cell r="D620" t="str">
            <v>Panel BOP SIEMENS SINAMICS P/G110 (BOP-S)(6SL3255-0AA00-4BA1)</v>
          </cell>
          <cell r="E620">
            <v>1</v>
          </cell>
          <cell r="I620">
            <v>150</v>
          </cell>
          <cell r="J620">
            <v>1.5955882352941178</v>
          </cell>
          <cell r="K620">
            <v>1.9944852941176472</v>
          </cell>
          <cell r="L620">
            <v>2</v>
          </cell>
          <cell r="M620">
            <v>2.21609477124183</v>
          </cell>
          <cell r="N620">
            <v>2.3268995098039214</v>
          </cell>
          <cell r="O620">
            <v>2.6071703191080355</v>
          </cell>
          <cell r="P620">
            <v>2.8678873510188394</v>
          </cell>
          <cell r="Q620">
            <v>3</v>
          </cell>
          <cell r="R620">
            <v>3.2589628988850441</v>
          </cell>
        </row>
        <row r="621">
          <cell r="A621" t="str">
            <v>L000267</v>
          </cell>
          <cell r="C621" t="str">
            <v>David</v>
          </cell>
          <cell r="D621" t="str">
            <v>Control de inyección de aire</v>
          </cell>
          <cell r="E621">
            <v>1</v>
          </cell>
          <cell r="I621">
            <v>400</v>
          </cell>
          <cell r="J621">
            <v>4.2549019607843137</v>
          </cell>
          <cell r="K621">
            <v>5.3186274509803919</v>
          </cell>
          <cell r="L621">
            <v>2</v>
          </cell>
          <cell r="M621">
            <v>5.9095860566448799</v>
          </cell>
          <cell r="N621">
            <v>6.2050653594771239</v>
          </cell>
          <cell r="O621">
            <v>6.9524541842880945</v>
          </cell>
          <cell r="P621">
            <v>7.6476996027169042</v>
          </cell>
          <cell r="Q621">
            <v>3</v>
          </cell>
          <cell r="R621">
            <v>8.690567730360117</v>
          </cell>
        </row>
        <row r="622">
          <cell r="A622" t="str">
            <v>L000268</v>
          </cell>
          <cell r="C622" t="str">
            <v>David</v>
          </cell>
          <cell r="D622" t="str">
            <v>Pulsador 4 canales para 4 master (1 por canal)</v>
          </cell>
          <cell r="E622">
            <v>1</v>
          </cell>
          <cell r="I622">
            <v>630</v>
          </cell>
          <cell r="J622">
            <v>6.7014705882352938</v>
          </cell>
          <cell r="K622">
            <v>8.376838235294116</v>
          </cell>
          <cell r="L622">
            <v>2</v>
          </cell>
          <cell r="M622">
            <v>9.3075980392156836</v>
          </cell>
          <cell r="N622">
            <v>9.7729779411764675</v>
          </cell>
          <cell r="O622">
            <v>10.950115340253745</v>
          </cell>
          <cell r="P622">
            <v>12.045126874279122</v>
          </cell>
          <cell r="Q622">
            <v>3</v>
          </cell>
          <cell r="R622">
            <v>13.687644175317182</v>
          </cell>
        </row>
        <row r="623">
          <cell r="A623" t="str">
            <v>L000269</v>
          </cell>
          <cell r="C623" t="str">
            <v>David</v>
          </cell>
          <cell r="D623" t="str">
            <v>Pulsador 4 canales para 12 master (3 por canal)</v>
          </cell>
          <cell r="E623">
            <v>1</v>
          </cell>
          <cell r="I623">
            <v>780</v>
          </cell>
          <cell r="J623">
            <v>8.2970588235294116</v>
          </cell>
          <cell r="K623">
            <v>10.371323529411764</v>
          </cell>
          <cell r="L623">
            <v>2</v>
          </cell>
          <cell r="M623">
            <v>11.523692810457517</v>
          </cell>
          <cell r="N623">
            <v>12.099877450980394</v>
          </cell>
          <cell r="O623">
            <v>13.557285659361785</v>
          </cell>
          <cell r="P623">
            <v>14.913014225297964</v>
          </cell>
          <cell r="Q623">
            <v>3</v>
          </cell>
          <cell r="R623">
            <v>16.94660707420223</v>
          </cell>
        </row>
        <row r="624">
          <cell r="A624" t="str">
            <v>L000270</v>
          </cell>
          <cell r="C624" t="str">
            <v>David</v>
          </cell>
          <cell r="D624" t="str">
            <v>Fuente 12Vcc 20A</v>
          </cell>
          <cell r="E624">
            <v>1</v>
          </cell>
          <cell r="I624">
            <v>3000</v>
          </cell>
          <cell r="J624">
            <v>31.911764705882351</v>
          </cell>
          <cell r="K624">
            <v>39.889705882352935</v>
          </cell>
          <cell r="L624">
            <v>2</v>
          </cell>
          <cell r="M624">
            <v>44.32189542483659</v>
          </cell>
          <cell r="N624">
            <v>46.537990196078425</v>
          </cell>
          <cell r="O624">
            <v>52.143406382160698</v>
          </cell>
          <cell r="P624">
            <v>57.35774702037677</v>
          </cell>
          <cell r="Q624">
            <v>3</v>
          </cell>
          <cell r="R624">
            <v>65.179257977700871</v>
          </cell>
        </row>
        <row r="625">
          <cell r="A625" t="str">
            <v>L000271</v>
          </cell>
          <cell r="C625" t="str">
            <v>David</v>
          </cell>
          <cell r="D625" t="str">
            <v>Fuente 12Vcc 1A</v>
          </cell>
          <cell r="E625">
            <v>1</v>
          </cell>
          <cell r="I625">
            <v>1000</v>
          </cell>
          <cell r="J625">
            <v>10.637254901960784</v>
          </cell>
          <cell r="K625">
            <v>13.296568627450979</v>
          </cell>
          <cell r="L625">
            <v>2</v>
          </cell>
          <cell r="M625">
            <v>14.773965141612198</v>
          </cell>
          <cell r="N625">
            <v>15.512663398692808</v>
          </cell>
          <cell r="O625">
            <v>17.381135460720234</v>
          </cell>
          <cell r="P625">
            <v>19.119249006792259</v>
          </cell>
          <cell r="Q625">
            <v>3</v>
          </cell>
          <cell r="R625">
            <v>21.726419325900292</v>
          </cell>
        </row>
        <row r="626">
          <cell r="A626" t="str">
            <v>L000272</v>
          </cell>
          <cell r="C626" t="str">
            <v>David</v>
          </cell>
          <cell r="D626" t="str">
            <v>Control de Racionado analógico-trifásico</v>
          </cell>
          <cell r="E626">
            <v>1</v>
          </cell>
          <cell r="I626">
            <v>1408</v>
          </cell>
          <cell r="J626">
            <v>14.977254901960782</v>
          </cell>
          <cell r="K626">
            <v>18.721568627450978</v>
          </cell>
          <cell r="L626">
            <v>2</v>
          </cell>
          <cell r="M626">
            <v>20.801742919389977</v>
          </cell>
          <cell r="N626">
            <v>21.841830065359478</v>
          </cell>
          <cell r="O626">
            <v>24.47263872869409</v>
          </cell>
          <cell r="P626">
            <v>26.9199026015635</v>
          </cell>
          <cell r="Q626">
            <v>3</v>
          </cell>
          <cell r="R626">
            <v>30.59079841086761</v>
          </cell>
        </row>
        <row r="627">
          <cell r="A627" t="str">
            <v>L000273</v>
          </cell>
          <cell r="B627" t="str">
            <v>F00003</v>
          </cell>
          <cell r="C627" t="str">
            <v>Gialmog</v>
          </cell>
          <cell r="D627" t="str">
            <v>FILTRO ALFA LAVAL 6" 15,5 X 92</v>
          </cell>
          <cell r="E627">
            <v>100</v>
          </cell>
          <cell r="I627">
            <v>96.94</v>
          </cell>
          <cell r="J627">
            <v>1.0311754901960783</v>
          </cell>
          <cell r="K627">
            <v>1.2889693627450978</v>
          </cell>
          <cell r="L627">
            <v>3</v>
          </cell>
          <cell r="M627">
            <v>1.5164345444059975</v>
          </cell>
          <cell r="N627">
            <v>1.5922562716262973</v>
          </cell>
          <cell r="O627">
            <v>1.7840406404776441</v>
          </cell>
          <cell r="P627">
            <v>1.9624447045254088</v>
          </cell>
          <cell r="Q627">
            <v>3</v>
          </cell>
          <cell r="R627">
            <v>2.2300508005970552</v>
          </cell>
        </row>
        <row r="628">
          <cell r="A628" t="str">
            <v>L000274</v>
          </cell>
          <cell r="B628" t="str">
            <v>F00004</v>
          </cell>
          <cell r="C628" t="str">
            <v>Gialmog</v>
          </cell>
          <cell r="D628" t="str">
            <v>FILTRO ALFA LAVAL CORTO 6,5X35</v>
          </cell>
          <cell r="E628">
            <v>100</v>
          </cell>
          <cell r="I628">
            <v>26.62</v>
          </cell>
          <cell r="J628">
            <v>0.28316372549019608</v>
          </cell>
          <cell r="K628">
            <v>0.35395465686274508</v>
          </cell>
          <cell r="L628">
            <v>3</v>
          </cell>
          <cell r="M628">
            <v>0.4164172433679354</v>
          </cell>
          <cell r="N628">
            <v>0.43723810553633219</v>
          </cell>
          <cell r="O628">
            <v>0.4899026392563946</v>
          </cell>
          <cell r="P628">
            <v>0.53889290318203409</v>
          </cell>
          <cell r="Q628">
            <v>3</v>
          </cell>
          <cell r="R628">
            <v>0.61237829907049324</v>
          </cell>
        </row>
        <row r="629">
          <cell r="A629" t="str">
            <v>L000275</v>
          </cell>
          <cell r="B629" t="str">
            <v>F00005</v>
          </cell>
          <cell r="C629" t="str">
            <v>Gialmog</v>
          </cell>
          <cell r="D629" t="str">
            <v xml:space="preserve">FILTRO ALFA LAVAL LARGO6.5 X62     </v>
          </cell>
          <cell r="E629">
            <v>100</v>
          </cell>
          <cell r="I629">
            <v>40</v>
          </cell>
          <cell r="J629">
            <v>0.42549019607843136</v>
          </cell>
          <cell r="K629">
            <v>0.53186274509803921</v>
          </cell>
          <cell r="L629">
            <v>3</v>
          </cell>
          <cell r="M629">
            <v>0.62572087658592845</v>
          </cell>
          <cell r="N629">
            <v>0.6570069204152249</v>
          </cell>
          <cell r="O629">
            <v>0.73614220774815109</v>
          </cell>
          <cell r="P629">
            <v>0.80975642852296625</v>
          </cell>
          <cell r="Q629">
            <v>3</v>
          </cell>
          <cell r="R629">
            <v>0.92017775968518878</v>
          </cell>
        </row>
        <row r="630">
          <cell r="A630" t="str">
            <v>L000276</v>
          </cell>
          <cell r="B630" t="str">
            <v>F00013</v>
          </cell>
          <cell r="C630" t="str">
            <v>Gialmog</v>
          </cell>
          <cell r="D630" t="str">
            <v>FILTRO SURGE 3" 9,5X56</v>
          </cell>
          <cell r="E630">
            <v>100</v>
          </cell>
          <cell r="I630">
            <v>46.47</v>
          </cell>
          <cell r="J630">
            <v>0.49431323529411764</v>
          </cell>
          <cell r="K630">
            <v>0.61789154411764702</v>
          </cell>
          <cell r="L630">
            <v>3</v>
          </cell>
          <cell r="M630">
            <v>0.72693122837370239</v>
          </cell>
          <cell r="N630">
            <v>0.76327778979238758</v>
          </cell>
          <cell r="O630">
            <v>0.85521320985141458</v>
          </cell>
          <cell r="P630">
            <v>0.94073453083655612</v>
          </cell>
          <cell r="Q630">
            <v>3</v>
          </cell>
          <cell r="R630">
            <v>1.0690165123142681</v>
          </cell>
        </row>
        <row r="631">
          <cell r="A631" t="str">
            <v>L000277</v>
          </cell>
          <cell r="B631" t="str">
            <v>F00056</v>
          </cell>
          <cell r="C631" t="str">
            <v>Gialmog</v>
          </cell>
          <cell r="D631" t="str">
            <v>SURGE 3195 15,5X85 (igual boumatic)</v>
          </cell>
          <cell r="E631">
            <v>100</v>
          </cell>
          <cell r="I631">
            <v>0</v>
          </cell>
          <cell r="J631">
            <v>0</v>
          </cell>
          <cell r="K631">
            <v>0</v>
          </cell>
          <cell r="L631">
            <v>3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3</v>
          </cell>
          <cell r="R631">
            <v>0</v>
          </cell>
        </row>
        <row r="632">
          <cell r="A632" t="str">
            <v>L000278</v>
          </cell>
          <cell r="B632" t="str">
            <v>F00111</v>
          </cell>
          <cell r="C632" t="str">
            <v>Gialmog</v>
          </cell>
          <cell r="D632" t="str">
            <v>CEPILLO LAVA MANGUERA 25MM</v>
          </cell>
          <cell r="E632">
            <v>1</v>
          </cell>
          <cell r="I632">
            <v>0</v>
          </cell>
          <cell r="J632">
            <v>0</v>
          </cell>
          <cell r="K632">
            <v>0</v>
          </cell>
          <cell r="L632">
            <v>3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3</v>
          </cell>
          <cell r="R632">
            <v>0</v>
          </cell>
        </row>
        <row r="633">
          <cell r="A633" t="str">
            <v>L000279</v>
          </cell>
          <cell r="B633" t="str">
            <v>F00112</v>
          </cell>
          <cell r="C633" t="str">
            <v>Gialmog</v>
          </cell>
          <cell r="D633" t="str">
            <v>CEPILLO LAVA CAÑERIAS 38MM X 2,5ML</v>
          </cell>
          <cell r="E633">
            <v>1</v>
          </cell>
          <cell r="I633">
            <v>18.04</v>
          </cell>
          <cell r="J633">
            <v>0.19189607843137255</v>
          </cell>
          <cell r="K633">
            <v>0.23987009803921566</v>
          </cell>
          <cell r="L633">
            <v>3</v>
          </cell>
          <cell r="M633">
            <v>0.28220011534025374</v>
          </cell>
          <cell r="N633">
            <v>0.29631012110726646</v>
          </cell>
          <cell r="O633">
            <v>0.33200013569441617</v>
          </cell>
          <cell r="P633">
            <v>0.3652001492638578</v>
          </cell>
          <cell r="Q633">
            <v>3</v>
          </cell>
          <cell r="R633">
            <v>0.41500016961802016</v>
          </cell>
        </row>
        <row r="634">
          <cell r="A634" t="str">
            <v>L000280</v>
          </cell>
          <cell r="B634" t="str">
            <v>F00113</v>
          </cell>
          <cell r="C634" t="str">
            <v>Gialmog</v>
          </cell>
          <cell r="D634" t="str">
            <v>CEPILLO LAVA CAÑERIAS 51MM X 2,5ML</v>
          </cell>
          <cell r="E634">
            <v>1</v>
          </cell>
          <cell r="I634">
            <v>20.13</v>
          </cell>
          <cell r="J634">
            <v>0.21412794117647058</v>
          </cell>
          <cell r="K634">
            <v>0.26765992647058823</v>
          </cell>
          <cell r="L634">
            <v>3</v>
          </cell>
          <cell r="M634">
            <v>0.31489403114186854</v>
          </cell>
          <cell r="N634">
            <v>0.33063873269896199</v>
          </cell>
          <cell r="O634">
            <v>0.37046356604925712</v>
          </cell>
          <cell r="P634">
            <v>0.40750992265418284</v>
          </cell>
          <cell r="Q634">
            <v>3</v>
          </cell>
          <cell r="R634">
            <v>0.46307945756157137</v>
          </cell>
        </row>
        <row r="635">
          <cell r="A635" t="str">
            <v>L000281</v>
          </cell>
          <cell r="B635" t="str">
            <v>F00114</v>
          </cell>
          <cell r="C635" t="str">
            <v>Gialmog</v>
          </cell>
          <cell r="D635" t="str">
            <v>CEPILLO LAVA CAÑERIAS 51MM X 7ML</v>
          </cell>
          <cell r="E635">
            <v>1</v>
          </cell>
          <cell r="I635">
            <v>29.52</v>
          </cell>
          <cell r="J635">
            <v>0.31401176470588232</v>
          </cell>
          <cell r="K635">
            <v>0.39251470588235288</v>
          </cell>
          <cell r="L635">
            <v>3</v>
          </cell>
          <cell r="M635">
            <v>0.46178200692041516</v>
          </cell>
          <cell r="N635">
            <v>0.48487110726643595</v>
          </cell>
          <cell r="O635">
            <v>0.54327294931813552</v>
          </cell>
          <cell r="P635">
            <v>0.59760024424994918</v>
          </cell>
          <cell r="Q635">
            <v>3</v>
          </cell>
          <cell r="R635">
            <v>0.67909118664766932</v>
          </cell>
        </row>
        <row r="636">
          <cell r="A636" t="str">
            <v>L000282</v>
          </cell>
          <cell r="B636" t="str">
            <v>F00115</v>
          </cell>
          <cell r="C636" t="str">
            <v>Gialmog</v>
          </cell>
          <cell r="D636" t="str">
            <v>CEPILLO LAVA CAÑERIAS 73MM X 5ML</v>
          </cell>
          <cell r="E636">
            <v>1</v>
          </cell>
          <cell r="I636">
            <v>31.57</v>
          </cell>
          <cell r="J636">
            <v>0.33581813725490195</v>
          </cell>
          <cell r="K636">
            <v>0.41977267156862741</v>
          </cell>
          <cell r="L636">
            <v>3</v>
          </cell>
          <cell r="M636">
            <v>0.49385020184544404</v>
          </cell>
          <cell r="N636">
            <v>0.51854271193771628</v>
          </cell>
          <cell r="O636">
            <v>0.58100023746522833</v>
          </cell>
          <cell r="P636">
            <v>0.63910026121175123</v>
          </cell>
          <cell r="Q636">
            <v>3</v>
          </cell>
          <cell r="R636">
            <v>0.72625029683153541</v>
          </cell>
        </row>
        <row r="637">
          <cell r="A637" t="str">
            <v>L000283</v>
          </cell>
          <cell r="B637" t="str">
            <v>F00118</v>
          </cell>
          <cell r="C637" t="str">
            <v>Gialmog</v>
          </cell>
          <cell r="D637" t="str">
            <v>CEPILLO LAVA CAÑERIAS 73MM X 2,50ML</v>
          </cell>
          <cell r="E637">
            <v>1</v>
          </cell>
          <cell r="I637">
            <v>28.77</v>
          </cell>
          <cell r="J637">
            <v>0.30603382352941172</v>
          </cell>
          <cell r="K637">
            <v>0.38254227941176461</v>
          </cell>
          <cell r="L637">
            <v>3</v>
          </cell>
          <cell r="M637">
            <v>0.45004974048442897</v>
          </cell>
          <cell r="N637">
            <v>0.47255222750865045</v>
          </cell>
          <cell r="O637">
            <v>0.52947028292285758</v>
          </cell>
          <cell r="P637">
            <v>0.5824173112151434</v>
          </cell>
          <cell r="Q637">
            <v>3</v>
          </cell>
          <cell r="R637">
            <v>0.66183785365357195</v>
          </cell>
        </row>
        <row r="638">
          <cell r="A638" t="str">
            <v>L000284</v>
          </cell>
          <cell r="B638" t="str">
            <v>F00120</v>
          </cell>
          <cell r="C638" t="str">
            <v>Gialmog</v>
          </cell>
          <cell r="D638" t="str">
            <v>CEPILLO BARRENDERO 0,30CM (base de PVC)</v>
          </cell>
          <cell r="E638">
            <v>1</v>
          </cell>
          <cell r="I638">
            <v>25.08</v>
          </cell>
          <cell r="J638">
            <v>0.26678235294117641</v>
          </cell>
          <cell r="K638">
            <v>0.3334779411764705</v>
          </cell>
          <cell r="L638">
            <v>3</v>
          </cell>
          <cell r="M638">
            <v>0.39232698961937706</v>
          </cell>
          <cell r="N638">
            <v>0.41194333910034592</v>
          </cell>
          <cell r="O638">
            <v>0.46156116425809068</v>
          </cell>
          <cell r="P638">
            <v>0.50771728068389976</v>
          </cell>
          <cell r="Q638">
            <v>3</v>
          </cell>
          <cell r="R638">
            <v>0.57695145532261327</v>
          </cell>
        </row>
        <row r="639">
          <cell r="A639" t="str">
            <v>L000285</v>
          </cell>
          <cell r="B639" t="str">
            <v>F00121</v>
          </cell>
          <cell r="C639" t="str">
            <v>Gialmog</v>
          </cell>
          <cell r="D639" t="str">
            <v>CABOS PARA ESCOBAS</v>
          </cell>
          <cell r="E639">
            <v>1</v>
          </cell>
          <cell r="I639">
            <v>2.86</v>
          </cell>
          <cell r="J639">
            <v>3.0422549019607843E-2</v>
          </cell>
          <cell r="K639">
            <v>3.8028186274509802E-2</v>
          </cell>
          <cell r="L639">
            <v>3</v>
          </cell>
          <cell r="M639">
            <v>4.4739042675893889E-2</v>
          </cell>
          <cell r="N639">
            <v>4.6975994809688587E-2</v>
          </cell>
          <cell r="O639">
            <v>5.263416785399281E-2</v>
          </cell>
          <cell r="P639">
            <v>5.7897584639392097E-2</v>
          </cell>
          <cell r="Q639">
            <v>3</v>
          </cell>
          <cell r="R639">
            <v>6.579270981749101E-2</v>
          </cell>
        </row>
        <row r="640">
          <cell r="A640" t="str">
            <v>L000286</v>
          </cell>
          <cell r="B640" t="str">
            <v>F00122</v>
          </cell>
          <cell r="C640" t="str">
            <v>Gialmog</v>
          </cell>
          <cell r="D640" t="str">
            <v>CABOS PARA BARRENDEROS</v>
          </cell>
          <cell r="E640">
            <v>1</v>
          </cell>
          <cell r="I640">
            <v>13.64</v>
          </cell>
          <cell r="J640">
            <v>0.1450921568627451</v>
          </cell>
          <cell r="K640">
            <v>0.18136519607843135</v>
          </cell>
          <cell r="L640">
            <v>3</v>
          </cell>
          <cell r="M640">
            <v>0.21337081891580159</v>
          </cell>
          <cell r="N640">
            <v>0.22403935986159168</v>
          </cell>
          <cell r="O640">
            <v>0.25102449284211953</v>
          </cell>
          <cell r="P640">
            <v>0.27612694212633149</v>
          </cell>
          <cell r="Q640">
            <v>3</v>
          </cell>
          <cell r="R640">
            <v>0.3137806160526494</v>
          </cell>
        </row>
        <row r="641">
          <cell r="A641" t="str">
            <v>L000287</v>
          </cell>
          <cell r="C641" t="str">
            <v>DARWATA</v>
          </cell>
          <cell r="D641" t="str">
            <v>TAPON DE GOMA 38MM</v>
          </cell>
          <cell r="E641">
            <v>1</v>
          </cell>
          <cell r="I641">
            <v>20</v>
          </cell>
          <cell r="J641">
            <v>0.21274509803921568</v>
          </cell>
          <cell r="K641">
            <v>0.26593137254901961</v>
          </cell>
          <cell r="L641">
            <v>3</v>
          </cell>
          <cell r="M641">
            <v>0.31286043829296423</v>
          </cell>
          <cell r="N641">
            <v>0.32850346020761245</v>
          </cell>
          <cell r="O641">
            <v>0.36807110387407554</v>
          </cell>
          <cell r="P641">
            <v>0.40487821426148313</v>
          </cell>
          <cell r="Q641">
            <v>3</v>
          </cell>
          <cell r="R641">
            <v>0.46008887984259439</v>
          </cell>
        </row>
        <row r="642">
          <cell r="A642" t="str">
            <v>L000288</v>
          </cell>
          <cell r="C642" t="str">
            <v>DARWATA</v>
          </cell>
          <cell r="D642" t="str">
            <v>TAPON DE GOMA 75MM</v>
          </cell>
          <cell r="E642">
            <v>1</v>
          </cell>
          <cell r="I642">
            <v>30</v>
          </cell>
          <cell r="J642">
            <v>0.31911764705882351</v>
          </cell>
          <cell r="K642">
            <v>0.39889705882352938</v>
          </cell>
          <cell r="L642">
            <v>3</v>
          </cell>
          <cell r="M642">
            <v>0.46929065743944637</v>
          </cell>
          <cell r="N642">
            <v>0.49275519031141873</v>
          </cell>
          <cell r="O642">
            <v>0.5521066558111134</v>
          </cell>
          <cell r="P642">
            <v>0.60731732139222483</v>
          </cell>
          <cell r="Q642">
            <v>3</v>
          </cell>
          <cell r="R642">
            <v>0.69013331976389169</v>
          </cell>
        </row>
        <row r="643">
          <cell r="A643" t="str">
            <v>L000289</v>
          </cell>
          <cell r="C643" t="str">
            <v>DARWATA</v>
          </cell>
          <cell r="D643" t="str">
            <v>CODO DE GOMA DE 38MM</v>
          </cell>
          <cell r="E643">
            <v>1</v>
          </cell>
          <cell r="I643">
            <v>23.05</v>
          </cell>
          <cell r="N643">
            <v>0</v>
          </cell>
          <cell r="P643">
            <v>0</v>
          </cell>
        </row>
        <row r="644">
          <cell r="A644" t="str">
            <v>L000290</v>
          </cell>
          <cell r="C644" t="str">
            <v>DARWATA</v>
          </cell>
          <cell r="D644" t="str">
            <v>CODO DE GOMA DE 75MM</v>
          </cell>
          <cell r="E644">
            <v>1</v>
          </cell>
          <cell r="I644">
            <v>40</v>
          </cell>
          <cell r="J644">
            <v>0.42549019607843136</v>
          </cell>
          <cell r="K644">
            <v>0.53186274509803921</v>
          </cell>
          <cell r="L644">
            <v>3</v>
          </cell>
          <cell r="M644">
            <v>0.62572087658592845</v>
          </cell>
          <cell r="N644">
            <v>0.6570069204152249</v>
          </cell>
          <cell r="O644">
            <v>0.73614220774815109</v>
          </cell>
          <cell r="P644">
            <v>0.80975642852296625</v>
          </cell>
          <cell r="Q644">
            <v>3</v>
          </cell>
          <cell r="R644">
            <v>0.92017775968518878</v>
          </cell>
        </row>
        <row r="645">
          <cell r="A645" t="str">
            <v>L000291</v>
          </cell>
          <cell r="B645" t="str">
            <v>A-704</v>
          </cell>
          <cell r="C645" t="str">
            <v>Evial</v>
          </cell>
          <cell r="D645" t="str">
            <v>Abrazadera 32 x 1/2" M.</v>
          </cell>
          <cell r="E645">
            <v>1</v>
          </cell>
          <cell r="I645">
            <v>3.25</v>
          </cell>
          <cell r="J645">
            <v>3.4571078431372547E-2</v>
          </cell>
          <cell r="K645">
            <v>4.3213848039215678E-2</v>
          </cell>
          <cell r="L645">
            <v>3</v>
          </cell>
          <cell r="M645">
            <v>5.0839821222606683E-2</v>
          </cell>
          <cell r="N645">
            <v>5.3381812283737021E-2</v>
          </cell>
          <cell r="O645">
            <v>5.9811554379537279E-2</v>
          </cell>
          <cell r="P645">
            <v>6.579270981749101E-2</v>
          </cell>
          <cell r="Q645">
            <v>3</v>
          </cell>
          <cell r="R645">
            <v>7.4764442974421599E-2</v>
          </cell>
        </row>
        <row r="646">
          <cell r="A646" t="str">
            <v>L000292</v>
          </cell>
          <cell r="B646" t="str">
            <v>A-718</v>
          </cell>
          <cell r="C646" t="str">
            <v>Evial</v>
          </cell>
          <cell r="D646" t="str">
            <v>Abrazadera 50 rosca Otha</v>
          </cell>
          <cell r="E646">
            <v>1</v>
          </cell>
          <cell r="I646">
            <v>3.25</v>
          </cell>
          <cell r="J646">
            <v>3.4571078431372547E-2</v>
          </cell>
          <cell r="K646">
            <v>4.3213848039215678E-2</v>
          </cell>
          <cell r="L646">
            <v>3</v>
          </cell>
          <cell r="M646">
            <v>5.0839821222606683E-2</v>
          </cell>
          <cell r="N646">
            <v>5.3381812283737021E-2</v>
          </cell>
          <cell r="O646">
            <v>5.9811554379537279E-2</v>
          </cell>
          <cell r="P646">
            <v>6.579270981749101E-2</v>
          </cell>
          <cell r="Q646">
            <v>3</v>
          </cell>
          <cell r="R646">
            <v>7.4764442974421599E-2</v>
          </cell>
        </row>
        <row r="647">
          <cell r="A647" t="str">
            <v>L000293</v>
          </cell>
          <cell r="B647" t="str">
            <v>A-703</v>
          </cell>
          <cell r="C647" t="str">
            <v>Evial</v>
          </cell>
          <cell r="D647" t="str">
            <v>Abrazadera 50 x 1" H</v>
          </cell>
          <cell r="E647">
            <v>1</v>
          </cell>
          <cell r="I647">
            <v>3.25</v>
          </cell>
          <cell r="J647">
            <v>3.4571078431372547E-2</v>
          </cell>
          <cell r="K647">
            <v>4.3213848039215678E-2</v>
          </cell>
          <cell r="L647">
            <v>3</v>
          </cell>
          <cell r="M647">
            <v>5.0839821222606683E-2</v>
          </cell>
          <cell r="N647">
            <v>5.3381812283737021E-2</v>
          </cell>
          <cell r="O647">
            <v>5.9811554379537279E-2</v>
          </cell>
          <cell r="P647">
            <v>6.579270981749101E-2</v>
          </cell>
          <cell r="Q647">
            <v>3</v>
          </cell>
          <cell r="R647">
            <v>7.4764442974421599E-2</v>
          </cell>
        </row>
        <row r="648">
          <cell r="A648" t="str">
            <v>L000294</v>
          </cell>
          <cell r="B648" t="str">
            <v>A-713</v>
          </cell>
          <cell r="C648" t="str">
            <v>Evial</v>
          </cell>
          <cell r="D648" t="str">
            <v>Abrazadera 50 x 1" M.</v>
          </cell>
          <cell r="E648">
            <v>1</v>
          </cell>
          <cell r="I648">
            <v>3.25</v>
          </cell>
          <cell r="J648">
            <v>3.4571078431372547E-2</v>
          </cell>
          <cell r="K648">
            <v>4.3213848039215678E-2</v>
          </cell>
          <cell r="L648">
            <v>3</v>
          </cell>
          <cell r="M648">
            <v>5.0839821222606683E-2</v>
          </cell>
          <cell r="N648">
            <v>5.3381812283737021E-2</v>
          </cell>
          <cell r="O648">
            <v>5.9811554379537279E-2</v>
          </cell>
          <cell r="P648">
            <v>6.579270981749101E-2</v>
          </cell>
          <cell r="Q648">
            <v>3</v>
          </cell>
          <cell r="R648">
            <v>7.4764442974421599E-2</v>
          </cell>
        </row>
        <row r="649">
          <cell r="A649" t="str">
            <v>L000295</v>
          </cell>
          <cell r="B649" t="str">
            <v>A-701</v>
          </cell>
          <cell r="C649" t="str">
            <v>Evial</v>
          </cell>
          <cell r="D649" t="str">
            <v>Abrazadera 50 x 1/2" H</v>
          </cell>
          <cell r="E649">
            <v>1</v>
          </cell>
          <cell r="I649">
            <v>3.25</v>
          </cell>
          <cell r="J649">
            <v>3.4571078431372547E-2</v>
          </cell>
          <cell r="K649">
            <v>4.3213848039215678E-2</v>
          </cell>
          <cell r="L649">
            <v>3</v>
          </cell>
          <cell r="M649">
            <v>5.0839821222606683E-2</v>
          </cell>
          <cell r="N649">
            <v>5.3381812283737021E-2</v>
          </cell>
          <cell r="O649">
            <v>5.9811554379537279E-2</v>
          </cell>
          <cell r="P649">
            <v>6.579270981749101E-2</v>
          </cell>
          <cell r="Q649">
            <v>3</v>
          </cell>
          <cell r="R649">
            <v>7.4764442974421599E-2</v>
          </cell>
        </row>
        <row r="650">
          <cell r="A650" t="str">
            <v>L000296</v>
          </cell>
          <cell r="B650" t="str">
            <v>A-700</v>
          </cell>
          <cell r="C650" t="str">
            <v>Evial</v>
          </cell>
          <cell r="D650" t="str">
            <v>Abrazadera 50 x 1/4" H</v>
          </cell>
          <cell r="E650">
            <v>1</v>
          </cell>
          <cell r="I650">
            <v>3.25</v>
          </cell>
          <cell r="J650">
            <v>3.4571078431372547E-2</v>
          </cell>
          <cell r="K650">
            <v>4.3213848039215678E-2</v>
          </cell>
          <cell r="L650">
            <v>3</v>
          </cell>
          <cell r="M650">
            <v>5.0839821222606683E-2</v>
          </cell>
          <cell r="N650">
            <v>5.3381812283737021E-2</v>
          </cell>
          <cell r="O650">
            <v>5.9811554379537279E-2</v>
          </cell>
          <cell r="P650">
            <v>6.579270981749101E-2</v>
          </cell>
          <cell r="Q650">
            <v>3</v>
          </cell>
          <cell r="R650">
            <v>7.4764442974421599E-2</v>
          </cell>
        </row>
        <row r="651">
          <cell r="A651" t="str">
            <v>L000297</v>
          </cell>
          <cell r="B651" t="str">
            <v>A-702</v>
          </cell>
          <cell r="C651" t="str">
            <v>Evial</v>
          </cell>
          <cell r="D651" t="str">
            <v>Abrazadera 50 x 3/4" H</v>
          </cell>
          <cell r="E651">
            <v>1</v>
          </cell>
          <cell r="I651">
            <v>3.25</v>
          </cell>
          <cell r="J651">
            <v>3.4571078431372547E-2</v>
          </cell>
          <cell r="K651">
            <v>4.3213848039215678E-2</v>
          </cell>
          <cell r="L651">
            <v>3</v>
          </cell>
          <cell r="M651">
            <v>5.0839821222606683E-2</v>
          </cell>
          <cell r="N651">
            <v>5.3381812283737021E-2</v>
          </cell>
          <cell r="O651">
            <v>5.9811554379537279E-2</v>
          </cell>
          <cell r="P651">
            <v>6.579270981749101E-2</v>
          </cell>
          <cell r="Q651">
            <v>3</v>
          </cell>
          <cell r="R651">
            <v>7.4764442974421599E-2</v>
          </cell>
        </row>
        <row r="652">
          <cell r="A652" t="str">
            <v>L000298</v>
          </cell>
          <cell r="B652" t="str">
            <v>A-712</v>
          </cell>
          <cell r="C652" t="str">
            <v>Evial</v>
          </cell>
          <cell r="D652" t="str">
            <v>Abrazadera 50 x 3/4" M</v>
          </cell>
          <cell r="E652">
            <v>1</v>
          </cell>
          <cell r="I652">
            <v>3.25</v>
          </cell>
          <cell r="J652">
            <v>3.4571078431372547E-2</v>
          </cell>
          <cell r="K652">
            <v>4.3213848039215678E-2</v>
          </cell>
          <cell r="L652">
            <v>3</v>
          </cell>
          <cell r="M652">
            <v>5.0839821222606683E-2</v>
          </cell>
          <cell r="N652">
            <v>5.3381812283737021E-2</v>
          </cell>
          <cell r="O652">
            <v>5.9811554379537279E-2</v>
          </cell>
          <cell r="P652">
            <v>6.579270981749101E-2</v>
          </cell>
          <cell r="Q652">
            <v>3</v>
          </cell>
          <cell r="R652">
            <v>7.4764442974421599E-2</v>
          </cell>
        </row>
        <row r="653">
          <cell r="A653" t="str">
            <v>L000299</v>
          </cell>
          <cell r="B653" t="str">
            <v>A-719</v>
          </cell>
          <cell r="C653" t="str">
            <v>Evial</v>
          </cell>
          <cell r="D653" t="str">
            <v>Abrazadera 63 rosca Otha</v>
          </cell>
          <cell r="E653">
            <v>1</v>
          </cell>
          <cell r="I653">
            <v>4.2</v>
          </cell>
          <cell r="J653">
            <v>4.4676470588235297E-2</v>
          </cell>
          <cell r="K653">
            <v>5.5845588235294119E-2</v>
          </cell>
          <cell r="L653">
            <v>3</v>
          </cell>
          <cell r="M653">
            <v>6.5700692041522499E-2</v>
          </cell>
          <cell r="N653">
            <v>6.898572664359863E-2</v>
          </cell>
          <cell r="O653">
            <v>7.7294931813555887E-2</v>
          </cell>
          <cell r="P653">
            <v>8.5024424994911488E-2</v>
          </cell>
          <cell r="Q653">
            <v>3</v>
          </cell>
          <cell r="R653">
            <v>9.6618664766944848E-2</v>
          </cell>
        </row>
        <row r="654">
          <cell r="A654" t="str">
            <v>L000300</v>
          </cell>
          <cell r="B654" t="str">
            <v>A-730</v>
          </cell>
          <cell r="C654" t="str">
            <v>Evial</v>
          </cell>
          <cell r="D654" t="str">
            <v>Abrazadera 75 x 1/2´H</v>
          </cell>
          <cell r="E654">
            <v>1</v>
          </cell>
          <cell r="I654">
            <v>6.25</v>
          </cell>
          <cell r="J654">
            <v>6.6482843137254902E-2</v>
          </cell>
          <cell r="K654">
            <v>8.3103553921568624E-2</v>
          </cell>
          <cell r="L654">
            <v>3</v>
          </cell>
          <cell r="M654">
            <v>9.7768886966551324E-2</v>
          </cell>
          <cell r="N654">
            <v>0.10265733131487889</v>
          </cell>
          <cell r="O654">
            <v>0.11502221996064863</v>
          </cell>
          <cell r="P654">
            <v>0.1265244419567135</v>
          </cell>
          <cell r="Q654">
            <v>3</v>
          </cell>
          <cell r="R654">
            <v>0.14377777495081076</v>
          </cell>
        </row>
        <row r="655">
          <cell r="A655" t="str">
            <v>L000301</v>
          </cell>
          <cell r="B655" t="str">
            <v>A-731</v>
          </cell>
          <cell r="C655" t="str">
            <v>Evial</v>
          </cell>
          <cell r="D655" t="str">
            <v>Abrazadera 75 x 1¨ H</v>
          </cell>
          <cell r="E655">
            <v>1</v>
          </cell>
          <cell r="I655">
            <v>6.25</v>
          </cell>
          <cell r="J655">
            <v>6.6482843137254902E-2</v>
          </cell>
          <cell r="K655">
            <v>8.3103553921568624E-2</v>
          </cell>
          <cell r="L655">
            <v>3</v>
          </cell>
          <cell r="M655">
            <v>9.7768886966551324E-2</v>
          </cell>
          <cell r="N655">
            <v>0.10265733131487889</v>
          </cell>
          <cell r="O655">
            <v>0.11502221996064863</v>
          </cell>
          <cell r="P655">
            <v>0.1265244419567135</v>
          </cell>
          <cell r="Q655">
            <v>3</v>
          </cell>
          <cell r="R655">
            <v>0.14377777495081076</v>
          </cell>
        </row>
        <row r="656">
          <cell r="A656" t="str">
            <v>L000302</v>
          </cell>
          <cell r="B656" t="str">
            <v>A-705</v>
          </cell>
          <cell r="C656" t="str">
            <v>Evial</v>
          </cell>
          <cell r="D656" t="str">
            <v>Abrazadera manguera 15 x 24</v>
          </cell>
          <cell r="E656">
            <v>1</v>
          </cell>
          <cell r="I656">
            <v>0.7</v>
          </cell>
          <cell r="J656">
            <v>7.4460784313725489E-3</v>
          </cell>
          <cell r="K656">
            <v>9.3075980392156848E-3</v>
          </cell>
          <cell r="L656">
            <v>3</v>
          </cell>
          <cell r="M656">
            <v>1.0950115340253747E-2</v>
          </cell>
          <cell r="N656">
            <v>1.1497621107266435E-2</v>
          </cell>
          <cell r="O656">
            <v>1.2882488635592644E-2</v>
          </cell>
          <cell r="P656">
            <v>1.417073749915191E-2</v>
          </cell>
          <cell r="Q656">
            <v>3</v>
          </cell>
          <cell r="R656">
            <v>1.6103110794490803E-2</v>
          </cell>
        </row>
        <row r="657">
          <cell r="A657" t="str">
            <v>L000303</v>
          </cell>
          <cell r="B657" t="str">
            <v>A-706</v>
          </cell>
          <cell r="C657" t="str">
            <v>Evial</v>
          </cell>
          <cell r="D657" t="str">
            <v>Abrazadera p/ caño de lavado</v>
          </cell>
          <cell r="E657">
            <v>1</v>
          </cell>
          <cell r="I657">
            <v>22.25</v>
          </cell>
          <cell r="J657">
            <v>0.23667892156862744</v>
          </cell>
          <cell r="K657">
            <v>0.2958486519607843</v>
          </cell>
          <cell r="L657">
            <v>3</v>
          </cell>
          <cell r="M657">
            <v>0.34805723760092272</v>
          </cell>
          <cell r="N657">
            <v>0.36546009948096886</v>
          </cell>
          <cell r="O657">
            <v>0.40947910305990909</v>
          </cell>
          <cell r="P657">
            <v>0.45042701336590002</v>
          </cell>
          <cell r="Q657">
            <v>3</v>
          </cell>
          <cell r="R657">
            <v>0.51184887882488628</v>
          </cell>
        </row>
        <row r="658">
          <cell r="A658" t="str">
            <v>L000304</v>
          </cell>
          <cell r="B658" t="str">
            <v>A-504</v>
          </cell>
          <cell r="C658" t="str">
            <v>Evial</v>
          </cell>
          <cell r="D658" t="str">
            <v>Aceitera p/ bomba de vacio de 3 picos</v>
          </cell>
          <cell r="E658">
            <v>1</v>
          </cell>
          <cell r="I658">
            <v>93</v>
          </cell>
          <cell r="J658">
            <v>0.98926470588235293</v>
          </cell>
          <cell r="K658">
            <v>1.2365808823529412</v>
          </cell>
          <cell r="L658">
            <v>3</v>
          </cell>
          <cell r="M658">
            <v>1.4548010380622838</v>
          </cell>
          <cell r="N658">
            <v>1.5275410899653981</v>
          </cell>
          <cell r="O658">
            <v>1.7115306330144515</v>
          </cell>
          <cell r="P658">
            <v>1.8826836963158968</v>
          </cell>
          <cell r="Q658">
            <v>3</v>
          </cell>
          <cell r="R658">
            <v>2.1394132912680641</v>
          </cell>
        </row>
        <row r="659">
          <cell r="A659" t="str">
            <v>L000305</v>
          </cell>
          <cell r="B659" t="str">
            <v>A-505</v>
          </cell>
          <cell r="C659" t="str">
            <v>Evial</v>
          </cell>
          <cell r="D659" t="str">
            <v>Aceitero p/bomba de vacío</v>
          </cell>
          <cell r="E659">
            <v>1</v>
          </cell>
          <cell r="I659">
            <v>72</v>
          </cell>
          <cell r="J659">
            <v>0.76588235294117657</v>
          </cell>
          <cell r="K659">
            <v>0.95735294117647063</v>
          </cell>
          <cell r="L659">
            <v>3</v>
          </cell>
          <cell r="M659">
            <v>1.1262975778546713</v>
          </cell>
          <cell r="N659">
            <v>1.182612456747405</v>
          </cell>
          <cell r="O659">
            <v>1.3250559739466723</v>
          </cell>
          <cell r="P659">
            <v>1.4575615713413397</v>
          </cell>
          <cell r="Q659">
            <v>3</v>
          </cell>
          <cell r="R659">
            <v>1.6563199674333402</v>
          </cell>
        </row>
        <row r="660">
          <cell r="A660" t="str">
            <v>L000306</v>
          </cell>
          <cell r="B660" t="str">
            <v>A-750</v>
          </cell>
          <cell r="C660" t="str">
            <v>Evial</v>
          </cell>
          <cell r="D660" t="str">
            <v>Acople con rosca OTHA</v>
          </cell>
          <cell r="E660">
            <v>1</v>
          </cell>
          <cell r="I660">
            <v>4</v>
          </cell>
          <cell r="J660">
            <v>4.2549019607843137E-2</v>
          </cell>
          <cell r="K660">
            <v>5.318627450980392E-2</v>
          </cell>
          <cell r="L660">
            <v>3</v>
          </cell>
          <cell r="M660">
            <v>6.2572087658592845E-2</v>
          </cell>
          <cell r="N660">
            <v>6.5700692041522485E-2</v>
          </cell>
          <cell r="O660">
            <v>7.3614220774815109E-2</v>
          </cell>
          <cell r="P660">
            <v>8.0975642852296623E-2</v>
          </cell>
          <cell r="Q660">
            <v>3</v>
          </cell>
          <cell r="R660">
            <v>9.2017775968518886E-2</v>
          </cell>
        </row>
        <row r="661">
          <cell r="A661" t="str">
            <v>L000307</v>
          </cell>
          <cell r="B661" t="str">
            <v>A-707</v>
          </cell>
          <cell r="C661" t="str">
            <v>Evial</v>
          </cell>
          <cell r="D661" t="str">
            <v>Acople interpuls</v>
          </cell>
          <cell r="E661">
            <v>1</v>
          </cell>
          <cell r="I661">
            <v>3.8</v>
          </cell>
          <cell r="J661">
            <v>4.0421568627450971E-2</v>
          </cell>
          <cell r="K661">
            <v>5.0526960784313714E-2</v>
          </cell>
          <cell r="L661">
            <v>3</v>
          </cell>
          <cell r="M661">
            <v>5.9443483275663192E-2</v>
          </cell>
          <cell r="N661">
            <v>6.2415657439446354E-2</v>
          </cell>
          <cell r="O661">
            <v>6.9933509736074345E-2</v>
          </cell>
          <cell r="P661">
            <v>7.6926860709681785E-2</v>
          </cell>
          <cell r="Q661">
            <v>3</v>
          </cell>
          <cell r="R661">
            <v>8.7416887170092925E-2</v>
          </cell>
        </row>
        <row r="662">
          <cell r="A662" t="str">
            <v>L000308</v>
          </cell>
          <cell r="B662" t="str">
            <v>G-821</v>
          </cell>
          <cell r="C662" t="str">
            <v>Evial</v>
          </cell>
          <cell r="D662" t="str">
            <v>Aireador TF</v>
          </cell>
          <cell r="E662">
            <v>1</v>
          </cell>
          <cell r="I662">
            <v>6.55</v>
          </cell>
          <cell r="J662">
            <v>6.9674019607843141E-2</v>
          </cell>
          <cell r="K662">
            <v>8.7092524509803926E-2</v>
          </cell>
          <cell r="L662">
            <v>3</v>
          </cell>
          <cell r="M662">
            <v>0.1024617935409458</v>
          </cell>
          <cell r="N662">
            <v>0.10758488321799309</v>
          </cell>
          <cell r="O662">
            <v>0.12054328651875977</v>
          </cell>
          <cell r="P662">
            <v>0.13259761517063576</v>
          </cell>
          <cell r="Q662">
            <v>3</v>
          </cell>
          <cell r="R662">
            <v>0.1506791081484497</v>
          </cell>
        </row>
        <row r="663">
          <cell r="A663" t="str">
            <v>L000309</v>
          </cell>
          <cell r="B663" t="str">
            <v>G-809</v>
          </cell>
          <cell r="C663" t="str">
            <v>Evial</v>
          </cell>
          <cell r="D663" t="str">
            <v>Alambre Acero TF</v>
          </cell>
          <cell r="E663">
            <v>1</v>
          </cell>
          <cell r="I663">
            <v>30.35</v>
          </cell>
          <cell r="J663">
            <v>0.32284068627450979</v>
          </cell>
          <cell r="K663">
            <v>0.40355085784313721</v>
          </cell>
          <cell r="L663">
            <v>3</v>
          </cell>
          <cell r="M663">
            <v>0.47476571510957322</v>
          </cell>
          <cell r="N663">
            <v>0.49850400086505192</v>
          </cell>
          <cell r="O663">
            <v>0.55854790012890965</v>
          </cell>
          <cell r="P663">
            <v>0.61440269014180071</v>
          </cell>
          <cell r="Q663">
            <v>3</v>
          </cell>
          <cell r="R663">
            <v>0.69818487516113703</v>
          </cell>
        </row>
        <row r="664">
          <cell r="A664" t="str">
            <v>L000310</v>
          </cell>
          <cell r="B664" t="str">
            <v>A-506</v>
          </cell>
          <cell r="C664" t="str">
            <v>Evial</v>
          </cell>
          <cell r="D664" t="str">
            <v>Base aceitero con bronces</v>
          </cell>
          <cell r="E664">
            <v>1</v>
          </cell>
          <cell r="I664">
            <v>37</v>
          </cell>
          <cell r="J664">
            <v>0.393578431372549</v>
          </cell>
          <cell r="K664">
            <v>0.49197303921568625</v>
          </cell>
          <cell r="L664">
            <v>3</v>
          </cell>
          <cell r="M664">
            <v>0.57879181084198383</v>
          </cell>
          <cell r="N664">
            <v>0.6077314013840831</v>
          </cell>
          <cell r="O664">
            <v>0.68093154216703977</v>
          </cell>
          <cell r="P664">
            <v>0.7490246963837438</v>
          </cell>
          <cell r="Q664">
            <v>3</v>
          </cell>
          <cell r="R664">
            <v>0.85116442770879963</v>
          </cell>
        </row>
        <row r="665">
          <cell r="A665" t="str">
            <v>L000311</v>
          </cell>
          <cell r="B665" t="str">
            <v>B-551</v>
          </cell>
          <cell r="C665" t="str">
            <v>Evial</v>
          </cell>
          <cell r="D665" t="str">
            <v>Base Casquillo Agri de Policarbonato</v>
          </cell>
          <cell r="E665">
            <v>1</v>
          </cell>
          <cell r="I665">
            <v>8.65</v>
          </cell>
          <cell r="J665">
            <v>9.2012254901960772E-2</v>
          </cell>
          <cell r="K665">
            <v>0.11501531862745096</v>
          </cell>
          <cell r="L665">
            <v>3</v>
          </cell>
          <cell r="M665">
            <v>0.13531213956170701</v>
          </cell>
          <cell r="N665">
            <v>0.14207774653979238</v>
          </cell>
          <cell r="O665">
            <v>0.15919075242553768</v>
          </cell>
          <cell r="P665">
            <v>0.17510982766809147</v>
          </cell>
          <cell r="Q665">
            <v>3</v>
          </cell>
          <cell r="R665">
            <v>0.19898844053192208</v>
          </cell>
        </row>
        <row r="666">
          <cell r="A666" t="str">
            <v>L000312</v>
          </cell>
          <cell r="B666" t="str">
            <v>B-552</v>
          </cell>
          <cell r="C666" t="str">
            <v>Evial</v>
          </cell>
          <cell r="D666" t="str">
            <v>Base Casquillo Irlanda de Policarbonato</v>
          </cell>
          <cell r="E666">
            <v>1</v>
          </cell>
          <cell r="I666">
            <v>8.65</v>
          </cell>
          <cell r="J666">
            <v>9.2012254901960772E-2</v>
          </cell>
          <cell r="K666">
            <v>0.11501531862745096</v>
          </cell>
          <cell r="L666">
            <v>3</v>
          </cell>
          <cell r="M666">
            <v>0.13531213956170701</v>
          </cell>
          <cell r="N666">
            <v>0.14207774653979238</v>
          </cell>
          <cell r="O666">
            <v>0.15919075242553768</v>
          </cell>
          <cell r="P666">
            <v>0.17510982766809147</v>
          </cell>
          <cell r="Q666">
            <v>3</v>
          </cell>
          <cell r="R666">
            <v>0.19898844053192208</v>
          </cell>
        </row>
        <row r="667">
          <cell r="A667" t="str">
            <v>L000313</v>
          </cell>
          <cell r="B667" t="str">
            <v>B-553</v>
          </cell>
          <cell r="C667" t="str">
            <v>Evial</v>
          </cell>
          <cell r="D667" t="str">
            <v>Base Casquillo Ovalado de Policarbonato</v>
          </cell>
          <cell r="E667">
            <v>1</v>
          </cell>
          <cell r="I667">
            <v>8.65</v>
          </cell>
          <cell r="J667">
            <v>9.2012254901960772E-2</v>
          </cell>
          <cell r="K667">
            <v>0.11501531862745096</v>
          </cell>
          <cell r="L667">
            <v>3</v>
          </cell>
          <cell r="M667">
            <v>0.13531213956170701</v>
          </cell>
          <cell r="N667">
            <v>0.14207774653979238</v>
          </cell>
          <cell r="O667">
            <v>0.15919075242553768</v>
          </cell>
          <cell r="P667">
            <v>0.17510982766809147</v>
          </cell>
          <cell r="Q667">
            <v>3</v>
          </cell>
          <cell r="R667">
            <v>0.19898844053192208</v>
          </cell>
        </row>
        <row r="668">
          <cell r="A668" t="str">
            <v>L000314</v>
          </cell>
          <cell r="B668" t="str">
            <v>B-550</v>
          </cell>
          <cell r="C668" t="str">
            <v>Evial</v>
          </cell>
          <cell r="D668" t="str">
            <v>Base casquillo</v>
          </cell>
          <cell r="E668">
            <v>1</v>
          </cell>
          <cell r="I668">
            <v>2.4</v>
          </cell>
          <cell r="J668">
            <v>2.552941176470588E-2</v>
          </cell>
          <cell r="K668">
            <v>3.1911764705882348E-2</v>
          </cell>
          <cell r="L668">
            <v>3</v>
          </cell>
          <cell r="M668">
            <v>3.7543252595155702E-2</v>
          </cell>
          <cell r="N668">
            <v>3.9420415224913491E-2</v>
          </cell>
          <cell r="O668">
            <v>4.4168532464889061E-2</v>
          </cell>
          <cell r="P668">
            <v>4.8585385711377972E-2</v>
          </cell>
          <cell r="Q668">
            <v>3</v>
          </cell>
          <cell r="R668">
            <v>5.5210665581111325E-2</v>
          </cell>
        </row>
        <row r="669">
          <cell r="A669" t="str">
            <v>L000315</v>
          </cell>
          <cell r="B669" t="str">
            <v>T-502</v>
          </cell>
          <cell r="C669" t="str">
            <v>Evial</v>
          </cell>
          <cell r="D669" t="str">
            <v>Cabezal trampa</v>
          </cell>
          <cell r="E669">
            <v>1</v>
          </cell>
          <cell r="I669">
            <v>5.8</v>
          </cell>
          <cell r="J669">
            <v>6.1696078431372543E-2</v>
          </cell>
          <cell r="K669">
            <v>7.712009803921567E-2</v>
          </cell>
          <cell r="L669">
            <v>3</v>
          </cell>
          <cell r="M669">
            <v>9.0729527104959615E-2</v>
          </cell>
          <cell r="N669">
            <v>9.5266003460207596E-2</v>
          </cell>
          <cell r="O669">
            <v>0.1067406201234819</v>
          </cell>
          <cell r="P669">
            <v>0.1174146821358301</v>
          </cell>
          <cell r="Q669">
            <v>3</v>
          </cell>
          <cell r="R669">
            <v>0.13342577515435236</v>
          </cell>
        </row>
        <row r="670">
          <cell r="A670" t="str">
            <v>L000316</v>
          </cell>
          <cell r="B670" t="str">
            <v>C-100</v>
          </cell>
          <cell r="C670" t="str">
            <v>Evial</v>
          </cell>
          <cell r="D670" t="str">
            <v>Casquillo Agri</v>
          </cell>
          <cell r="E670">
            <v>1</v>
          </cell>
          <cell r="I670">
            <v>28</v>
          </cell>
          <cell r="J670">
            <v>0.29784313725490197</v>
          </cell>
          <cell r="K670">
            <v>0.37230392156862746</v>
          </cell>
          <cell r="L670">
            <v>3</v>
          </cell>
          <cell r="M670">
            <v>0.43800461361014997</v>
          </cell>
          <cell r="N670">
            <v>0.45990484429065748</v>
          </cell>
          <cell r="O670">
            <v>0.51529954542370582</v>
          </cell>
          <cell r="P670">
            <v>0.56682949996607646</v>
          </cell>
          <cell r="Q670">
            <v>3</v>
          </cell>
          <cell r="R670">
            <v>0.64412443177963219</v>
          </cell>
        </row>
        <row r="671">
          <cell r="A671" t="str">
            <v>L000317</v>
          </cell>
          <cell r="B671" t="str">
            <v>C-101</v>
          </cell>
          <cell r="C671" t="str">
            <v>Evial</v>
          </cell>
          <cell r="D671" t="str">
            <v>Casquillo de Acero Agri</v>
          </cell>
          <cell r="E671">
            <v>1</v>
          </cell>
          <cell r="I671">
            <v>40.4</v>
          </cell>
          <cell r="J671">
            <v>0.42974509803921562</v>
          </cell>
          <cell r="K671">
            <v>0.53718137254901954</v>
          </cell>
          <cell r="L671">
            <v>3</v>
          </cell>
          <cell r="M671">
            <v>0.63197808535178768</v>
          </cell>
          <cell r="N671">
            <v>0.66357698961937706</v>
          </cell>
          <cell r="O671">
            <v>0.74350362982563256</v>
          </cell>
          <cell r="P671">
            <v>0.81785399280819593</v>
          </cell>
          <cell r="Q671">
            <v>3</v>
          </cell>
          <cell r="R671">
            <v>0.9293795372820407</v>
          </cell>
        </row>
        <row r="672">
          <cell r="A672" t="str">
            <v>L000318</v>
          </cell>
          <cell r="B672" t="str">
            <v>C-102</v>
          </cell>
          <cell r="C672" t="str">
            <v>Evial</v>
          </cell>
          <cell r="D672" t="str">
            <v>Casquillo de Acero Irlanda</v>
          </cell>
          <cell r="E672">
            <v>1</v>
          </cell>
          <cell r="I672">
            <v>40.4</v>
          </cell>
          <cell r="J672">
            <v>0.42974509803921562</v>
          </cell>
          <cell r="K672">
            <v>0.53718137254901954</v>
          </cell>
          <cell r="L672">
            <v>3</v>
          </cell>
          <cell r="M672">
            <v>0.63197808535178768</v>
          </cell>
          <cell r="N672">
            <v>0.66357698961937706</v>
          </cell>
          <cell r="O672">
            <v>0.74350362982563256</v>
          </cell>
          <cell r="P672">
            <v>0.81785399280819593</v>
          </cell>
          <cell r="Q672">
            <v>3</v>
          </cell>
          <cell r="R672">
            <v>0.9293795372820407</v>
          </cell>
        </row>
        <row r="673">
          <cell r="A673" t="str">
            <v>L000319</v>
          </cell>
          <cell r="B673" t="str">
            <v>C-103</v>
          </cell>
          <cell r="C673" t="str">
            <v>Evial</v>
          </cell>
          <cell r="D673" t="str">
            <v>Casquillo de Acero Ovalado</v>
          </cell>
          <cell r="E673">
            <v>1</v>
          </cell>
          <cell r="I673">
            <v>40.4</v>
          </cell>
          <cell r="J673">
            <v>0.42974509803921562</v>
          </cell>
          <cell r="K673">
            <v>0.53718137254901954</v>
          </cell>
          <cell r="L673">
            <v>3</v>
          </cell>
          <cell r="M673">
            <v>0.63197808535178768</v>
          </cell>
          <cell r="N673">
            <v>0.66357698961937706</v>
          </cell>
          <cell r="O673">
            <v>0.74350362982563256</v>
          </cell>
          <cell r="P673">
            <v>0.81785399280819593</v>
          </cell>
          <cell r="Q673">
            <v>3</v>
          </cell>
          <cell r="R673">
            <v>0.9293795372820407</v>
          </cell>
        </row>
        <row r="674">
          <cell r="A674" t="str">
            <v>L000320</v>
          </cell>
          <cell r="B674" t="str">
            <v>C-150</v>
          </cell>
          <cell r="C674" t="str">
            <v>Evial</v>
          </cell>
          <cell r="D674" t="str">
            <v>Codo p/manguera rosca 1/2'</v>
          </cell>
          <cell r="E674">
            <v>1</v>
          </cell>
          <cell r="I674">
            <v>2</v>
          </cell>
          <cell r="J674">
            <v>2.1274509803921569E-2</v>
          </cell>
          <cell r="K674">
            <v>2.659313725490196E-2</v>
          </cell>
          <cell r="L674">
            <v>3</v>
          </cell>
          <cell r="M674">
            <v>3.1286043829296423E-2</v>
          </cell>
          <cell r="N674">
            <v>3.2850346020761242E-2</v>
          </cell>
          <cell r="O674">
            <v>3.6807110387407554E-2</v>
          </cell>
          <cell r="P674">
            <v>4.0487821426148311E-2</v>
          </cell>
          <cell r="Q674">
            <v>3</v>
          </cell>
          <cell r="R674">
            <v>4.6008887984259443E-2</v>
          </cell>
        </row>
        <row r="675">
          <cell r="A675" t="str">
            <v>L000321</v>
          </cell>
          <cell r="B675" t="str">
            <v>G-812</v>
          </cell>
          <cell r="C675" t="str">
            <v>Evial</v>
          </cell>
          <cell r="D675" t="str">
            <v>Colector C-300 c/ 3 trabas completos</v>
          </cell>
          <cell r="E675">
            <v>1</v>
          </cell>
          <cell r="I675">
            <v>35</v>
          </cell>
          <cell r="J675">
            <v>0.37230392156862746</v>
          </cell>
          <cell r="K675">
            <v>0.46537990196078433</v>
          </cell>
          <cell r="L675">
            <v>3</v>
          </cell>
          <cell r="M675">
            <v>0.54750576701268749</v>
          </cell>
          <cell r="N675">
            <v>0.5748810553633219</v>
          </cell>
          <cell r="O675">
            <v>0.64412443177963241</v>
          </cell>
          <cell r="P675">
            <v>0.70853687495759576</v>
          </cell>
          <cell r="Q675">
            <v>3</v>
          </cell>
          <cell r="R675">
            <v>0.80515553972454046</v>
          </cell>
        </row>
        <row r="676">
          <cell r="A676" t="str">
            <v>L000322</v>
          </cell>
          <cell r="B676" t="str">
            <v>G-813</v>
          </cell>
          <cell r="C676" t="str">
            <v>Evial</v>
          </cell>
          <cell r="D676" t="str">
            <v>Colector C-300 c/ rosca Irlanda completo</v>
          </cell>
          <cell r="E676">
            <v>1</v>
          </cell>
          <cell r="I676">
            <v>35</v>
          </cell>
          <cell r="J676">
            <v>0.37230392156862746</v>
          </cell>
          <cell r="K676">
            <v>0.46537990196078433</v>
          </cell>
          <cell r="L676">
            <v>3</v>
          </cell>
          <cell r="M676">
            <v>0.54750576701268749</v>
          </cell>
          <cell r="N676">
            <v>0.5748810553633219</v>
          </cell>
          <cell r="O676">
            <v>0.64412443177963241</v>
          </cell>
          <cell r="P676">
            <v>0.70853687495759576</v>
          </cell>
          <cell r="Q676">
            <v>3</v>
          </cell>
          <cell r="R676">
            <v>0.80515553972454046</v>
          </cell>
        </row>
        <row r="677">
          <cell r="A677" t="str">
            <v>L000323</v>
          </cell>
          <cell r="B677" t="str">
            <v>C-900</v>
          </cell>
          <cell r="C677" t="str">
            <v>Evial</v>
          </cell>
          <cell r="D677" t="str">
            <v>Cono reductor p/bomba de leche 38 x 1"</v>
          </cell>
          <cell r="E677">
            <v>1</v>
          </cell>
          <cell r="I677">
            <v>3</v>
          </cell>
          <cell r="J677">
            <v>3.1911764705882355E-2</v>
          </cell>
          <cell r="K677">
            <v>3.9889705882352938E-2</v>
          </cell>
          <cell r="L677">
            <v>3</v>
          </cell>
          <cell r="M677">
            <v>4.6929065743944634E-2</v>
          </cell>
          <cell r="N677">
            <v>4.9275519031141871E-2</v>
          </cell>
          <cell r="O677">
            <v>5.5210665581111339E-2</v>
          </cell>
          <cell r="P677">
            <v>6.0731732139222477E-2</v>
          </cell>
          <cell r="Q677">
            <v>3</v>
          </cell>
          <cell r="R677">
            <v>6.9013331976389175E-2</v>
          </cell>
        </row>
        <row r="678">
          <cell r="A678" t="str">
            <v>L000324</v>
          </cell>
          <cell r="B678" t="str">
            <v>G-804</v>
          </cell>
          <cell r="C678" t="str">
            <v>Evial</v>
          </cell>
          <cell r="D678" t="str">
            <v>Contrapeso plomo p/garra</v>
          </cell>
          <cell r="E678">
            <v>1</v>
          </cell>
          <cell r="I678">
            <v>10.6</v>
          </cell>
          <cell r="J678">
            <v>0.1127549019607843</v>
          </cell>
          <cell r="K678">
            <v>0.14094362745098038</v>
          </cell>
          <cell r="L678">
            <v>3</v>
          </cell>
          <cell r="M678">
            <v>0.16581603229527103</v>
          </cell>
          <cell r="N678">
            <v>0.17410683391003459</v>
          </cell>
          <cell r="O678">
            <v>0.19507768505326004</v>
          </cell>
          <cell r="P678">
            <v>0.21458545355858605</v>
          </cell>
          <cell r="Q678">
            <v>3</v>
          </cell>
          <cell r="R678">
            <v>0.24384710631657502</v>
          </cell>
        </row>
        <row r="679">
          <cell r="A679" t="str">
            <v>L000325</v>
          </cell>
          <cell r="B679" t="str">
            <v>l-604</v>
          </cell>
          <cell r="C679" t="str">
            <v>Evial</v>
          </cell>
          <cell r="D679" t="str">
            <v>Distribuidor completo bosio irlanda</v>
          </cell>
          <cell r="E679">
            <v>1</v>
          </cell>
          <cell r="I679">
            <v>20.3</v>
          </cell>
          <cell r="J679">
            <v>0.21593627450980393</v>
          </cell>
          <cell r="K679">
            <v>0.26992034313725488</v>
          </cell>
          <cell r="L679">
            <v>3</v>
          </cell>
          <cell r="M679">
            <v>0.3175533448673587</v>
          </cell>
          <cell r="N679">
            <v>0.33343101211072668</v>
          </cell>
          <cell r="O679">
            <v>0.37359217043218673</v>
          </cell>
          <cell r="P679">
            <v>0.41095138747540544</v>
          </cell>
          <cell r="Q679">
            <v>3</v>
          </cell>
          <cell r="R679">
            <v>0.46699021304023342</v>
          </cell>
        </row>
        <row r="680">
          <cell r="A680" t="str">
            <v>L000326</v>
          </cell>
          <cell r="B680" t="str">
            <v>N-252</v>
          </cell>
          <cell r="C680" t="str">
            <v>Evial</v>
          </cell>
          <cell r="D680" t="str">
            <v>Distribuidor de lavado laval completo</v>
          </cell>
          <cell r="E680">
            <v>1</v>
          </cell>
          <cell r="I680">
            <v>18.3</v>
          </cell>
          <cell r="J680">
            <v>0.19466176470588234</v>
          </cell>
          <cell r="K680">
            <v>0.2433272058823529</v>
          </cell>
          <cell r="L680">
            <v>3</v>
          </cell>
          <cell r="M680">
            <v>0.28626730103806225</v>
          </cell>
          <cell r="N680">
            <v>0.30058066608996536</v>
          </cell>
          <cell r="O680">
            <v>0.33678506004477915</v>
          </cell>
          <cell r="P680">
            <v>0.37046356604925712</v>
          </cell>
          <cell r="Q680">
            <v>3</v>
          </cell>
          <cell r="R680">
            <v>0.42098132505597391</v>
          </cell>
        </row>
        <row r="681">
          <cell r="A681" t="str">
            <v>L000327</v>
          </cell>
          <cell r="B681" t="str">
            <v>N-250</v>
          </cell>
          <cell r="C681" t="str">
            <v>Evial</v>
          </cell>
          <cell r="D681" t="str">
            <v>Distribuidor de lavado laval completo</v>
          </cell>
          <cell r="E681">
            <v>1</v>
          </cell>
          <cell r="I681">
            <v>5.6</v>
          </cell>
          <cell r="J681">
            <v>5.9568627450980391E-2</v>
          </cell>
          <cell r="K681">
            <v>7.4460784313725478E-2</v>
          </cell>
          <cell r="L681">
            <v>3</v>
          </cell>
          <cell r="M681">
            <v>8.7600922722029975E-2</v>
          </cell>
          <cell r="N681">
            <v>9.1980968858131479E-2</v>
          </cell>
          <cell r="O681">
            <v>0.10305990908474115</v>
          </cell>
          <cell r="P681">
            <v>0.11336589999321528</v>
          </cell>
          <cell r="Q681">
            <v>3</v>
          </cell>
          <cell r="R681">
            <v>0.12882488635592643</v>
          </cell>
        </row>
        <row r="682">
          <cell r="A682" t="str">
            <v>L000328</v>
          </cell>
          <cell r="B682" t="str">
            <v>L-601</v>
          </cell>
          <cell r="C682" t="str">
            <v>Evial</v>
          </cell>
          <cell r="D682" t="str">
            <v>Distribuidor de lavado</v>
          </cell>
          <cell r="E682">
            <v>1</v>
          </cell>
          <cell r="I682">
            <v>5.5</v>
          </cell>
          <cell r="J682">
            <v>5.8504901960784304E-2</v>
          </cell>
          <cell r="K682">
            <v>7.3131127450980382E-2</v>
          </cell>
          <cell r="L682">
            <v>3</v>
          </cell>
          <cell r="M682">
            <v>8.6036620530565155E-2</v>
          </cell>
          <cell r="N682">
            <v>9.0338451557093413E-2</v>
          </cell>
          <cell r="O682">
            <v>0.10121955356537077</v>
          </cell>
          <cell r="P682">
            <v>0.11134150892190785</v>
          </cell>
          <cell r="Q682">
            <v>3</v>
          </cell>
          <cell r="R682">
            <v>0.12652444195671345</v>
          </cell>
        </row>
        <row r="683">
          <cell r="A683" t="str">
            <v>L000329</v>
          </cell>
          <cell r="B683" t="str">
            <v>G-253</v>
          </cell>
          <cell r="C683" t="str">
            <v>Evial</v>
          </cell>
          <cell r="D683" t="str">
            <v>Distribuidor de paso alternado pc</v>
          </cell>
          <cell r="E683">
            <v>1</v>
          </cell>
          <cell r="I683">
            <v>10.7</v>
          </cell>
          <cell r="J683">
            <v>0.11381862745098038</v>
          </cell>
          <cell r="K683">
            <v>0.14227328431372546</v>
          </cell>
          <cell r="L683">
            <v>3</v>
          </cell>
          <cell r="M683">
            <v>0.16738033448673584</v>
          </cell>
          <cell r="N683">
            <v>0.17574935121107263</v>
          </cell>
          <cell r="O683">
            <v>0.1969180405726304</v>
          </cell>
          <cell r="P683">
            <v>0.21660984462989347</v>
          </cell>
          <cell r="Q683">
            <v>3</v>
          </cell>
          <cell r="R683">
            <v>0.246147550715788</v>
          </cell>
        </row>
        <row r="684">
          <cell r="A684" t="str">
            <v>L000330</v>
          </cell>
          <cell r="B684" t="str">
            <v>G-254</v>
          </cell>
          <cell r="C684" t="str">
            <v>Evial</v>
          </cell>
          <cell r="D684" t="str">
            <v>Distribuidor de paso simultáneo pc</v>
          </cell>
          <cell r="E684">
            <v>1</v>
          </cell>
          <cell r="I684">
            <v>10.7</v>
          </cell>
          <cell r="J684">
            <v>0.11381862745098038</v>
          </cell>
          <cell r="K684">
            <v>0.14227328431372546</v>
          </cell>
          <cell r="L684">
            <v>3</v>
          </cell>
          <cell r="M684">
            <v>0.16738033448673584</v>
          </cell>
          <cell r="N684">
            <v>0.17574935121107263</v>
          </cell>
          <cell r="O684">
            <v>0.1969180405726304</v>
          </cell>
          <cell r="P684">
            <v>0.21660984462989347</v>
          </cell>
          <cell r="Q684">
            <v>3</v>
          </cell>
          <cell r="R684">
            <v>0.246147550715788</v>
          </cell>
        </row>
        <row r="685">
          <cell r="A685" t="str">
            <v>L000331</v>
          </cell>
          <cell r="B685" t="str">
            <v>L-603</v>
          </cell>
          <cell r="C685" t="str">
            <v>Evial</v>
          </cell>
          <cell r="D685" t="str">
            <v>Distribuidor tipo bosio Irlanda</v>
          </cell>
          <cell r="E685">
            <v>1</v>
          </cell>
          <cell r="I685">
            <v>6.9</v>
          </cell>
          <cell r="J685">
            <v>7.3397058823529412E-2</v>
          </cell>
          <cell r="K685">
            <v>9.1746323529411755E-2</v>
          </cell>
          <cell r="L685">
            <v>3</v>
          </cell>
          <cell r="M685">
            <v>0.10793685121107266</v>
          </cell>
          <cell r="N685">
            <v>0.1133336937716263</v>
          </cell>
          <cell r="O685">
            <v>0.12698453083655609</v>
          </cell>
          <cell r="P685">
            <v>0.1396829839202117</v>
          </cell>
          <cell r="Q685">
            <v>3</v>
          </cell>
          <cell r="R685">
            <v>0.15873066354569509</v>
          </cell>
        </row>
        <row r="686">
          <cell r="A686" t="str">
            <v>L000332</v>
          </cell>
          <cell r="B686" t="str">
            <v>D-350</v>
          </cell>
          <cell r="C686" t="str">
            <v>Evial</v>
          </cell>
          <cell r="D686" t="str">
            <v>Doble T</v>
          </cell>
          <cell r="E686">
            <v>1</v>
          </cell>
          <cell r="I686">
            <v>2.8</v>
          </cell>
          <cell r="J686">
            <v>2.9784313725490195E-2</v>
          </cell>
          <cell r="K686">
            <v>3.7230392156862739E-2</v>
          </cell>
          <cell r="L686">
            <v>3</v>
          </cell>
          <cell r="M686">
            <v>4.3800461361014988E-2</v>
          </cell>
          <cell r="N686">
            <v>4.5990484429065739E-2</v>
          </cell>
          <cell r="O686">
            <v>5.1529954542370575E-2</v>
          </cell>
          <cell r="P686">
            <v>5.668294999660764E-2</v>
          </cell>
          <cell r="Q686">
            <v>3</v>
          </cell>
          <cell r="R686">
            <v>6.4412443177963213E-2</v>
          </cell>
        </row>
        <row r="687">
          <cell r="A687" t="str">
            <v>L000333</v>
          </cell>
          <cell r="B687" t="str">
            <v>L-602</v>
          </cell>
          <cell r="C687" t="str">
            <v>Evial</v>
          </cell>
          <cell r="D687" t="str">
            <v>Ducha de lavado</v>
          </cell>
          <cell r="E687">
            <v>1</v>
          </cell>
          <cell r="I687">
            <v>2.4</v>
          </cell>
          <cell r="J687">
            <v>2.552941176470588E-2</v>
          </cell>
          <cell r="K687">
            <v>3.1911764705882348E-2</v>
          </cell>
          <cell r="L687">
            <v>3</v>
          </cell>
          <cell r="M687">
            <v>3.7543252595155702E-2</v>
          </cell>
          <cell r="N687">
            <v>3.9420415224913491E-2</v>
          </cell>
          <cell r="O687">
            <v>4.4168532464889061E-2</v>
          </cell>
          <cell r="P687">
            <v>4.8585385711377972E-2</v>
          </cell>
          <cell r="Q687">
            <v>3</v>
          </cell>
          <cell r="R687">
            <v>5.5210665581111325E-2</v>
          </cell>
        </row>
        <row r="688">
          <cell r="A688" t="str">
            <v>L000334</v>
          </cell>
          <cell r="B688" t="str">
            <v>T-501</v>
          </cell>
          <cell r="C688" t="str">
            <v>Evial</v>
          </cell>
          <cell r="D688" t="str">
            <v>Frasco trampa acrílico</v>
          </cell>
          <cell r="E688">
            <v>1</v>
          </cell>
          <cell r="I688">
            <v>5.35</v>
          </cell>
          <cell r="J688">
            <v>5.6909313725490192E-2</v>
          </cell>
          <cell r="K688">
            <v>7.1136642156862731E-2</v>
          </cell>
          <cell r="L688">
            <v>3</v>
          </cell>
          <cell r="M688">
            <v>8.3690167243367919E-2</v>
          </cell>
          <cell r="N688">
            <v>8.7874675605536315E-2</v>
          </cell>
          <cell r="O688">
            <v>9.8459020286315202E-2</v>
          </cell>
          <cell r="P688">
            <v>0.10830492231494673</v>
          </cell>
          <cell r="Q688">
            <v>3</v>
          </cell>
          <cell r="R688">
            <v>0.123073775357894</v>
          </cell>
        </row>
        <row r="689">
          <cell r="A689" t="str">
            <v>L000335</v>
          </cell>
          <cell r="B689" t="str">
            <v>G-806</v>
          </cell>
          <cell r="C689" t="str">
            <v>Evial</v>
          </cell>
          <cell r="D689" t="str">
            <v>Garra completa de Pc. Alternada</v>
          </cell>
          <cell r="E689">
            <v>1</v>
          </cell>
          <cell r="I689">
            <v>67</v>
          </cell>
          <cell r="J689">
            <v>0.7126960784313725</v>
          </cell>
          <cell r="K689">
            <v>0.89087009803921557</v>
          </cell>
          <cell r="L689">
            <v>3</v>
          </cell>
          <cell r="M689">
            <v>1.04808246828143</v>
          </cell>
          <cell r="N689">
            <v>1.1004865916955016</v>
          </cell>
          <cell r="O689">
            <v>1.2330381979781531</v>
          </cell>
          <cell r="P689">
            <v>1.3563420177759684</v>
          </cell>
          <cell r="Q689">
            <v>3</v>
          </cell>
          <cell r="R689">
            <v>1.5412977474726912</v>
          </cell>
        </row>
        <row r="690">
          <cell r="A690" t="str">
            <v>L000336</v>
          </cell>
          <cell r="B690" t="str">
            <v>G-814</v>
          </cell>
          <cell r="C690" t="str">
            <v>Evial</v>
          </cell>
          <cell r="D690" t="str">
            <v>Garra completa de Pc. Simultanea</v>
          </cell>
          <cell r="E690">
            <v>1</v>
          </cell>
          <cell r="I690">
            <v>67</v>
          </cell>
          <cell r="J690">
            <v>0.7126960784313725</v>
          </cell>
          <cell r="K690">
            <v>0.89087009803921557</v>
          </cell>
          <cell r="L690">
            <v>3</v>
          </cell>
          <cell r="M690">
            <v>1.04808246828143</v>
          </cell>
          <cell r="N690">
            <v>1.1004865916955016</v>
          </cell>
          <cell r="O690">
            <v>1.2330381979781531</v>
          </cell>
          <cell r="P690">
            <v>1.3563420177759684</v>
          </cell>
          <cell r="Q690">
            <v>3</v>
          </cell>
          <cell r="R690">
            <v>1.5412977474726912</v>
          </cell>
        </row>
        <row r="691">
          <cell r="A691" t="str">
            <v>L000337</v>
          </cell>
          <cell r="B691" t="str">
            <v>G-807</v>
          </cell>
          <cell r="C691" t="str">
            <v>Evial</v>
          </cell>
          <cell r="D691" t="str">
            <v>Garra completa TF 360</v>
          </cell>
          <cell r="E691">
            <v>1</v>
          </cell>
          <cell r="I691">
            <v>211.82</v>
          </cell>
          <cell r="J691">
            <v>2.2531833333333333</v>
          </cell>
          <cell r="K691">
            <v>2.8164791666666664</v>
          </cell>
          <cell r="L691">
            <v>3</v>
          </cell>
          <cell r="M691">
            <v>3.3135049019607843</v>
          </cell>
          <cell r="N691">
            <v>3.4791801470588237</v>
          </cell>
          <cell r="O691">
            <v>3.8982410611303346</v>
          </cell>
          <cell r="P691">
            <v>4.2880651672433681</v>
          </cell>
          <cell r="Q691">
            <v>3</v>
          </cell>
          <cell r="R691">
            <v>4.872801326412918</v>
          </cell>
        </row>
        <row r="692">
          <cell r="A692" t="str">
            <v>L000338</v>
          </cell>
          <cell r="B692" t="str">
            <v>I-250</v>
          </cell>
          <cell r="C692" t="str">
            <v>Evial</v>
          </cell>
          <cell r="D692" t="str">
            <v>Invertidor p/bomba doble neum</v>
          </cell>
          <cell r="E692">
            <v>1</v>
          </cell>
          <cell r="I692">
            <v>34.1</v>
          </cell>
          <cell r="J692">
            <v>0.36273039215686276</v>
          </cell>
          <cell r="K692">
            <v>0.45341299019607845</v>
          </cell>
          <cell r="L692">
            <v>3</v>
          </cell>
          <cell r="M692">
            <v>0.53342704728950407</v>
          </cell>
          <cell r="N692">
            <v>0.56009839965397934</v>
          </cell>
          <cell r="O692">
            <v>0.62756123210529891</v>
          </cell>
          <cell r="P692">
            <v>0.69031735531582883</v>
          </cell>
          <cell r="Q692">
            <v>3</v>
          </cell>
          <cell r="R692">
            <v>0.78445154013162355</v>
          </cell>
        </row>
        <row r="693">
          <cell r="A693" t="str">
            <v>L000339</v>
          </cell>
          <cell r="B693" t="str">
            <v>R-303</v>
          </cell>
          <cell r="C693" t="str">
            <v>Evial</v>
          </cell>
          <cell r="D693" t="str">
            <v>Inyector de aire</v>
          </cell>
          <cell r="E693">
            <v>1</v>
          </cell>
          <cell r="I693">
            <v>30.7</v>
          </cell>
          <cell r="J693">
            <v>0.32656372549019608</v>
          </cell>
          <cell r="K693">
            <v>0.4082046568627451</v>
          </cell>
          <cell r="L693">
            <v>3</v>
          </cell>
          <cell r="M693">
            <v>0.48024077277970012</v>
          </cell>
          <cell r="N693">
            <v>0.50425281141868517</v>
          </cell>
          <cell r="O693">
            <v>0.564989144446706</v>
          </cell>
          <cell r="P693">
            <v>0.6214880588913767</v>
          </cell>
          <cell r="Q693">
            <v>3</v>
          </cell>
          <cell r="R693">
            <v>0.70623643055838248</v>
          </cell>
        </row>
        <row r="694">
          <cell r="A694" t="str">
            <v>L000340</v>
          </cell>
          <cell r="B694" t="str">
            <v>G-799</v>
          </cell>
          <cell r="C694" t="str">
            <v>Evial</v>
          </cell>
          <cell r="D694" t="str">
            <v>Parte superior de garra alter. Polic</v>
          </cell>
          <cell r="E694">
            <v>1</v>
          </cell>
          <cell r="I694">
            <v>26.46</v>
          </cell>
          <cell r="J694">
            <v>0.28146176470588236</v>
          </cell>
          <cell r="K694">
            <v>0.35182720588235294</v>
          </cell>
          <cell r="L694">
            <v>3</v>
          </cell>
          <cell r="M694">
            <v>0.4139143598615917</v>
          </cell>
          <cell r="N694">
            <v>0.43461007785467132</v>
          </cell>
          <cell r="O694">
            <v>0.48695807042540201</v>
          </cell>
          <cell r="P694">
            <v>0.53565387746794224</v>
          </cell>
          <cell r="Q694">
            <v>3</v>
          </cell>
          <cell r="R694">
            <v>0.60869758803175245</v>
          </cell>
        </row>
        <row r="695">
          <cell r="A695" t="str">
            <v>L000341</v>
          </cell>
          <cell r="B695" t="str">
            <v>G-800</v>
          </cell>
          <cell r="C695" t="str">
            <v>Evial</v>
          </cell>
          <cell r="D695" t="str">
            <v>Parte superior de garra sim. Polic</v>
          </cell>
          <cell r="E695">
            <v>1</v>
          </cell>
          <cell r="I695">
            <v>26.46</v>
          </cell>
          <cell r="J695">
            <v>0.28146176470588236</v>
          </cell>
          <cell r="K695">
            <v>0.35182720588235294</v>
          </cell>
          <cell r="L695">
            <v>3</v>
          </cell>
          <cell r="M695">
            <v>0.4139143598615917</v>
          </cell>
          <cell r="N695">
            <v>0.43461007785467132</v>
          </cell>
          <cell r="O695">
            <v>0.48695807042540201</v>
          </cell>
          <cell r="P695">
            <v>0.53565387746794224</v>
          </cell>
          <cell r="Q695">
            <v>3</v>
          </cell>
          <cell r="R695">
            <v>0.60869758803175245</v>
          </cell>
        </row>
        <row r="696">
          <cell r="A696" t="str">
            <v>L000342</v>
          </cell>
          <cell r="B696" t="str">
            <v>L-605</v>
          </cell>
          <cell r="C696" t="str">
            <v>Evial</v>
          </cell>
          <cell r="D696" t="str">
            <v>Pezón Artificial</v>
          </cell>
          <cell r="E696">
            <v>1</v>
          </cell>
          <cell r="I696">
            <v>3</v>
          </cell>
          <cell r="J696">
            <v>3.1911764705882355E-2</v>
          </cell>
          <cell r="K696">
            <v>3.9889705882352938E-2</v>
          </cell>
          <cell r="L696">
            <v>3</v>
          </cell>
          <cell r="M696">
            <v>4.6929065743944634E-2</v>
          </cell>
          <cell r="N696">
            <v>4.9275519031141871E-2</v>
          </cell>
          <cell r="O696">
            <v>5.5210665581111339E-2</v>
          </cell>
          <cell r="P696">
            <v>6.0731732139222477E-2</v>
          </cell>
          <cell r="Q696">
            <v>3</v>
          </cell>
          <cell r="R696">
            <v>6.9013331976389175E-2</v>
          </cell>
        </row>
        <row r="697">
          <cell r="A697" t="str">
            <v>L000343</v>
          </cell>
          <cell r="B697" t="str">
            <v>P-202</v>
          </cell>
          <cell r="C697" t="str">
            <v>Evial</v>
          </cell>
          <cell r="D697" t="str">
            <v>Pulsador 50-50 c/registro</v>
          </cell>
          <cell r="E697">
            <v>1</v>
          </cell>
          <cell r="I697">
            <v>26.4</v>
          </cell>
          <cell r="J697">
            <v>0.28082352941176469</v>
          </cell>
          <cell r="K697">
            <v>0.35102941176470587</v>
          </cell>
          <cell r="L697">
            <v>3</v>
          </cell>
          <cell r="M697">
            <v>0.4129757785467128</v>
          </cell>
          <cell r="N697">
            <v>0.43362456747404848</v>
          </cell>
          <cell r="O697">
            <v>0.48585385711377976</v>
          </cell>
          <cell r="P697">
            <v>0.53443924282515776</v>
          </cell>
          <cell r="Q697">
            <v>3</v>
          </cell>
          <cell r="R697">
            <v>0.60731732139222472</v>
          </cell>
        </row>
        <row r="698">
          <cell r="A698" t="str">
            <v>L000344</v>
          </cell>
          <cell r="B698" t="str">
            <v>P-203</v>
          </cell>
          <cell r="C698" t="str">
            <v>Evial</v>
          </cell>
          <cell r="D698" t="str">
            <v>Pulsador 50-50 s/registro</v>
          </cell>
          <cell r="E698">
            <v>1</v>
          </cell>
          <cell r="I698">
            <v>32</v>
          </cell>
          <cell r="J698">
            <v>0.3403921568627451</v>
          </cell>
          <cell r="K698">
            <v>0.42549019607843136</v>
          </cell>
          <cell r="L698">
            <v>3</v>
          </cell>
          <cell r="M698">
            <v>0.50057670126874276</v>
          </cell>
          <cell r="N698">
            <v>0.52560553633217988</v>
          </cell>
          <cell r="O698">
            <v>0.58891376619852087</v>
          </cell>
          <cell r="P698">
            <v>0.64780514281837298</v>
          </cell>
          <cell r="Q698">
            <v>3</v>
          </cell>
          <cell r="R698">
            <v>0.73614220774815109</v>
          </cell>
        </row>
        <row r="699">
          <cell r="A699" t="str">
            <v>L000345</v>
          </cell>
          <cell r="B699" t="str">
            <v>P-200</v>
          </cell>
          <cell r="C699" t="str">
            <v>Evial</v>
          </cell>
          <cell r="D699" t="str">
            <v>Pulsador 60-40 de ordeñe Neum</v>
          </cell>
          <cell r="E699">
            <v>1</v>
          </cell>
          <cell r="I699">
            <v>37.9</v>
          </cell>
          <cell r="J699">
            <v>0.4031519607843137</v>
          </cell>
          <cell r="K699">
            <v>0.50393995098039213</v>
          </cell>
          <cell r="L699">
            <v>3</v>
          </cell>
          <cell r="M699">
            <v>0.59287053056516725</v>
          </cell>
          <cell r="N699">
            <v>0.62251405709342567</v>
          </cell>
          <cell r="O699">
            <v>0.69749474184137328</v>
          </cell>
          <cell r="P699">
            <v>0.76724421602551063</v>
          </cell>
          <cell r="Q699">
            <v>3</v>
          </cell>
          <cell r="R699">
            <v>0.87186842730171654</v>
          </cell>
        </row>
        <row r="700">
          <cell r="A700" t="str">
            <v>L000346</v>
          </cell>
          <cell r="B700" t="str">
            <v>P-201</v>
          </cell>
          <cell r="C700" t="str">
            <v>Evial</v>
          </cell>
          <cell r="D700" t="str">
            <v>Pulsador descarga 11 Puls</v>
          </cell>
          <cell r="E700">
            <v>1</v>
          </cell>
          <cell r="I700">
            <v>34.15</v>
          </cell>
          <cell r="J700">
            <v>0.36326225490196073</v>
          </cell>
          <cell r="K700">
            <v>0.45407781862745089</v>
          </cell>
          <cell r="L700">
            <v>3</v>
          </cell>
          <cell r="M700">
            <v>0.53420919838523639</v>
          </cell>
          <cell r="N700">
            <v>0.56091965830449819</v>
          </cell>
          <cell r="O700">
            <v>0.62848140986498402</v>
          </cell>
          <cell r="P700">
            <v>0.69132955085148251</v>
          </cell>
          <cell r="Q700">
            <v>3</v>
          </cell>
          <cell r="R700">
            <v>0.78560176233123002</v>
          </cell>
        </row>
        <row r="701">
          <cell r="A701" t="str">
            <v>L000347</v>
          </cell>
          <cell r="B701" t="str">
            <v>R-301</v>
          </cell>
          <cell r="C701" t="str">
            <v>Evial</v>
          </cell>
          <cell r="D701" t="str">
            <v>Repetidor p/ordeñe doble</v>
          </cell>
          <cell r="E701">
            <v>1</v>
          </cell>
          <cell r="I701">
            <v>39.85</v>
          </cell>
          <cell r="J701">
            <v>43.237250000000003</v>
          </cell>
          <cell r="K701">
            <v>54.0465625</v>
          </cell>
          <cell r="L701">
            <v>3</v>
          </cell>
          <cell r="M701">
            <v>63.58419117647059</v>
          </cell>
          <cell r="N701">
            <v>66.763400735294127</v>
          </cell>
          <cell r="O701">
            <v>74.804930795847753</v>
          </cell>
          <cell r="P701">
            <v>82.285423875432528</v>
          </cell>
          <cell r="Q701">
            <v>3</v>
          </cell>
          <cell r="R701">
            <v>93.506163494809684</v>
          </cell>
        </row>
        <row r="702">
          <cell r="A702" t="str">
            <v>L000348</v>
          </cell>
          <cell r="B702" t="str">
            <v>R-302</v>
          </cell>
          <cell r="C702" t="str">
            <v>Evial</v>
          </cell>
          <cell r="D702" t="str">
            <v>Repetidor simple p/descarga</v>
          </cell>
          <cell r="E702">
            <v>1</v>
          </cell>
          <cell r="I702">
            <v>39.85</v>
          </cell>
          <cell r="J702">
            <v>0.42389460784313726</v>
          </cell>
          <cell r="K702">
            <v>0.52986825980392149</v>
          </cell>
          <cell r="L702">
            <v>3</v>
          </cell>
          <cell r="M702">
            <v>0.62337442329873116</v>
          </cell>
          <cell r="N702">
            <v>0.65454314446366779</v>
          </cell>
          <cell r="O702">
            <v>0.73338167446909552</v>
          </cell>
          <cell r="P702">
            <v>0.8067198419160051</v>
          </cell>
          <cell r="Q702">
            <v>3</v>
          </cell>
          <cell r="R702">
            <v>0.91672709308636935</v>
          </cell>
        </row>
        <row r="703">
          <cell r="A703" t="str">
            <v>L000349</v>
          </cell>
          <cell r="B703" t="str">
            <v>R-304</v>
          </cell>
          <cell r="C703" t="str">
            <v>Evial</v>
          </cell>
          <cell r="D703" t="str">
            <v>Repetidor tipo MR2 de plastico</v>
          </cell>
          <cell r="E703">
            <v>1</v>
          </cell>
          <cell r="I703">
            <v>54</v>
          </cell>
          <cell r="J703">
            <v>0.57441176470588229</v>
          </cell>
          <cell r="K703">
            <v>0.71801470588235283</v>
          </cell>
          <cell r="L703">
            <v>3</v>
          </cell>
          <cell r="M703">
            <v>0.84472318339100338</v>
          </cell>
          <cell r="N703">
            <v>0.88695934256055364</v>
          </cell>
          <cell r="O703">
            <v>0.99379198046000405</v>
          </cell>
          <cell r="P703">
            <v>1.0931711785060045</v>
          </cell>
          <cell r="Q703">
            <v>3</v>
          </cell>
          <cell r="R703">
            <v>1.2422399755750051</v>
          </cell>
        </row>
        <row r="704">
          <cell r="A704" t="str">
            <v>L000350</v>
          </cell>
          <cell r="B704" t="str">
            <v>G-101</v>
          </cell>
          <cell r="C704" t="str">
            <v>Evial</v>
          </cell>
          <cell r="D704" t="str">
            <v>Robinete de vacío</v>
          </cell>
          <cell r="E704">
            <v>1</v>
          </cell>
          <cell r="I704">
            <v>5.35</v>
          </cell>
          <cell r="J704">
            <v>5.6909313725490192E-2</v>
          </cell>
          <cell r="K704">
            <v>7.1136642156862731E-2</v>
          </cell>
          <cell r="L704">
            <v>3</v>
          </cell>
          <cell r="M704">
            <v>8.3690167243367919E-2</v>
          </cell>
          <cell r="N704">
            <v>8.7874675605536315E-2</v>
          </cell>
          <cell r="O704">
            <v>9.8459020286315202E-2</v>
          </cell>
          <cell r="P704">
            <v>0.10830492231494673</v>
          </cell>
          <cell r="Q704">
            <v>3</v>
          </cell>
          <cell r="R704">
            <v>0.123073775357894</v>
          </cell>
        </row>
        <row r="705">
          <cell r="A705" t="str">
            <v>L000351</v>
          </cell>
          <cell r="B705" t="str">
            <v>A-734</v>
          </cell>
          <cell r="C705" t="str">
            <v>Evial</v>
          </cell>
          <cell r="D705" t="str">
            <v>Soporte p/ caños de 63x63x40 con cupla de 50mm</v>
          </cell>
          <cell r="E705">
            <v>1</v>
          </cell>
          <cell r="I705">
            <v>18</v>
          </cell>
          <cell r="J705">
            <v>0.19147058823529414</v>
          </cell>
          <cell r="K705">
            <v>0.23933823529411766</v>
          </cell>
          <cell r="L705">
            <v>3</v>
          </cell>
          <cell r="M705">
            <v>0.28157439446366783</v>
          </cell>
          <cell r="N705">
            <v>0.29565311418685125</v>
          </cell>
          <cell r="O705">
            <v>0.33126399348666807</v>
          </cell>
          <cell r="P705">
            <v>0.36439039283533492</v>
          </cell>
          <cell r="Q705">
            <v>3</v>
          </cell>
          <cell r="R705">
            <v>0.41407999185833505</v>
          </cell>
        </row>
        <row r="706">
          <cell r="A706" t="str">
            <v>L000352</v>
          </cell>
          <cell r="B706" t="str">
            <v>A-736</v>
          </cell>
          <cell r="C706" t="str">
            <v>Evial</v>
          </cell>
          <cell r="D706" t="str">
            <v>Soporte simple p/ caño de 38mm</v>
          </cell>
          <cell r="E706">
            <v>1</v>
          </cell>
          <cell r="I706">
            <v>10.1</v>
          </cell>
          <cell r="J706">
            <v>0.10743627450980391</v>
          </cell>
          <cell r="K706">
            <v>0.13429534313725489</v>
          </cell>
          <cell r="L706">
            <v>3</v>
          </cell>
          <cell r="M706">
            <v>0.15799452133794692</v>
          </cell>
          <cell r="N706">
            <v>0.16589424740484426</v>
          </cell>
          <cell r="O706">
            <v>0.18587590745640814</v>
          </cell>
          <cell r="P706">
            <v>0.20446349820204898</v>
          </cell>
          <cell r="Q706">
            <v>3</v>
          </cell>
          <cell r="R706">
            <v>0.23234488432051018</v>
          </cell>
        </row>
        <row r="707">
          <cell r="A707" t="str">
            <v>L000353</v>
          </cell>
          <cell r="B707" t="str">
            <v>A-735</v>
          </cell>
          <cell r="C707" t="str">
            <v>Evial</v>
          </cell>
          <cell r="D707" t="str">
            <v>Soporte simple p/ caño de 50mm</v>
          </cell>
          <cell r="E707">
            <v>1</v>
          </cell>
          <cell r="I707">
            <v>11.95</v>
          </cell>
          <cell r="J707">
            <v>0.12711519607843136</v>
          </cell>
          <cell r="K707">
            <v>0.1588939950980392</v>
          </cell>
          <cell r="L707">
            <v>3</v>
          </cell>
          <cell r="M707">
            <v>0.18693411188004613</v>
          </cell>
          <cell r="N707">
            <v>0.19628081747404844</v>
          </cell>
          <cell r="O707">
            <v>0.21992248456476016</v>
          </cell>
          <cell r="P707">
            <v>0.2419147330212362</v>
          </cell>
          <cell r="Q707">
            <v>3</v>
          </cell>
          <cell r="R707">
            <v>0.27490310570595017</v>
          </cell>
        </row>
        <row r="708">
          <cell r="A708" t="str">
            <v>L000354</v>
          </cell>
          <cell r="B708" t="str">
            <v>G-808</v>
          </cell>
          <cell r="C708" t="str">
            <v>Evial</v>
          </cell>
          <cell r="D708" t="str">
            <v>Tapa Acero TF</v>
          </cell>
          <cell r="E708">
            <v>1</v>
          </cell>
          <cell r="I708">
            <v>103.25</v>
          </cell>
          <cell r="J708">
            <v>1.0982965686274508</v>
          </cell>
          <cell r="K708">
            <v>1.3728707107843134</v>
          </cell>
          <cell r="L708">
            <v>3</v>
          </cell>
          <cell r="M708">
            <v>1.6151420126874276</v>
          </cell>
          <cell r="N708">
            <v>1.6958991133217991</v>
          </cell>
          <cell r="O708">
            <v>1.900167073749915</v>
          </cell>
          <cell r="P708">
            <v>2.0901837811249067</v>
          </cell>
          <cell r="Q708">
            <v>3</v>
          </cell>
          <cell r="R708">
            <v>2.3752088421873938</v>
          </cell>
        </row>
        <row r="709">
          <cell r="A709" t="str">
            <v>L000355</v>
          </cell>
          <cell r="B709" t="str">
            <v>U-151</v>
          </cell>
          <cell r="C709" t="str">
            <v>Evial</v>
          </cell>
          <cell r="D709" t="str">
            <v>Unión doble 38 mm</v>
          </cell>
          <cell r="E709">
            <v>1</v>
          </cell>
          <cell r="I709">
            <v>7.78</v>
          </cell>
          <cell r="J709">
            <v>8.2757843137254899E-2</v>
          </cell>
          <cell r="K709">
            <v>0.10344730392156862</v>
          </cell>
          <cell r="L709">
            <v>3</v>
          </cell>
          <cell r="M709">
            <v>0.12170271049596308</v>
          </cell>
          <cell r="N709">
            <v>0.12778784602076124</v>
          </cell>
          <cell r="O709">
            <v>0.14317965940701538</v>
          </cell>
          <cell r="P709">
            <v>0.15749762534771694</v>
          </cell>
          <cell r="Q709">
            <v>3</v>
          </cell>
          <cell r="R709">
            <v>0.17897457425876923</v>
          </cell>
        </row>
        <row r="710">
          <cell r="A710" t="str">
            <v>L000356</v>
          </cell>
          <cell r="B710" t="str">
            <v>U-154</v>
          </cell>
          <cell r="C710" t="str">
            <v>Evial</v>
          </cell>
          <cell r="D710" t="str">
            <v>Unión doble 38 mm. c/cupla</v>
          </cell>
          <cell r="E710">
            <v>1</v>
          </cell>
          <cell r="I710">
            <v>12.85</v>
          </cell>
          <cell r="J710">
            <v>0.13668872549019606</v>
          </cell>
          <cell r="K710">
            <v>0.17086090686274508</v>
          </cell>
          <cell r="L710">
            <v>3</v>
          </cell>
          <cell r="M710">
            <v>0.2010128316032295</v>
          </cell>
          <cell r="N710">
            <v>0.21106347318339097</v>
          </cell>
          <cell r="O710">
            <v>0.23648568423909352</v>
          </cell>
          <cell r="P710">
            <v>0.26013425266300289</v>
          </cell>
          <cell r="Q710">
            <v>3</v>
          </cell>
          <cell r="R710">
            <v>0.29560710529886691</v>
          </cell>
        </row>
        <row r="711">
          <cell r="A711" t="str">
            <v>L000357</v>
          </cell>
          <cell r="B711" t="str">
            <v>U-152</v>
          </cell>
          <cell r="C711" t="str">
            <v>Evial</v>
          </cell>
          <cell r="D711" t="str">
            <v>Unión doble 50 mm</v>
          </cell>
          <cell r="E711">
            <v>1</v>
          </cell>
          <cell r="I711">
            <v>7.99</v>
          </cell>
          <cell r="J711">
            <v>8.4991666666666674E-2</v>
          </cell>
          <cell r="K711">
            <v>0.10623958333333333</v>
          </cell>
          <cell r="L711">
            <v>3</v>
          </cell>
          <cell r="M711">
            <v>0.12498774509803921</v>
          </cell>
          <cell r="N711">
            <v>0.13123713235294118</v>
          </cell>
          <cell r="O711">
            <v>0.14704440599769319</v>
          </cell>
          <cell r="P711">
            <v>0.16174884659746253</v>
          </cell>
          <cell r="Q711">
            <v>3</v>
          </cell>
          <cell r="R711">
            <v>0.18380550749711649</v>
          </cell>
        </row>
        <row r="712">
          <cell r="A712" t="str">
            <v>L000358</v>
          </cell>
          <cell r="B712" t="str">
            <v>U-155</v>
          </cell>
          <cell r="C712" t="str">
            <v>Evial</v>
          </cell>
          <cell r="D712" t="str">
            <v>Unión doble 50 mm. c/cupla</v>
          </cell>
          <cell r="E712">
            <v>1</v>
          </cell>
          <cell r="I712">
            <v>13.95</v>
          </cell>
          <cell r="J712">
            <v>0.14838970588235292</v>
          </cell>
          <cell r="K712">
            <v>0.18548713235294115</v>
          </cell>
          <cell r="L712">
            <v>3</v>
          </cell>
          <cell r="M712">
            <v>0.21822015570934253</v>
          </cell>
          <cell r="N712">
            <v>0.22913116349480966</v>
          </cell>
          <cell r="O712">
            <v>0.25672959495216768</v>
          </cell>
          <cell r="P712">
            <v>0.28240255444738449</v>
          </cell>
          <cell r="Q712">
            <v>3</v>
          </cell>
          <cell r="R712">
            <v>0.32091199369020956</v>
          </cell>
        </row>
        <row r="713">
          <cell r="A713" t="str">
            <v>L000359</v>
          </cell>
          <cell r="B713" t="str">
            <v>X-051</v>
          </cell>
          <cell r="C713" t="str">
            <v>Evial</v>
          </cell>
          <cell r="D713" t="str">
            <v>Vacuómetro 100 mm. rosca infer.de 1/2¨</v>
          </cell>
          <cell r="E713">
            <v>1</v>
          </cell>
          <cell r="I713">
            <v>99.5</v>
          </cell>
          <cell r="J713">
            <v>1.058406862745098</v>
          </cell>
          <cell r="K713">
            <v>1.3230085784313723</v>
          </cell>
          <cell r="L713">
            <v>3</v>
          </cell>
          <cell r="M713">
            <v>1.5564806805074969</v>
          </cell>
          <cell r="N713">
            <v>1.6343047145328717</v>
          </cell>
          <cell r="O713">
            <v>1.8311537417735257</v>
          </cell>
          <cell r="P713">
            <v>2.0142691159508783</v>
          </cell>
          <cell r="Q713">
            <v>3</v>
          </cell>
          <cell r="R713">
            <v>2.288942177216907</v>
          </cell>
        </row>
        <row r="714">
          <cell r="A714" t="str">
            <v>L000360</v>
          </cell>
          <cell r="B714" t="str">
            <v>X-041</v>
          </cell>
          <cell r="C714" t="str">
            <v>Evial</v>
          </cell>
          <cell r="D714" t="str">
            <v xml:space="preserve">Vacuómetro 63 mm. rosca infer.de 1/4¨ </v>
          </cell>
          <cell r="E714">
            <v>1</v>
          </cell>
          <cell r="I714">
            <v>36.75</v>
          </cell>
          <cell r="J714">
            <v>0.39091911764705883</v>
          </cell>
          <cell r="K714">
            <v>0.48864889705882353</v>
          </cell>
          <cell r="L714">
            <v>3</v>
          </cell>
          <cell r="M714">
            <v>0.57488105536332179</v>
          </cell>
          <cell r="N714">
            <v>0.60362510813148795</v>
          </cell>
          <cell r="O714">
            <v>0.67633065336861387</v>
          </cell>
          <cell r="P714">
            <v>0.74396371870547529</v>
          </cell>
          <cell r="Q714">
            <v>3</v>
          </cell>
          <cell r="R714">
            <v>0.84541331671076725</v>
          </cell>
        </row>
        <row r="715">
          <cell r="A715" t="str">
            <v>L000361</v>
          </cell>
          <cell r="B715" t="str">
            <v>V-401</v>
          </cell>
          <cell r="C715" t="str">
            <v>Evial</v>
          </cell>
          <cell r="D715" t="str">
            <v>Válvula reguladora hasta 800 lts</v>
          </cell>
          <cell r="E715">
            <v>1</v>
          </cell>
          <cell r="I715">
            <v>47.5</v>
          </cell>
          <cell r="J715">
            <v>0.50526960784313724</v>
          </cell>
          <cell r="K715">
            <v>0.63158700980392146</v>
          </cell>
          <cell r="L715">
            <v>3</v>
          </cell>
          <cell r="M715">
            <v>0.74304354094578995</v>
          </cell>
          <cell r="N715">
            <v>0.78019571799307952</v>
          </cell>
          <cell r="O715">
            <v>0.87416887170092938</v>
          </cell>
          <cell r="P715">
            <v>0.96158575887102238</v>
          </cell>
          <cell r="Q715">
            <v>3</v>
          </cell>
          <cell r="R715">
            <v>1.0927110896261616</v>
          </cell>
        </row>
        <row r="716">
          <cell r="A716" t="str">
            <v>L000362</v>
          </cell>
          <cell r="B716" t="str">
            <v>V-410</v>
          </cell>
          <cell r="C716" t="str">
            <v>Evial</v>
          </cell>
          <cell r="D716" t="str">
            <v>Válvula reguladora servo 3500 lts</v>
          </cell>
          <cell r="E716">
            <v>1</v>
          </cell>
          <cell r="I716">
            <v>245</v>
          </cell>
          <cell r="J716">
            <v>2.606127450980392</v>
          </cell>
          <cell r="K716">
            <v>3.2576593137254899</v>
          </cell>
          <cell r="L716">
            <v>3</v>
          </cell>
          <cell r="M716">
            <v>3.8325403690888118</v>
          </cell>
          <cell r="N716">
            <v>4.0241673875432529</v>
          </cell>
          <cell r="O716">
            <v>4.5088710224574253</v>
          </cell>
          <cell r="P716">
            <v>4.9597581247031686</v>
          </cell>
          <cell r="Q716">
            <v>3</v>
          </cell>
          <cell r="R716">
            <v>5.6360887780717812</v>
          </cell>
        </row>
        <row r="717">
          <cell r="A717" t="str">
            <v>L000363</v>
          </cell>
          <cell r="B717" t="str">
            <v>OM-819</v>
          </cell>
          <cell r="C717" t="str">
            <v>Evial</v>
          </cell>
          <cell r="D717" t="str">
            <v>Vaso Aplicador</v>
          </cell>
          <cell r="E717">
            <v>1</v>
          </cell>
          <cell r="I717">
            <v>21.4</v>
          </cell>
          <cell r="J717">
            <v>0.22763725490196077</v>
          </cell>
          <cell r="K717">
            <v>0.28454656862745092</v>
          </cell>
          <cell r="L717">
            <v>3</v>
          </cell>
          <cell r="M717">
            <v>0.33476066897347168</v>
          </cell>
          <cell r="N717">
            <v>0.35149870242214526</v>
          </cell>
          <cell r="O717">
            <v>0.39383608114526081</v>
          </cell>
          <cell r="P717">
            <v>0.43321968925978693</v>
          </cell>
          <cell r="Q717">
            <v>3</v>
          </cell>
          <cell r="R717">
            <v>0.49229510143157601</v>
          </cell>
        </row>
        <row r="718">
          <cell r="A718" t="str">
            <v>L000364</v>
          </cell>
          <cell r="B718" t="str">
            <v>I-25</v>
          </cell>
          <cell r="C718" t="str">
            <v>Evial</v>
          </cell>
          <cell r="D718" t="str">
            <v>ALAMBRE P/ FRASCO TRAMPA</v>
          </cell>
          <cell r="E718">
            <v>1</v>
          </cell>
          <cell r="I718">
            <v>5.15</v>
          </cell>
          <cell r="J718">
            <v>5.4781862745098039E-2</v>
          </cell>
          <cell r="K718">
            <v>6.8477328431372539E-2</v>
          </cell>
          <cell r="L718">
            <v>3</v>
          </cell>
          <cell r="M718">
            <v>8.0561562860438279E-2</v>
          </cell>
          <cell r="N718">
            <v>8.4589641003460198E-2</v>
          </cell>
          <cell r="O718">
            <v>9.4778309247574452E-2</v>
          </cell>
          <cell r="P718">
            <v>0.10425614017233191</v>
          </cell>
          <cell r="Q718">
            <v>3</v>
          </cell>
          <cell r="R718">
            <v>0.11847288655946805</v>
          </cell>
        </row>
        <row r="719">
          <cell r="A719" t="str">
            <v>L000365</v>
          </cell>
          <cell r="B719" t="str">
            <v>X-420</v>
          </cell>
          <cell r="C719" t="str">
            <v>Evial</v>
          </cell>
          <cell r="D719" t="str">
            <v>CONO VALVULA SERVO</v>
          </cell>
          <cell r="E719">
            <v>1</v>
          </cell>
          <cell r="I719">
            <v>8.15</v>
          </cell>
          <cell r="J719">
            <v>8.6693627450980401E-2</v>
          </cell>
          <cell r="K719">
            <v>0.10836703431372549</v>
          </cell>
          <cell r="L719">
            <v>3</v>
          </cell>
          <cell r="M719">
            <v>0.12749062860438293</v>
          </cell>
          <cell r="N719">
            <v>0.13386516003460208</v>
          </cell>
          <cell r="O719">
            <v>0.14998897482868581</v>
          </cell>
          <cell r="P719">
            <v>0.1649878723115544</v>
          </cell>
          <cell r="Q719">
            <v>3</v>
          </cell>
          <cell r="R719">
            <v>0.18748621853585726</v>
          </cell>
        </row>
        <row r="720">
          <cell r="A720" t="str">
            <v>L000366</v>
          </cell>
          <cell r="B720" t="str">
            <v>X-053</v>
          </cell>
          <cell r="C720" t="str">
            <v>Evial</v>
          </cell>
          <cell r="D720" t="str">
            <v>CORREA TF-350</v>
          </cell>
          <cell r="E720">
            <v>1</v>
          </cell>
          <cell r="I720">
            <v>10.1</v>
          </cell>
          <cell r="J720">
            <v>0.10743627450980391</v>
          </cell>
          <cell r="K720">
            <v>0.13429534313725489</v>
          </cell>
          <cell r="L720">
            <v>3</v>
          </cell>
          <cell r="M720">
            <v>0.15799452133794692</v>
          </cell>
          <cell r="N720">
            <v>0.16589424740484426</v>
          </cell>
          <cell r="O720">
            <v>0.18587590745640814</v>
          </cell>
          <cell r="P720">
            <v>0.20446349820204898</v>
          </cell>
          <cell r="Q720">
            <v>3</v>
          </cell>
          <cell r="R720">
            <v>0.23234488432051018</v>
          </cell>
        </row>
        <row r="721">
          <cell r="A721" t="str">
            <v>L000367</v>
          </cell>
          <cell r="B721" t="str">
            <v>X-052</v>
          </cell>
          <cell r="C721" t="str">
            <v>Evial</v>
          </cell>
          <cell r="D721" t="str">
            <v>CORREA TF-360</v>
          </cell>
          <cell r="E721">
            <v>1</v>
          </cell>
          <cell r="I721">
            <v>10.1</v>
          </cell>
          <cell r="J721">
            <v>0.10743627450980391</v>
          </cell>
          <cell r="K721">
            <v>0.13429534313725489</v>
          </cell>
          <cell r="L721">
            <v>3</v>
          </cell>
          <cell r="M721">
            <v>0.15799452133794692</v>
          </cell>
          <cell r="N721">
            <v>0.16589424740484426</v>
          </cell>
          <cell r="O721">
            <v>0.18587590745640814</v>
          </cell>
          <cell r="P721">
            <v>0.20446349820204898</v>
          </cell>
          <cell r="Q721">
            <v>3</v>
          </cell>
          <cell r="R721">
            <v>0.23234488432051018</v>
          </cell>
        </row>
        <row r="722">
          <cell r="A722" t="str">
            <v>L000368</v>
          </cell>
          <cell r="B722" t="str">
            <v>X-001</v>
          </cell>
          <cell r="C722" t="str">
            <v>Evial</v>
          </cell>
          <cell r="D722" t="str">
            <v>CUERPO DE PULSADOR</v>
          </cell>
          <cell r="E722">
            <v>1</v>
          </cell>
          <cell r="I722">
            <v>5.15</v>
          </cell>
          <cell r="J722">
            <v>5.4781862745098039E-2</v>
          </cell>
          <cell r="K722">
            <v>6.8477328431372539E-2</v>
          </cell>
          <cell r="L722">
            <v>3</v>
          </cell>
          <cell r="M722">
            <v>8.0561562860438279E-2</v>
          </cell>
          <cell r="N722">
            <v>8.4589641003460198E-2</v>
          </cell>
          <cell r="O722">
            <v>9.4778309247574452E-2</v>
          </cell>
          <cell r="P722">
            <v>0.10425614017233191</v>
          </cell>
          <cell r="Q722">
            <v>3</v>
          </cell>
          <cell r="R722">
            <v>0.11847288655946805</v>
          </cell>
        </row>
        <row r="723">
          <cell r="A723" t="str">
            <v>L000369</v>
          </cell>
          <cell r="B723" t="str">
            <v>X-020</v>
          </cell>
          <cell r="C723" t="str">
            <v>Evial</v>
          </cell>
          <cell r="D723" t="str">
            <v>CUERPO REPETIDOR</v>
          </cell>
          <cell r="E723">
            <v>1</v>
          </cell>
          <cell r="I723">
            <v>5.75</v>
          </cell>
          <cell r="J723">
            <v>6.1164215686274503E-2</v>
          </cell>
          <cell r="K723">
            <v>7.6455269607843129E-2</v>
          </cell>
          <cell r="L723">
            <v>3</v>
          </cell>
          <cell r="M723">
            <v>8.9947376009227212E-2</v>
          </cell>
          <cell r="N723">
            <v>9.4444744809688577E-2</v>
          </cell>
          <cell r="O723">
            <v>0.10582044236379672</v>
          </cell>
          <cell r="P723">
            <v>0.11640248660017639</v>
          </cell>
          <cell r="Q723">
            <v>3</v>
          </cell>
          <cell r="R723">
            <v>0.13227555295474588</v>
          </cell>
        </row>
        <row r="724">
          <cell r="A724" t="str">
            <v>L000370</v>
          </cell>
          <cell r="B724" t="str">
            <v>X-030</v>
          </cell>
          <cell r="C724" t="str">
            <v>Evial</v>
          </cell>
          <cell r="D724" t="str">
            <v>EJE DE PULSADOR 50-50</v>
          </cell>
          <cell r="E724">
            <v>1</v>
          </cell>
          <cell r="I724">
            <v>5.5</v>
          </cell>
          <cell r="J724">
            <v>5.8504901960784304E-2</v>
          </cell>
          <cell r="K724">
            <v>7.3131127450980382E-2</v>
          </cell>
          <cell r="L724">
            <v>3</v>
          </cell>
          <cell r="M724">
            <v>8.6036620530565155E-2</v>
          </cell>
          <cell r="N724">
            <v>9.0338451557093413E-2</v>
          </cell>
          <cell r="O724">
            <v>0.10121955356537077</v>
          </cell>
          <cell r="P724">
            <v>0.11134150892190785</v>
          </cell>
          <cell r="Q724">
            <v>3</v>
          </cell>
          <cell r="R724">
            <v>0.12652444195671345</v>
          </cell>
        </row>
        <row r="725">
          <cell r="A725" t="str">
            <v>L000371</v>
          </cell>
          <cell r="B725" t="str">
            <v>X-031</v>
          </cell>
          <cell r="C725" t="str">
            <v>Evial</v>
          </cell>
          <cell r="D725" t="str">
            <v>EJE DE PULSADOR 60-40</v>
          </cell>
          <cell r="E725">
            <v>1</v>
          </cell>
          <cell r="I725">
            <v>10</v>
          </cell>
          <cell r="J725">
            <v>0.10637254901960784</v>
          </cell>
          <cell r="K725">
            <v>0.1329656862745098</v>
          </cell>
          <cell r="L725">
            <v>3</v>
          </cell>
          <cell r="M725">
            <v>0.15643021914648211</v>
          </cell>
          <cell r="N725">
            <v>0.16425173010380623</v>
          </cell>
          <cell r="O725">
            <v>0.18403555193703777</v>
          </cell>
          <cell r="P725">
            <v>0.20243910713074156</v>
          </cell>
          <cell r="Q725">
            <v>3</v>
          </cell>
          <cell r="R725">
            <v>0.23004443992129719</v>
          </cell>
        </row>
        <row r="726">
          <cell r="A726" t="str">
            <v>L000372</v>
          </cell>
          <cell r="B726" t="str">
            <v>X-022</v>
          </cell>
          <cell r="C726" t="str">
            <v>Evial</v>
          </cell>
          <cell r="D726" t="str">
            <v>EJE DE REPETIDOR</v>
          </cell>
          <cell r="E726">
            <v>1</v>
          </cell>
          <cell r="I726">
            <v>3.6</v>
          </cell>
          <cell r="J726">
            <v>3.8294117647058826E-2</v>
          </cell>
          <cell r="K726">
            <v>4.7867647058823529E-2</v>
          </cell>
          <cell r="L726">
            <v>3</v>
          </cell>
          <cell r="M726">
            <v>5.6314878892733566E-2</v>
          </cell>
          <cell r="N726">
            <v>5.913062283737025E-2</v>
          </cell>
          <cell r="O726">
            <v>6.6252798697333609E-2</v>
          </cell>
          <cell r="P726">
            <v>7.2878078567066976E-2</v>
          </cell>
          <cell r="Q726">
            <v>3</v>
          </cell>
          <cell r="R726">
            <v>8.2815998371667005E-2</v>
          </cell>
        </row>
        <row r="727">
          <cell r="A727" t="str">
            <v>L000373</v>
          </cell>
          <cell r="B727" t="str">
            <v>X-021</v>
          </cell>
          <cell r="C727" t="str">
            <v>Evial</v>
          </cell>
          <cell r="D727" t="str">
            <v>EJE REPETIDOR COMPLETO</v>
          </cell>
          <cell r="E727">
            <v>1</v>
          </cell>
          <cell r="I727">
            <v>8.5</v>
          </cell>
          <cell r="J727">
            <v>9.0416666666666673E-2</v>
          </cell>
          <cell r="K727">
            <v>0.11302083333333333</v>
          </cell>
          <cell r="L727">
            <v>3</v>
          </cell>
          <cell r="M727">
            <v>0.1329656862745098</v>
          </cell>
          <cell r="N727">
            <v>0.1396139705882353</v>
          </cell>
          <cell r="O727">
            <v>0.15643021914648211</v>
          </cell>
          <cell r="P727">
            <v>0.17207324106113034</v>
          </cell>
          <cell r="Q727">
            <v>3</v>
          </cell>
          <cell r="R727">
            <v>0.19553777393310262</v>
          </cell>
        </row>
        <row r="728">
          <cell r="A728" t="str">
            <v>L000374</v>
          </cell>
          <cell r="B728" t="str">
            <v>X-005</v>
          </cell>
          <cell r="C728" t="str">
            <v>Evial</v>
          </cell>
          <cell r="D728" t="str">
            <v>FILTRO PULSADOR</v>
          </cell>
          <cell r="E728">
            <v>1</v>
          </cell>
          <cell r="I728">
            <v>3.6</v>
          </cell>
          <cell r="J728">
            <v>3.8294117647058826E-2</v>
          </cell>
          <cell r="K728">
            <v>4.7867647058823529E-2</v>
          </cell>
          <cell r="L728">
            <v>3</v>
          </cell>
          <cell r="M728">
            <v>5.6314878892733566E-2</v>
          </cell>
          <cell r="N728">
            <v>5.913062283737025E-2</v>
          </cell>
          <cell r="O728">
            <v>6.6252798697333609E-2</v>
          </cell>
          <cell r="P728">
            <v>7.2878078567066976E-2</v>
          </cell>
          <cell r="Q728">
            <v>3</v>
          </cell>
          <cell r="R728">
            <v>8.2815998371667005E-2</v>
          </cell>
        </row>
        <row r="729">
          <cell r="A729" t="str">
            <v>L000375</v>
          </cell>
          <cell r="B729" t="str">
            <v>X-412</v>
          </cell>
          <cell r="C729" t="str">
            <v>Evial</v>
          </cell>
          <cell r="D729" t="str">
            <v>FILTRO VÁLVULA SERVO</v>
          </cell>
          <cell r="E729">
            <v>1</v>
          </cell>
          <cell r="I729">
            <v>13.5</v>
          </cell>
          <cell r="J729">
            <v>0.14360294117647057</v>
          </cell>
          <cell r="K729">
            <v>0.17950367647058821</v>
          </cell>
          <cell r="L729">
            <v>3</v>
          </cell>
          <cell r="M729">
            <v>0.21118079584775085</v>
          </cell>
          <cell r="N729">
            <v>0.22173983564013841</v>
          </cell>
          <cell r="O729">
            <v>0.24844799511500101</v>
          </cell>
          <cell r="P729">
            <v>0.27329279462650113</v>
          </cell>
          <cell r="Q729">
            <v>3</v>
          </cell>
          <cell r="R729">
            <v>0.31055999389375127</v>
          </cell>
        </row>
        <row r="730">
          <cell r="A730" t="str">
            <v>L000376</v>
          </cell>
          <cell r="B730" t="str">
            <v>X-002</v>
          </cell>
          <cell r="C730" t="str">
            <v>Evial</v>
          </cell>
          <cell r="D730" t="str">
            <v>REDUCCIONES</v>
          </cell>
          <cell r="E730">
            <v>1</v>
          </cell>
          <cell r="I730">
            <v>3.8</v>
          </cell>
          <cell r="J730">
            <v>4.0421568627450971E-2</v>
          </cell>
          <cell r="K730">
            <v>5.0526960784313714E-2</v>
          </cell>
          <cell r="L730">
            <v>3</v>
          </cell>
          <cell r="M730">
            <v>5.9443483275663192E-2</v>
          </cell>
          <cell r="N730">
            <v>6.2415657439446354E-2</v>
          </cell>
          <cell r="O730">
            <v>6.9933509736074345E-2</v>
          </cell>
          <cell r="P730">
            <v>7.6926860709681785E-2</v>
          </cell>
          <cell r="Q730">
            <v>3</v>
          </cell>
          <cell r="R730">
            <v>8.7416887170092925E-2</v>
          </cell>
        </row>
        <row r="731">
          <cell r="A731" t="str">
            <v>L000377</v>
          </cell>
          <cell r="B731" t="str">
            <v>X-035</v>
          </cell>
          <cell r="C731" t="str">
            <v>Evial</v>
          </cell>
          <cell r="D731" t="str">
            <v>REGISTRO DE VASO CON O´RING</v>
          </cell>
          <cell r="E731">
            <v>1</v>
          </cell>
          <cell r="I731">
            <v>5.35</v>
          </cell>
          <cell r="J731">
            <v>5.6909313725490192E-2</v>
          </cell>
          <cell r="K731">
            <v>7.1136642156862731E-2</v>
          </cell>
          <cell r="L731">
            <v>3</v>
          </cell>
          <cell r="M731">
            <v>8.3690167243367919E-2</v>
          </cell>
          <cell r="N731">
            <v>8.7874675605536315E-2</v>
          </cell>
          <cell r="O731">
            <v>9.8459020286315202E-2</v>
          </cell>
          <cell r="P731">
            <v>0.10830492231494673</v>
          </cell>
          <cell r="Q731">
            <v>3</v>
          </cell>
          <cell r="R731">
            <v>0.123073775357894</v>
          </cell>
        </row>
        <row r="732">
          <cell r="A732" t="str">
            <v>L000378</v>
          </cell>
          <cell r="B732" t="str">
            <v>X-411</v>
          </cell>
          <cell r="C732" t="str">
            <v>Evial</v>
          </cell>
          <cell r="D732" t="str">
            <v>TORNILLO BRONCE P/ VALV. SERVO</v>
          </cell>
          <cell r="E732">
            <v>1</v>
          </cell>
          <cell r="I732">
            <v>3</v>
          </cell>
          <cell r="J732">
            <v>3.1911764705882355E-2</v>
          </cell>
          <cell r="K732">
            <v>3.9889705882352938E-2</v>
          </cell>
          <cell r="L732">
            <v>3</v>
          </cell>
          <cell r="M732">
            <v>4.6929065743944634E-2</v>
          </cell>
          <cell r="N732">
            <v>4.9275519031141871E-2</v>
          </cell>
          <cell r="O732">
            <v>5.5210665581111339E-2</v>
          </cell>
          <cell r="P732">
            <v>6.0731732139222477E-2</v>
          </cell>
          <cell r="Q732">
            <v>3</v>
          </cell>
          <cell r="R732">
            <v>6.9013331976389175E-2</v>
          </cell>
        </row>
        <row r="733">
          <cell r="A733" t="str">
            <v>L000379</v>
          </cell>
          <cell r="B733" t="str">
            <v>X-016</v>
          </cell>
          <cell r="C733" t="str">
            <v>Evial</v>
          </cell>
          <cell r="D733" t="str">
            <v>TRABA P/ABRAZADERA</v>
          </cell>
          <cell r="E733">
            <v>1</v>
          </cell>
          <cell r="I733">
            <v>0.65</v>
          </cell>
          <cell r="J733">
            <v>6.9142156862745099E-3</v>
          </cell>
          <cell r="K733">
            <v>8.6427696078431367E-3</v>
          </cell>
          <cell r="L733">
            <v>3</v>
          </cell>
          <cell r="M733">
            <v>1.0167964244521337E-2</v>
          </cell>
          <cell r="N733">
            <v>1.0676362456747404E-2</v>
          </cell>
          <cell r="O733">
            <v>1.1962310875907456E-2</v>
          </cell>
          <cell r="P733">
            <v>1.3158541963498202E-2</v>
          </cell>
          <cell r="Q733">
            <v>3</v>
          </cell>
          <cell r="R733">
            <v>1.495288859488432E-2</v>
          </cell>
        </row>
        <row r="734">
          <cell r="A734" t="str">
            <v>L000380</v>
          </cell>
          <cell r="B734" t="str">
            <v>X-006</v>
          </cell>
          <cell r="C734" t="str">
            <v>Evial</v>
          </cell>
          <cell r="D734" t="str">
            <v>VASO DE PULSADOR 60-40</v>
          </cell>
          <cell r="E734">
            <v>1</v>
          </cell>
          <cell r="I734">
            <v>4</v>
          </cell>
          <cell r="J734">
            <v>4.2549019607843137E-2</v>
          </cell>
          <cell r="K734">
            <v>5.318627450980392E-2</v>
          </cell>
          <cell r="L734">
            <v>3</v>
          </cell>
          <cell r="M734">
            <v>6.2572087658592845E-2</v>
          </cell>
          <cell r="N734">
            <v>6.5700692041522485E-2</v>
          </cell>
          <cell r="O734">
            <v>7.3614220774815109E-2</v>
          </cell>
          <cell r="P734">
            <v>8.0975642852296623E-2</v>
          </cell>
          <cell r="Q734">
            <v>3</v>
          </cell>
          <cell r="R734">
            <v>9.2017775968518886E-2</v>
          </cell>
        </row>
        <row r="735">
          <cell r="A735" t="str">
            <v>L000381</v>
          </cell>
          <cell r="B735" t="str">
            <v>X-007</v>
          </cell>
          <cell r="C735" t="str">
            <v>Evial</v>
          </cell>
          <cell r="D735" t="str">
            <v>VASO PULSADOR DESC. LARGO</v>
          </cell>
          <cell r="E735">
            <v>1</v>
          </cell>
          <cell r="I735">
            <v>6.45</v>
          </cell>
          <cell r="J735">
            <v>6.8610294117647061E-2</v>
          </cell>
          <cell r="K735">
            <v>8.5762867647058816E-2</v>
          </cell>
          <cell r="L735">
            <v>3</v>
          </cell>
          <cell r="M735">
            <v>0.10089749134948096</v>
          </cell>
          <cell r="N735">
            <v>0.10594236591695502</v>
          </cell>
          <cell r="O735">
            <v>0.11870293099938937</v>
          </cell>
          <cell r="P735">
            <v>0.13057322409932831</v>
          </cell>
          <cell r="Q735">
            <v>3</v>
          </cell>
          <cell r="R735">
            <v>0.14837866374923672</v>
          </cell>
        </row>
        <row r="736">
          <cell r="A736" t="str">
            <v>L000382</v>
          </cell>
          <cell r="B736" t="str">
            <v>X-054</v>
          </cell>
          <cell r="C736" t="str">
            <v>Evial</v>
          </cell>
          <cell r="D736" t="str">
            <v>RESORTE GRANDE VALVULA SERVO</v>
          </cell>
          <cell r="E736">
            <v>1</v>
          </cell>
          <cell r="I736">
            <v>1.8</v>
          </cell>
          <cell r="J736">
            <v>1.9147058823529413E-2</v>
          </cell>
          <cell r="K736">
            <v>2.3933823529411764E-2</v>
          </cell>
          <cell r="L736">
            <v>3</v>
          </cell>
          <cell r="M736">
            <v>2.8157439446366783E-2</v>
          </cell>
          <cell r="N736">
            <v>2.9565311418685125E-2</v>
          </cell>
          <cell r="O736">
            <v>3.3126399348666805E-2</v>
          </cell>
          <cell r="P736">
            <v>3.6439039283533488E-2</v>
          </cell>
          <cell r="Q736">
            <v>3</v>
          </cell>
          <cell r="R736">
            <v>4.1407999185833502E-2</v>
          </cell>
        </row>
        <row r="737">
          <cell r="A737" t="str">
            <v>L000383</v>
          </cell>
          <cell r="B737" t="str">
            <v>I-35</v>
          </cell>
          <cell r="C737" t="str">
            <v>Evial</v>
          </cell>
          <cell r="D737" t="str">
            <v>ACC. DE GOMA P/ C-300</v>
          </cell>
          <cell r="E737">
            <v>1</v>
          </cell>
          <cell r="I737">
            <v>10</v>
          </cell>
          <cell r="J737">
            <v>0.10637254901960784</v>
          </cell>
          <cell r="K737">
            <v>0.1329656862745098</v>
          </cell>
          <cell r="L737">
            <v>3</v>
          </cell>
          <cell r="M737">
            <v>0.15643021914648211</v>
          </cell>
          <cell r="N737">
            <v>0.16425173010380623</v>
          </cell>
          <cell r="O737">
            <v>0.18403555193703777</v>
          </cell>
          <cell r="P737">
            <v>0.20243910713074156</v>
          </cell>
          <cell r="Q737">
            <v>3</v>
          </cell>
          <cell r="R737">
            <v>0.23004443992129719</v>
          </cell>
        </row>
        <row r="738">
          <cell r="A738" t="str">
            <v>L000384</v>
          </cell>
          <cell r="B738" t="str">
            <v>GO-012</v>
          </cell>
          <cell r="C738" t="str">
            <v>Evial</v>
          </cell>
          <cell r="D738" t="str">
            <v>ACC. FRASCO SANITARIO</v>
          </cell>
          <cell r="E738">
            <v>1</v>
          </cell>
          <cell r="I738">
            <v>4.75</v>
          </cell>
          <cell r="J738">
            <v>5.0526960784313721E-2</v>
          </cell>
          <cell r="K738">
            <v>6.3158700980392141E-2</v>
          </cell>
          <cell r="L738">
            <v>3</v>
          </cell>
          <cell r="M738">
            <v>7.4304354094578987E-2</v>
          </cell>
          <cell r="N738">
            <v>7.8019571799307935E-2</v>
          </cell>
          <cell r="O738">
            <v>8.7416887170092925E-2</v>
          </cell>
          <cell r="P738">
            <v>9.6158575887102221E-2</v>
          </cell>
          <cell r="Q738">
            <v>3</v>
          </cell>
          <cell r="R738">
            <v>0.10927110896261615</v>
          </cell>
        </row>
        <row r="739">
          <cell r="A739" t="str">
            <v>L000385</v>
          </cell>
          <cell r="B739" t="str">
            <v xml:space="preserve"> 1-19</v>
          </cell>
          <cell r="C739" t="str">
            <v>Evial</v>
          </cell>
          <cell r="D739" t="str">
            <v>ACC. GOMA P/COLECT. N.PULSE</v>
          </cell>
          <cell r="E739">
            <v>1</v>
          </cell>
          <cell r="I739">
            <v>11</v>
          </cell>
          <cell r="J739">
            <v>0.11700980392156861</v>
          </cell>
          <cell r="K739">
            <v>0.14626225490196076</v>
          </cell>
          <cell r="L739">
            <v>3</v>
          </cell>
          <cell r="M739">
            <v>0.17207324106113031</v>
          </cell>
          <cell r="N739">
            <v>0.18067690311418683</v>
          </cell>
          <cell r="O739">
            <v>0.20243910713074154</v>
          </cell>
          <cell r="P739">
            <v>0.22268301784381569</v>
          </cell>
          <cell r="Q739">
            <v>3</v>
          </cell>
          <cell r="R739">
            <v>0.25304888391342689</v>
          </cell>
        </row>
        <row r="740">
          <cell r="A740" t="str">
            <v>L000386</v>
          </cell>
          <cell r="B740" t="str">
            <v xml:space="preserve"> 1-16</v>
          </cell>
          <cell r="C740" t="str">
            <v>Evial</v>
          </cell>
          <cell r="D740" t="str">
            <v>CUPLA CÓNICA PARA UNIONES DE 38 mm</v>
          </cell>
          <cell r="E740">
            <v>1</v>
          </cell>
          <cell r="I740">
            <v>3</v>
          </cell>
          <cell r="J740">
            <v>3.1911764705882355E-2</v>
          </cell>
          <cell r="K740">
            <v>3.9889705882352938E-2</v>
          </cell>
          <cell r="L740">
            <v>3</v>
          </cell>
          <cell r="M740">
            <v>4.6929065743944634E-2</v>
          </cell>
          <cell r="N740">
            <v>4.9275519031141871E-2</v>
          </cell>
          <cell r="O740">
            <v>5.5210665581111339E-2</v>
          </cell>
          <cell r="P740">
            <v>6.0731732139222477E-2</v>
          </cell>
          <cell r="Q740">
            <v>3</v>
          </cell>
          <cell r="R740">
            <v>6.9013331976389175E-2</v>
          </cell>
        </row>
        <row r="741">
          <cell r="A741" t="str">
            <v>L000387</v>
          </cell>
          <cell r="B741" t="str">
            <v xml:space="preserve"> 1-17</v>
          </cell>
          <cell r="C741" t="str">
            <v>Evial</v>
          </cell>
          <cell r="D741" t="str">
            <v>CUPLA CÓNICA PARA UNIONES DE 50 mm</v>
          </cell>
          <cell r="E741">
            <v>1</v>
          </cell>
          <cell r="I741">
            <v>3.6</v>
          </cell>
          <cell r="J741">
            <v>3.8294117647058826E-2</v>
          </cell>
          <cell r="K741">
            <v>4.7867647058823529E-2</v>
          </cell>
          <cell r="L741">
            <v>3</v>
          </cell>
          <cell r="M741">
            <v>5.6314878892733566E-2</v>
          </cell>
          <cell r="N741">
            <v>5.913062283737025E-2</v>
          </cell>
          <cell r="O741">
            <v>6.6252798697333609E-2</v>
          </cell>
          <cell r="P741">
            <v>7.2878078567066976E-2</v>
          </cell>
          <cell r="Q741">
            <v>3</v>
          </cell>
          <cell r="R741">
            <v>8.2815998371667005E-2</v>
          </cell>
        </row>
        <row r="742">
          <cell r="A742" t="str">
            <v>L000388</v>
          </cell>
          <cell r="B742" t="str">
            <v>X-413</v>
          </cell>
          <cell r="C742" t="str">
            <v>Evial</v>
          </cell>
          <cell r="D742" t="str">
            <v>DIAFRAGMA CHICO VÁLVULA SERVO</v>
          </cell>
          <cell r="E742">
            <v>1</v>
          </cell>
          <cell r="I742">
            <v>3.7</v>
          </cell>
          <cell r="J742">
            <v>3.9357843137254898E-2</v>
          </cell>
          <cell r="K742">
            <v>4.9197303921568618E-2</v>
          </cell>
          <cell r="L742">
            <v>3</v>
          </cell>
          <cell r="M742">
            <v>5.7879181084198372E-2</v>
          </cell>
          <cell r="N742">
            <v>6.0773140138408295E-2</v>
          </cell>
          <cell r="O742">
            <v>6.8093154216703963E-2</v>
          </cell>
          <cell r="P742">
            <v>7.4902469638374367E-2</v>
          </cell>
          <cell r="Q742">
            <v>3</v>
          </cell>
          <cell r="R742">
            <v>8.5116442770879944E-2</v>
          </cell>
        </row>
        <row r="743">
          <cell r="A743" t="str">
            <v>L000389</v>
          </cell>
          <cell r="B743" t="str">
            <v xml:space="preserve"> 1-31</v>
          </cell>
          <cell r="C743" t="str">
            <v>Evial</v>
          </cell>
          <cell r="D743" t="str">
            <v>DIAFRAGMA GRANDE  VÁLVULA SERVO</v>
          </cell>
          <cell r="E743">
            <v>1</v>
          </cell>
          <cell r="I743">
            <v>9.5</v>
          </cell>
          <cell r="J743">
            <v>0.10105392156862744</v>
          </cell>
          <cell r="K743">
            <v>0.12631740196078428</v>
          </cell>
          <cell r="L743">
            <v>3</v>
          </cell>
          <cell r="M743">
            <v>0.14860870818915797</v>
          </cell>
          <cell r="N743">
            <v>0.15603914359861587</v>
          </cell>
          <cell r="O743">
            <v>0.17483377434018585</v>
          </cell>
          <cell r="P743">
            <v>0.19231715177420444</v>
          </cell>
          <cell r="Q743">
            <v>3</v>
          </cell>
          <cell r="R743">
            <v>0.21854221792523229</v>
          </cell>
        </row>
        <row r="744">
          <cell r="A744" t="str">
            <v>L000390</v>
          </cell>
          <cell r="B744" t="str">
            <v xml:space="preserve"> 1-32</v>
          </cell>
          <cell r="C744" t="str">
            <v>Evial</v>
          </cell>
          <cell r="D744" t="str">
            <v>DIAFRAGMA PULSADOR</v>
          </cell>
          <cell r="E744">
            <v>1</v>
          </cell>
          <cell r="I744">
            <v>3.25</v>
          </cell>
          <cell r="J744">
            <v>3.4571078431372547E-2</v>
          </cell>
          <cell r="K744">
            <v>4.3213848039215678E-2</v>
          </cell>
          <cell r="L744">
            <v>3</v>
          </cell>
          <cell r="M744">
            <v>5.0839821222606683E-2</v>
          </cell>
          <cell r="N744">
            <v>5.3381812283737021E-2</v>
          </cell>
          <cell r="O744">
            <v>5.9811554379537279E-2</v>
          </cell>
          <cell r="P744">
            <v>6.579270981749101E-2</v>
          </cell>
          <cell r="Q744">
            <v>3</v>
          </cell>
          <cell r="R744">
            <v>7.4764442974421599E-2</v>
          </cell>
        </row>
        <row r="745">
          <cell r="A745" t="str">
            <v>L000391</v>
          </cell>
          <cell r="B745" t="str">
            <v>X-017</v>
          </cell>
          <cell r="C745" t="str">
            <v>Evial</v>
          </cell>
          <cell r="D745" t="str">
            <v>GOMITAS PARA EJE</v>
          </cell>
          <cell r="E745">
            <v>1</v>
          </cell>
          <cell r="I745">
            <v>0.65</v>
          </cell>
          <cell r="J745">
            <v>6.9142156862745099E-3</v>
          </cell>
          <cell r="K745">
            <v>8.6427696078431367E-3</v>
          </cell>
          <cell r="L745">
            <v>3</v>
          </cell>
          <cell r="M745">
            <v>1.0167964244521337E-2</v>
          </cell>
          <cell r="N745">
            <v>1.0676362456747404E-2</v>
          </cell>
          <cell r="O745">
            <v>1.1962310875907456E-2</v>
          </cell>
          <cell r="P745">
            <v>1.3158541963498202E-2</v>
          </cell>
          <cell r="Q745">
            <v>3</v>
          </cell>
          <cell r="R745">
            <v>1.495288859488432E-2</v>
          </cell>
        </row>
        <row r="746">
          <cell r="A746" t="str">
            <v>L000392</v>
          </cell>
          <cell r="B746" t="str">
            <v xml:space="preserve"> 1-15</v>
          </cell>
          <cell r="C746" t="str">
            <v>Evial</v>
          </cell>
          <cell r="D746" t="str">
            <v>GUARNICIÓN CABEZAL TRAMPA</v>
          </cell>
          <cell r="E746">
            <v>1</v>
          </cell>
          <cell r="I746">
            <v>1.65</v>
          </cell>
          <cell r="J746">
            <v>1.7551470588235293E-2</v>
          </cell>
          <cell r="K746">
            <v>2.1939338235294117E-2</v>
          </cell>
          <cell r="L746">
            <v>3</v>
          </cell>
          <cell r="M746">
            <v>2.581098615916955E-2</v>
          </cell>
          <cell r="N746">
            <v>2.710153546712803E-2</v>
          </cell>
          <cell r="O746">
            <v>3.0365866069611235E-2</v>
          </cell>
          <cell r="P746">
            <v>3.340245267657236E-2</v>
          </cell>
          <cell r="Q746">
            <v>3</v>
          </cell>
          <cell r="R746">
            <v>3.7957332587014045E-2</v>
          </cell>
        </row>
        <row r="747">
          <cell r="A747" t="str">
            <v>L000393</v>
          </cell>
          <cell r="B747" t="str">
            <v>I-36</v>
          </cell>
          <cell r="C747" t="str">
            <v>Evial</v>
          </cell>
          <cell r="D747" t="str">
            <v>GUARNICIÓN GARRA C-300</v>
          </cell>
          <cell r="E747">
            <v>1</v>
          </cell>
          <cell r="I747">
            <v>3.8</v>
          </cell>
          <cell r="J747">
            <v>4.0421568627450971E-2</v>
          </cell>
          <cell r="K747">
            <v>5.0526960784313714E-2</v>
          </cell>
          <cell r="L747">
            <v>3</v>
          </cell>
          <cell r="M747">
            <v>5.9443483275663192E-2</v>
          </cell>
          <cell r="N747">
            <v>6.2415657439446354E-2</v>
          </cell>
          <cell r="O747">
            <v>6.9933509736074345E-2</v>
          </cell>
          <cell r="P747">
            <v>7.6926860709681785E-2</v>
          </cell>
          <cell r="Q747">
            <v>3</v>
          </cell>
          <cell r="R747">
            <v>8.7416887170092925E-2</v>
          </cell>
        </row>
        <row r="748">
          <cell r="A748" t="str">
            <v>L000394</v>
          </cell>
          <cell r="B748" t="str">
            <v xml:space="preserve"> 1-29</v>
          </cell>
          <cell r="C748" t="str">
            <v>Evial</v>
          </cell>
          <cell r="D748" t="str">
            <v>GUARNICION GARRA HCC</v>
          </cell>
          <cell r="E748">
            <v>1</v>
          </cell>
          <cell r="I748">
            <v>3.7</v>
          </cell>
          <cell r="J748">
            <v>3.9357843137254898E-2</v>
          </cell>
          <cell r="K748">
            <v>4.9197303921568618E-2</v>
          </cell>
          <cell r="L748">
            <v>3</v>
          </cell>
          <cell r="M748">
            <v>5.7879181084198372E-2</v>
          </cell>
          <cell r="N748">
            <v>6.0773140138408295E-2</v>
          </cell>
          <cell r="O748">
            <v>6.8093154216703963E-2</v>
          </cell>
          <cell r="P748">
            <v>7.4902469638374367E-2</v>
          </cell>
          <cell r="Q748">
            <v>3</v>
          </cell>
          <cell r="R748">
            <v>8.5116442770879944E-2</v>
          </cell>
        </row>
        <row r="749">
          <cell r="A749" t="str">
            <v>L000395</v>
          </cell>
          <cell r="B749" t="str">
            <v xml:space="preserve"> 1-11</v>
          </cell>
          <cell r="C749" t="str">
            <v>Evial</v>
          </cell>
          <cell r="D749" t="str">
            <v>GUARNICIÓN GARRA IRLANDA</v>
          </cell>
          <cell r="E749">
            <v>1</v>
          </cell>
          <cell r="I749">
            <v>2.6</v>
          </cell>
          <cell r="J749">
            <v>2.765686274509804E-2</v>
          </cell>
          <cell r="K749">
            <v>3.4571078431372547E-2</v>
          </cell>
          <cell r="L749">
            <v>3</v>
          </cell>
          <cell r="M749">
            <v>4.0671856978085348E-2</v>
          </cell>
          <cell r="N749">
            <v>4.2705449826989615E-2</v>
          </cell>
          <cell r="O749">
            <v>4.7849243503629825E-2</v>
          </cell>
          <cell r="P749">
            <v>5.263416785399281E-2</v>
          </cell>
          <cell r="Q749">
            <v>3</v>
          </cell>
          <cell r="R749">
            <v>5.9811554379537279E-2</v>
          </cell>
        </row>
        <row r="750">
          <cell r="A750" t="str">
            <v>L000396</v>
          </cell>
          <cell r="B750" t="str">
            <v xml:space="preserve"> 1-18</v>
          </cell>
          <cell r="C750" t="str">
            <v>Evial</v>
          </cell>
          <cell r="D750" t="str">
            <v>GUARNICIÓN GARRA MODELO NUEVO</v>
          </cell>
          <cell r="E750">
            <v>1</v>
          </cell>
          <cell r="I750">
            <v>1.6</v>
          </cell>
          <cell r="J750">
            <v>1.7019607843137254E-2</v>
          </cell>
          <cell r="K750">
            <v>2.1274509803921565E-2</v>
          </cell>
          <cell r="L750">
            <v>3</v>
          </cell>
          <cell r="M750">
            <v>2.5028835063437137E-2</v>
          </cell>
          <cell r="N750">
            <v>2.6280276816608994E-2</v>
          </cell>
          <cell r="O750">
            <v>2.9445688309926044E-2</v>
          </cell>
          <cell r="P750">
            <v>3.239025714091865E-2</v>
          </cell>
          <cell r="Q750">
            <v>3</v>
          </cell>
          <cell r="R750">
            <v>3.6807110387407554E-2</v>
          </cell>
        </row>
        <row r="751">
          <cell r="A751" t="str">
            <v>L000397</v>
          </cell>
          <cell r="B751" t="str">
            <v xml:space="preserve"> 1-23</v>
          </cell>
          <cell r="C751" t="str">
            <v>Evial</v>
          </cell>
          <cell r="D751" t="str">
            <v>GUARNICIÓN TF EXTERIOR</v>
          </cell>
          <cell r="E751">
            <v>1</v>
          </cell>
          <cell r="I751">
            <v>6.9</v>
          </cell>
          <cell r="J751">
            <v>7.3397058823529412E-2</v>
          </cell>
          <cell r="K751">
            <v>9.1746323529411755E-2</v>
          </cell>
          <cell r="L751">
            <v>3</v>
          </cell>
          <cell r="M751">
            <v>0.10793685121107266</v>
          </cell>
          <cell r="N751">
            <v>0.1133336937716263</v>
          </cell>
          <cell r="O751">
            <v>0.12698453083655609</v>
          </cell>
          <cell r="P751">
            <v>0.1396829839202117</v>
          </cell>
          <cell r="Q751">
            <v>3</v>
          </cell>
          <cell r="R751">
            <v>0.15873066354569509</v>
          </cell>
        </row>
        <row r="752">
          <cell r="A752" t="str">
            <v>L000398</v>
          </cell>
          <cell r="B752" t="str">
            <v xml:space="preserve"> 1-24</v>
          </cell>
          <cell r="C752" t="str">
            <v>Evial</v>
          </cell>
          <cell r="D752" t="str">
            <v>GUARNICIÓN TF INTERIOR</v>
          </cell>
          <cell r="E752">
            <v>1</v>
          </cell>
          <cell r="I752">
            <v>5</v>
          </cell>
          <cell r="J752">
            <v>5.318627450980392E-2</v>
          </cell>
          <cell r="K752">
            <v>6.6482843137254902E-2</v>
          </cell>
          <cell r="L752">
            <v>3</v>
          </cell>
          <cell r="M752">
            <v>7.8215109573241057E-2</v>
          </cell>
          <cell r="N752">
            <v>8.2125865051903113E-2</v>
          </cell>
          <cell r="O752">
            <v>9.2017775968518886E-2</v>
          </cell>
          <cell r="P752">
            <v>0.10121955356537078</v>
          </cell>
          <cell r="Q752">
            <v>3</v>
          </cell>
          <cell r="R752">
            <v>0.1150222199606486</v>
          </cell>
        </row>
        <row r="753">
          <cell r="A753" t="str">
            <v>L000399</v>
          </cell>
          <cell r="B753" t="str">
            <v xml:space="preserve"> 1-41</v>
          </cell>
          <cell r="C753" t="str">
            <v>Evial</v>
          </cell>
          <cell r="D753" t="str">
            <v>GUARNIXION GARRA N. PULSE</v>
          </cell>
          <cell r="E753">
            <v>1</v>
          </cell>
          <cell r="I753">
            <v>3.7</v>
          </cell>
          <cell r="J753">
            <v>3.9357843137254898E-2</v>
          </cell>
          <cell r="K753">
            <v>4.9197303921568618E-2</v>
          </cell>
          <cell r="L753">
            <v>3</v>
          </cell>
          <cell r="M753">
            <v>5.7879181084198372E-2</v>
          </cell>
          <cell r="N753">
            <v>6.0773140138408295E-2</v>
          </cell>
          <cell r="O753">
            <v>6.8093154216703963E-2</v>
          </cell>
          <cell r="P753">
            <v>7.4902469638374367E-2</v>
          </cell>
          <cell r="Q753">
            <v>3</v>
          </cell>
          <cell r="R753">
            <v>8.5116442770879944E-2</v>
          </cell>
        </row>
        <row r="754">
          <cell r="A754" t="str">
            <v>L000400</v>
          </cell>
          <cell r="B754" t="str">
            <v>X-431</v>
          </cell>
          <cell r="C754" t="str">
            <v>Evial</v>
          </cell>
          <cell r="D754" t="str">
            <v>KIT DE REPARACIÓN INTERPULS</v>
          </cell>
          <cell r="E754">
            <v>1</v>
          </cell>
          <cell r="I754">
            <v>130</v>
          </cell>
          <cell r="J754">
            <v>1.3828431372549017</v>
          </cell>
          <cell r="K754">
            <v>1.728553921568627</v>
          </cell>
          <cell r="L754">
            <v>3</v>
          </cell>
          <cell r="M754">
            <v>2.0335928489042669</v>
          </cell>
          <cell r="N754">
            <v>2.1352724913494803</v>
          </cell>
          <cell r="O754">
            <v>2.3924621751814907</v>
          </cell>
          <cell r="P754">
            <v>2.6317083926996401</v>
          </cell>
          <cell r="Q754">
            <v>3</v>
          </cell>
          <cell r="R754">
            <v>2.9905777189768634</v>
          </cell>
        </row>
        <row r="755">
          <cell r="A755" t="str">
            <v>L000401</v>
          </cell>
          <cell r="B755" t="str">
            <v>X-429</v>
          </cell>
          <cell r="C755" t="str">
            <v>Evial</v>
          </cell>
          <cell r="D755" t="str">
            <v>KIT DE REPARACIÓN VALVULA SERVO</v>
          </cell>
          <cell r="E755">
            <v>1</v>
          </cell>
          <cell r="I755">
            <v>13.1</v>
          </cell>
          <cell r="J755">
            <v>0.13934803921568628</v>
          </cell>
          <cell r="K755">
            <v>0.17418504901960785</v>
          </cell>
          <cell r="L755">
            <v>3</v>
          </cell>
          <cell r="M755">
            <v>0.20492358708189159</v>
          </cell>
          <cell r="N755">
            <v>0.21516976643598618</v>
          </cell>
          <cell r="O755">
            <v>0.24108657303751954</v>
          </cell>
          <cell r="P755">
            <v>0.26519523034127152</v>
          </cell>
          <cell r="Q755">
            <v>3</v>
          </cell>
          <cell r="R755">
            <v>0.30135821629689941</v>
          </cell>
        </row>
        <row r="756">
          <cell r="A756" t="str">
            <v>L000402</v>
          </cell>
          <cell r="B756" t="str">
            <v xml:space="preserve"> 1-30</v>
          </cell>
          <cell r="C756" t="str">
            <v>Evial</v>
          </cell>
          <cell r="D756" t="str">
            <v>TAPON COLECTOR HCC y N. PULSE</v>
          </cell>
          <cell r="E756">
            <v>1</v>
          </cell>
          <cell r="I756">
            <v>1.2</v>
          </cell>
          <cell r="J756">
            <v>1.276470588235294E-2</v>
          </cell>
          <cell r="K756">
            <v>1.5955882352941174E-2</v>
          </cell>
          <cell r="L756">
            <v>3</v>
          </cell>
          <cell r="M756">
            <v>1.8771626297577851E-2</v>
          </cell>
          <cell r="N756">
            <v>1.9710207612456745E-2</v>
          </cell>
          <cell r="O756">
            <v>2.2084266232444531E-2</v>
          </cell>
          <cell r="P756">
            <v>2.4292692855688986E-2</v>
          </cell>
          <cell r="Q756">
            <v>3</v>
          </cell>
          <cell r="R756">
            <v>2.7605332790555662E-2</v>
          </cell>
        </row>
        <row r="757">
          <cell r="A757" t="str">
            <v>L000403</v>
          </cell>
          <cell r="B757" t="str">
            <v xml:space="preserve"> 1-14</v>
          </cell>
          <cell r="C757" t="str">
            <v>Evial</v>
          </cell>
          <cell r="D757" t="str">
            <v>TAPON COLECTOR IRLANDA</v>
          </cell>
          <cell r="E757">
            <v>1</v>
          </cell>
          <cell r="I757">
            <v>1.2</v>
          </cell>
          <cell r="J757">
            <v>1.276470588235294E-2</v>
          </cell>
          <cell r="K757">
            <v>1.5955882352941174E-2</v>
          </cell>
          <cell r="L757">
            <v>3</v>
          </cell>
          <cell r="M757">
            <v>1.8771626297577851E-2</v>
          </cell>
          <cell r="N757">
            <v>1.9710207612456745E-2</v>
          </cell>
          <cell r="O757">
            <v>2.2084266232444531E-2</v>
          </cell>
          <cell r="P757">
            <v>2.4292692855688986E-2</v>
          </cell>
          <cell r="Q757">
            <v>3</v>
          </cell>
          <cell r="R757">
            <v>2.7605332790555662E-2</v>
          </cell>
        </row>
        <row r="758">
          <cell r="A758" t="str">
            <v>L000404</v>
          </cell>
          <cell r="B758" t="str">
            <v xml:space="preserve"> 1-01</v>
          </cell>
          <cell r="C758" t="str">
            <v>Evial</v>
          </cell>
          <cell r="D758" t="str">
            <v>TAPON FINAL DE CAÑERIA 1 1/2´</v>
          </cell>
          <cell r="E758">
            <v>1</v>
          </cell>
          <cell r="I758">
            <v>4</v>
          </cell>
          <cell r="J758">
            <v>4.2549019607843137E-2</v>
          </cell>
          <cell r="K758">
            <v>5.318627450980392E-2</v>
          </cell>
          <cell r="L758">
            <v>3</v>
          </cell>
          <cell r="M758">
            <v>6.2572087658592845E-2</v>
          </cell>
          <cell r="N758">
            <v>6.5700692041522485E-2</v>
          </cell>
          <cell r="O758">
            <v>7.3614220774815109E-2</v>
          </cell>
          <cell r="P758">
            <v>8.0975642852296623E-2</v>
          </cell>
          <cell r="Q758">
            <v>3</v>
          </cell>
          <cell r="R758">
            <v>9.2017775968518886E-2</v>
          </cell>
        </row>
        <row r="759">
          <cell r="A759" t="str">
            <v>L000405</v>
          </cell>
          <cell r="B759" t="str">
            <v xml:space="preserve"> 1-02</v>
          </cell>
          <cell r="C759" t="str">
            <v>Evial</v>
          </cell>
          <cell r="D759" t="str">
            <v>TAPON FINAL DE CAÑERIA 2´.</v>
          </cell>
          <cell r="E759">
            <v>1</v>
          </cell>
          <cell r="I759">
            <v>5</v>
          </cell>
          <cell r="J759">
            <v>5.318627450980392E-2</v>
          </cell>
          <cell r="K759">
            <v>6.6482843137254902E-2</v>
          </cell>
          <cell r="L759">
            <v>3</v>
          </cell>
          <cell r="M759">
            <v>7.8215109573241057E-2</v>
          </cell>
          <cell r="N759">
            <v>8.2125865051903113E-2</v>
          </cell>
          <cell r="O759">
            <v>9.2017775968518886E-2</v>
          </cell>
          <cell r="P759">
            <v>0.10121955356537078</v>
          </cell>
          <cell r="Q759">
            <v>3</v>
          </cell>
          <cell r="R759">
            <v>0.1150222199606486</v>
          </cell>
        </row>
        <row r="760">
          <cell r="A760" t="str">
            <v>L000406</v>
          </cell>
          <cell r="B760" t="str">
            <v xml:space="preserve"> 1-09</v>
          </cell>
          <cell r="C760" t="str">
            <v>Evial</v>
          </cell>
          <cell r="D760" t="str">
            <v>TAPON FINAL DE CAÑERIA 75 mm</v>
          </cell>
          <cell r="E760">
            <v>1</v>
          </cell>
          <cell r="I760">
            <v>7.4</v>
          </cell>
          <cell r="J760">
            <v>7.8715686274509797E-2</v>
          </cell>
          <cell r="K760">
            <v>9.8394607843137236E-2</v>
          </cell>
          <cell r="L760">
            <v>3</v>
          </cell>
          <cell r="M760">
            <v>0.11575836216839674</v>
          </cell>
          <cell r="N760">
            <v>0.12154628027681659</v>
          </cell>
          <cell r="O760">
            <v>0.13618630843340793</v>
          </cell>
          <cell r="P760">
            <v>0.14980493927674873</v>
          </cell>
          <cell r="Q760">
            <v>3</v>
          </cell>
          <cell r="R760">
            <v>0.17023288554175989</v>
          </cell>
        </row>
        <row r="761">
          <cell r="A761" t="str">
            <v>L000407</v>
          </cell>
          <cell r="B761" t="str">
            <v xml:space="preserve"> 1-13</v>
          </cell>
          <cell r="C761" t="str">
            <v>Evial</v>
          </cell>
          <cell r="D761" t="str">
            <v>TRABA CIERRE GARRA  IRLANDA - N.PULSE</v>
          </cell>
          <cell r="E761">
            <v>1</v>
          </cell>
          <cell r="I761">
            <v>1.7</v>
          </cell>
          <cell r="J761">
            <v>1.808333333333333E-2</v>
          </cell>
          <cell r="K761">
            <v>2.2604166666666661E-2</v>
          </cell>
          <cell r="L761">
            <v>3</v>
          </cell>
          <cell r="M761">
            <v>2.6593137254901957E-2</v>
          </cell>
          <cell r="N761">
            <v>2.7922794117647056E-2</v>
          </cell>
          <cell r="O761">
            <v>3.1286043829296423E-2</v>
          </cell>
          <cell r="P761">
            <v>3.4414648212226069E-2</v>
          </cell>
          <cell r="Q761">
            <v>3</v>
          </cell>
          <cell r="R761">
            <v>3.9107554786620528E-2</v>
          </cell>
        </row>
        <row r="762">
          <cell r="A762" t="str">
            <v>L000408</v>
          </cell>
          <cell r="B762" t="str">
            <v xml:space="preserve"> 1-28</v>
          </cell>
          <cell r="C762" t="str">
            <v>Evial</v>
          </cell>
          <cell r="D762" t="str">
            <v>TRABA CIERRE GARRA T.F-HCC</v>
          </cell>
          <cell r="E762">
            <v>1</v>
          </cell>
          <cell r="I762">
            <v>1.7</v>
          </cell>
          <cell r="J762">
            <v>1.808333333333333E-2</v>
          </cell>
          <cell r="K762">
            <v>2.2604166666666661E-2</v>
          </cell>
          <cell r="L762">
            <v>3</v>
          </cell>
          <cell r="M762">
            <v>2.6593137254901957E-2</v>
          </cell>
          <cell r="N762">
            <v>2.7922794117647056E-2</v>
          </cell>
          <cell r="O762">
            <v>3.1286043829296423E-2</v>
          </cell>
          <cell r="P762">
            <v>3.4414648212226069E-2</v>
          </cell>
          <cell r="Q762">
            <v>3</v>
          </cell>
          <cell r="R762">
            <v>3.9107554786620528E-2</v>
          </cell>
        </row>
        <row r="763">
          <cell r="A763" t="str">
            <v>L000409</v>
          </cell>
          <cell r="B763" t="str">
            <v xml:space="preserve"> 1-06</v>
          </cell>
          <cell r="C763" t="str">
            <v>Evial</v>
          </cell>
          <cell r="D763" t="str">
            <v>VALVULA C/SOPAPA DE 25 mm</v>
          </cell>
          <cell r="E763">
            <v>1</v>
          </cell>
          <cell r="I763">
            <v>3.6</v>
          </cell>
          <cell r="J763">
            <v>3.8294117647058826E-2</v>
          </cell>
          <cell r="K763">
            <v>4.7867647058823529E-2</v>
          </cell>
          <cell r="L763">
            <v>3</v>
          </cell>
          <cell r="M763">
            <v>5.6314878892733566E-2</v>
          </cell>
          <cell r="N763">
            <v>5.913062283737025E-2</v>
          </cell>
          <cell r="O763">
            <v>6.6252798697333609E-2</v>
          </cell>
          <cell r="P763">
            <v>7.2878078567066976E-2</v>
          </cell>
          <cell r="Q763">
            <v>3</v>
          </cell>
          <cell r="R763">
            <v>8.2815998371667005E-2</v>
          </cell>
        </row>
        <row r="764">
          <cell r="A764" t="str">
            <v>L000410</v>
          </cell>
          <cell r="B764" t="str">
            <v xml:space="preserve"> 1-07</v>
          </cell>
          <cell r="C764" t="str">
            <v>Evial</v>
          </cell>
          <cell r="D764" t="str">
            <v>VALVULA C/SOPAPA DE 38 mm</v>
          </cell>
          <cell r="E764">
            <v>1</v>
          </cell>
          <cell r="I764">
            <v>0</v>
          </cell>
          <cell r="J764">
            <v>0</v>
          </cell>
          <cell r="K764">
            <v>0</v>
          </cell>
          <cell r="L764">
            <v>3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  <cell r="Q764">
            <v>3</v>
          </cell>
          <cell r="R764">
            <v>0</v>
          </cell>
        </row>
        <row r="765">
          <cell r="A765" t="str">
            <v>L000411</v>
          </cell>
          <cell r="B765" t="str">
            <v xml:space="preserve"> 1-08</v>
          </cell>
          <cell r="C765" t="str">
            <v>Evial</v>
          </cell>
          <cell r="D765" t="str">
            <v>VALVULA C/SOPAPA DE 51 mm</v>
          </cell>
          <cell r="E765">
            <v>1</v>
          </cell>
          <cell r="I765">
            <v>5.75</v>
          </cell>
          <cell r="J765">
            <v>6.1164215686274503E-2</v>
          </cell>
          <cell r="K765">
            <v>7.6455269607843129E-2</v>
          </cell>
          <cell r="L765">
            <v>3</v>
          </cell>
          <cell r="M765">
            <v>8.9947376009227212E-2</v>
          </cell>
          <cell r="N765">
            <v>9.4444744809688577E-2</v>
          </cell>
          <cell r="O765">
            <v>0.10582044236379672</v>
          </cell>
          <cell r="P765">
            <v>0.11640248660017639</v>
          </cell>
          <cell r="Q765">
            <v>3</v>
          </cell>
          <cell r="R765">
            <v>0.13227555295474588</v>
          </cell>
        </row>
        <row r="766">
          <cell r="A766" t="str">
            <v>L000412</v>
          </cell>
          <cell r="B766" t="str">
            <v xml:space="preserve"> 1-26</v>
          </cell>
          <cell r="C766" t="str">
            <v>Evial</v>
          </cell>
          <cell r="D766" t="str">
            <v>VÁLVULA CIERRE DE GARRA N.PULSE</v>
          </cell>
          <cell r="E766">
            <v>1</v>
          </cell>
          <cell r="I766">
            <v>6.2</v>
          </cell>
          <cell r="J766">
            <v>6.5950980392156869E-2</v>
          </cell>
          <cell r="K766">
            <v>8.2438725490196083E-2</v>
          </cell>
          <cell r="L766">
            <v>3</v>
          </cell>
          <cell r="M766">
            <v>9.6986735870818921E-2</v>
          </cell>
          <cell r="N766">
            <v>0.10183607266435987</v>
          </cell>
          <cell r="O766">
            <v>0.11410204220096344</v>
          </cell>
          <cell r="P766">
            <v>0.12551224642105979</v>
          </cell>
          <cell r="Q766">
            <v>3</v>
          </cell>
          <cell r="R766">
            <v>0.14262755275120428</v>
          </cell>
        </row>
        <row r="767">
          <cell r="A767" t="str">
            <v>L000413</v>
          </cell>
          <cell r="B767" t="str">
            <v xml:space="preserve"> 1-38 </v>
          </cell>
          <cell r="C767" t="str">
            <v>Evial</v>
          </cell>
          <cell r="D767" t="str">
            <v>VALVULA CIERRE DE GARRA T.F.-HCC</v>
          </cell>
          <cell r="E767">
            <v>1</v>
          </cell>
          <cell r="I767">
            <v>6.2</v>
          </cell>
          <cell r="J767">
            <v>6.5950980392156869E-2</v>
          </cell>
          <cell r="K767">
            <v>8.2438725490196083E-2</v>
          </cell>
          <cell r="L767">
            <v>3</v>
          </cell>
          <cell r="M767">
            <v>9.6986735870818921E-2</v>
          </cell>
          <cell r="N767">
            <v>0.10183607266435987</v>
          </cell>
          <cell r="O767">
            <v>0.11410204220096344</v>
          </cell>
          <cell r="P767">
            <v>0.12551224642105979</v>
          </cell>
          <cell r="Q767">
            <v>3</v>
          </cell>
          <cell r="R767">
            <v>0.14262755275120428</v>
          </cell>
        </row>
        <row r="768">
          <cell r="A768" t="str">
            <v>L000414</v>
          </cell>
          <cell r="B768" t="str">
            <v xml:space="preserve"> 1-12</v>
          </cell>
          <cell r="C768" t="str">
            <v>Evial</v>
          </cell>
          <cell r="D768" t="str">
            <v>VÁLVULA CIERRE GARRA IRLANDA</v>
          </cell>
          <cell r="E768">
            <v>1</v>
          </cell>
          <cell r="I768">
            <v>5.8</v>
          </cell>
          <cell r="J768">
            <v>6.1696078431372543E-2</v>
          </cell>
          <cell r="K768">
            <v>7.712009803921567E-2</v>
          </cell>
          <cell r="L768">
            <v>3</v>
          </cell>
          <cell r="M768">
            <v>9.0729527104959615E-2</v>
          </cell>
          <cell r="N768">
            <v>9.5266003460207596E-2</v>
          </cell>
          <cell r="O768">
            <v>0.1067406201234819</v>
          </cell>
          <cell r="P768">
            <v>0.1174146821358301</v>
          </cell>
          <cell r="Q768">
            <v>3</v>
          </cell>
          <cell r="R768">
            <v>0.13342577515435236</v>
          </cell>
        </row>
        <row r="769">
          <cell r="A769" t="str">
            <v>L000415</v>
          </cell>
          <cell r="B769" t="str">
            <v xml:space="preserve"> 1-40</v>
          </cell>
          <cell r="C769" t="str">
            <v>Evial</v>
          </cell>
          <cell r="D769" t="str">
            <v>VALVULA DE DRENAJE DE 1/2</v>
          </cell>
          <cell r="E769">
            <v>1</v>
          </cell>
          <cell r="I769">
            <v>2.5</v>
          </cell>
          <cell r="J769">
            <v>2.659313725490196E-2</v>
          </cell>
          <cell r="K769">
            <v>3.3241421568627451E-2</v>
          </cell>
          <cell r="L769">
            <v>3</v>
          </cell>
          <cell r="M769">
            <v>3.9107554786620528E-2</v>
          </cell>
          <cell r="N769">
            <v>4.1062932525951557E-2</v>
          </cell>
          <cell r="O769">
            <v>4.6008887984259443E-2</v>
          </cell>
          <cell r="P769">
            <v>5.0609776782685391E-2</v>
          </cell>
          <cell r="Q769">
            <v>3</v>
          </cell>
          <cell r="R769">
            <v>5.7511109980324299E-2</v>
          </cell>
        </row>
        <row r="770">
          <cell r="A770" t="str">
            <v>L000416</v>
          </cell>
          <cell r="C770" t="str">
            <v>proveedor??</v>
          </cell>
          <cell r="D770" t="str">
            <v>Curva 90 grados galvanizado M-H 1 1/2"</v>
          </cell>
          <cell r="E770">
            <v>1</v>
          </cell>
          <cell r="I770">
            <v>35</v>
          </cell>
          <cell r="J770">
            <v>0.37230392156862746</v>
          </cell>
          <cell r="K770">
            <v>0.46537990196078433</v>
          </cell>
          <cell r="L770">
            <v>3</v>
          </cell>
          <cell r="M770">
            <v>0.54750576701268749</v>
          </cell>
          <cell r="N770">
            <v>0.5748810553633219</v>
          </cell>
          <cell r="O770">
            <v>0.64412443177963241</v>
          </cell>
          <cell r="P770">
            <v>0.70853687495759576</v>
          </cell>
          <cell r="Q770">
            <v>3</v>
          </cell>
          <cell r="R770">
            <v>0.80515553972454046</v>
          </cell>
        </row>
        <row r="771">
          <cell r="A771" t="str">
            <v>L000417</v>
          </cell>
          <cell r="C771" t="str">
            <v>proveedor??</v>
          </cell>
          <cell r="D771" t="str">
            <v>Curva 90 grados galvanizado M-H 2"</v>
          </cell>
          <cell r="E771">
            <v>1</v>
          </cell>
          <cell r="I771">
            <v>40</v>
          </cell>
          <cell r="J771">
            <v>0.42549019607843136</v>
          </cell>
          <cell r="K771">
            <v>0.53186274509803921</v>
          </cell>
          <cell r="L771">
            <v>3</v>
          </cell>
          <cell r="M771">
            <v>0.62572087658592845</v>
          </cell>
          <cell r="N771">
            <v>0.6570069204152249</v>
          </cell>
          <cell r="O771">
            <v>0.73614220774815109</v>
          </cell>
          <cell r="P771">
            <v>0.80975642852296625</v>
          </cell>
          <cell r="Q771">
            <v>3</v>
          </cell>
          <cell r="R771">
            <v>0.92017775968518878</v>
          </cell>
        </row>
        <row r="772">
          <cell r="A772" t="str">
            <v>L000418</v>
          </cell>
          <cell r="C772" t="str">
            <v>proveedor??</v>
          </cell>
          <cell r="D772" t="str">
            <v>Polea mecanizada 2A-200</v>
          </cell>
          <cell r="E772">
            <v>1</v>
          </cell>
          <cell r="I772">
            <v>300</v>
          </cell>
          <cell r="J772">
            <v>3.1911764705882355</v>
          </cell>
          <cell r="K772">
            <v>3.9889705882352944</v>
          </cell>
          <cell r="L772">
            <v>3</v>
          </cell>
          <cell r="M772">
            <v>4.6929065743944642</v>
          </cell>
          <cell r="N772">
            <v>4.9275519031141872</v>
          </cell>
          <cell r="O772">
            <v>5.5210665581111344</v>
          </cell>
          <cell r="P772">
            <v>6.0731732139222485</v>
          </cell>
          <cell r="Q772">
            <v>3</v>
          </cell>
          <cell r="R772">
            <v>6.9013331976389178</v>
          </cell>
        </row>
        <row r="773">
          <cell r="A773" t="str">
            <v>L000419</v>
          </cell>
          <cell r="C773" t="str">
            <v>proveedor??</v>
          </cell>
          <cell r="D773" t="str">
            <v xml:space="preserve">Polea mecanizada 2B-200  </v>
          </cell>
          <cell r="E773">
            <v>1</v>
          </cell>
          <cell r="I773">
            <v>300</v>
          </cell>
          <cell r="J773">
            <v>3.1911764705882355</v>
          </cell>
          <cell r="K773">
            <v>3.9889705882352944</v>
          </cell>
          <cell r="L773">
            <v>3</v>
          </cell>
          <cell r="M773">
            <v>4.6929065743944642</v>
          </cell>
          <cell r="N773">
            <v>4.9275519031141872</v>
          </cell>
          <cell r="O773">
            <v>5.5210665581111344</v>
          </cell>
          <cell r="P773">
            <v>6.0731732139222485</v>
          </cell>
          <cell r="Q773">
            <v>3</v>
          </cell>
          <cell r="R773">
            <v>6.9013331976389178</v>
          </cell>
        </row>
        <row r="774">
          <cell r="A774" t="str">
            <v>L000420</v>
          </cell>
          <cell r="C774" t="str">
            <v>proveedor??</v>
          </cell>
          <cell r="D774" t="str">
            <v>Niple p/admisión 2" x 150 mm largo</v>
          </cell>
          <cell r="E774">
            <v>1</v>
          </cell>
          <cell r="I774">
            <v>30</v>
          </cell>
          <cell r="J774">
            <v>0.31911764705882351</v>
          </cell>
          <cell r="K774">
            <v>0.39889705882352938</v>
          </cell>
          <cell r="L774">
            <v>3</v>
          </cell>
          <cell r="M774">
            <v>0.46929065743944637</v>
          </cell>
          <cell r="N774">
            <v>0.49275519031141873</v>
          </cell>
          <cell r="O774">
            <v>0.5521066558111134</v>
          </cell>
          <cell r="P774">
            <v>0.60731732139222483</v>
          </cell>
          <cell r="Q774">
            <v>3</v>
          </cell>
          <cell r="R774">
            <v>0.69013331976389169</v>
          </cell>
        </row>
        <row r="775">
          <cell r="A775" t="str">
            <v>L000421</v>
          </cell>
          <cell r="C775" t="str">
            <v>proveedor??</v>
          </cell>
          <cell r="D775" t="str">
            <v>Curva 90 grados galvanizado M-H 1 1/4"</v>
          </cell>
          <cell r="E775">
            <v>1</v>
          </cell>
          <cell r="I775">
            <v>35</v>
          </cell>
          <cell r="J775">
            <v>0.37230392156862746</v>
          </cell>
          <cell r="K775">
            <v>0.46537990196078433</v>
          </cell>
          <cell r="L775">
            <v>3</v>
          </cell>
          <cell r="M775">
            <v>0.54750576701268749</v>
          </cell>
          <cell r="N775">
            <v>0.5748810553633219</v>
          </cell>
          <cell r="O775">
            <v>0.64412443177963241</v>
          </cell>
          <cell r="P775">
            <v>0.70853687495759576</v>
          </cell>
          <cell r="Q775">
            <v>3</v>
          </cell>
          <cell r="R775">
            <v>0.80515553972454046</v>
          </cell>
        </row>
        <row r="776">
          <cell r="A776" t="str">
            <v>L000422</v>
          </cell>
          <cell r="C776" t="str">
            <v>proveedor??</v>
          </cell>
          <cell r="D776" t="str">
            <v>Silenciador Bombas vacío entrada y salida 2"</v>
          </cell>
          <cell r="E776">
            <v>1</v>
          </cell>
          <cell r="I776">
            <v>400</v>
          </cell>
          <cell r="J776">
            <v>4.2549019607843137</v>
          </cell>
          <cell r="K776">
            <v>5.3186274509803919</v>
          </cell>
          <cell r="L776">
            <v>3</v>
          </cell>
          <cell r="M776">
            <v>6.2572087658592848</v>
          </cell>
          <cell r="N776">
            <v>6.570069204152249</v>
          </cell>
          <cell r="O776">
            <v>7.361422077481512</v>
          </cell>
          <cell r="P776">
            <v>8.0975642852296641</v>
          </cell>
          <cell r="Q776">
            <v>3</v>
          </cell>
          <cell r="R776">
            <v>9.2017775968518887</v>
          </cell>
        </row>
        <row r="777">
          <cell r="A777" t="str">
            <v>L000423</v>
          </cell>
          <cell r="C777" t="str">
            <v>proveedor??</v>
          </cell>
          <cell r="D777" t="str">
            <v>Polea mecanizada 2A-180</v>
          </cell>
          <cell r="E777">
            <v>1</v>
          </cell>
          <cell r="I777">
            <v>250</v>
          </cell>
          <cell r="J777">
            <v>2.659313725490196</v>
          </cell>
          <cell r="K777">
            <v>3.3241421568627447</v>
          </cell>
          <cell r="L777">
            <v>3</v>
          </cell>
          <cell r="M777">
            <v>3.9107554786620526</v>
          </cell>
          <cell r="N777">
            <v>4.1062932525951554</v>
          </cell>
          <cell r="O777">
            <v>4.6008887984259443</v>
          </cell>
          <cell r="P777">
            <v>5.0609776782685394</v>
          </cell>
          <cell r="Q777">
            <v>3</v>
          </cell>
          <cell r="R777">
            <v>5.7511109980324298</v>
          </cell>
        </row>
        <row r="778">
          <cell r="A778" t="str">
            <v>L000424</v>
          </cell>
          <cell r="C778" t="str">
            <v>proveedor??</v>
          </cell>
          <cell r="D778" t="str">
            <v>Niple plastico 1/2" x 2 1/2"largo</v>
          </cell>
          <cell r="E778">
            <v>1</v>
          </cell>
          <cell r="I778">
            <v>20</v>
          </cell>
          <cell r="J778">
            <v>0.21274509803921568</v>
          </cell>
          <cell r="K778">
            <v>0.26593137254901961</v>
          </cell>
          <cell r="L778">
            <v>3</v>
          </cell>
          <cell r="M778">
            <v>0.31286043829296423</v>
          </cell>
          <cell r="N778">
            <v>0.32850346020761245</v>
          </cell>
          <cell r="O778">
            <v>0.36807110387407554</v>
          </cell>
          <cell r="P778">
            <v>0.40487821426148313</v>
          </cell>
          <cell r="Q778">
            <v>3</v>
          </cell>
          <cell r="R778">
            <v>0.46008887984259439</v>
          </cell>
        </row>
        <row r="779">
          <cell r="A779" t="str">
            <v>L000425</v>
          </cell>
          <cell r="C779" t="str">
            <v>Piatti</v>
          </cell>
          <cell r="D779" t="str">
            <v>Soporte caño galvanizado 1 1/2" c/buje</v>
          </cell>
          <cell r="E779">
            <v>1</v>
          </cell>
          <cell r="I779">
            <v>1050</v>
          </cell>
          <cell r="J779">
            <v>11.169117647058824</v>
          </cell>
          <cell r="K779">
            <v>13.961397058823529</v>
          </cell>
          <cell r="L779">
            <v>3</v>
          </cell>
          <cell r="M779">
            <v>16.425173010380622</v>
          </cell>
          <cell r="N779">
            <v>17.246431660899653</v>
          </cell>
          <cell r="O779">
            <v>19.323732953388966</v>
          </cell>
          <cell r="P779">
            <v>21.256106248727864</v>
          </cell>
          <cell r="Q779">
            <v>3</v>
          </cell>
          <cell r="R779">
            <v>24.154666191736204</v>
          </cell>
        </row>
        <row r="780">
          <cell r="A780" t="str">
            <v>L000426</v>
          </cell>
          <cell r="C780" t="str">
            <v>Pistarelli</v>
          </cell>
          <cell r="D780" t="str">
            <v>Arandela traba grillón</v>
          </cell>
          <cell r="E780">
            <v>1</v>
          </cell>
          <cell r="I780">
            <v>80</v>
          </cell>
          <cell r="J780">
            <v>0.85098039215686272</v>
          </cell>
          <cell r="K780">
            <v>1.0637254901960784</v>
          </cell>
          <cell r="L780">
            <v>3</v>
          </cell>
          <cell r="M780">
            <v>1.2514417531718569</v>
          </cell>
          <cell r="N780">
            <v>1.3140138408304498</v>
          </cell>
          <cell r="O780">
            <v>1.4722844154963022</v>
          </cell>
          <cell r="P780">
            <v>1.6195128570459325</v>
          </cell>
          <cell r="Q780">
            <v>3</v>
          </cell>
          <cell r="R780">
            <v>1.8403555193703776</v>
          </cell>
        </row>
        <row r="781">
          <cell r="A781" t="str">
            <v>L000427</v>
          </cell>
          <cell r="C781" t="str">
            <v>Cingolani</v>
          </cell>
          <cell r="D781" t="str">
            <v>Caño soporte retirador inox. 2" - Zig-Zag</v>
          </cell>
          <cell r="E781">
            <v>1</v>
          </cell>
          <cell r="I781">
            <v>1550</v>
          </cell>
          <cell r="J781">
            <v>16.487745098039216</v>
          </cell>
          <cell r="K781">
            <v>20.609681372549019</v>
          </cell>
          <cell r="L781">
            <v>3</v>
          </cell>
          <cell r="M781">
            <v>24.24668396770473</v>
          </cell>
          <cell r="N781">
            <v>25.459018166089969</v>
          </cell>
          <cell r="O781">
            <v>28.52551055024086</v>
          </cell>
          <cell r="P781">
            <v>31.37806160526495</v>
          </cell>
          <cell r="Q781">
            <v>3</v>
          </cell>
          <cell r="R781">
            <v>35.656888187801073</v>
          </cell>
        </row>
        <row r="782">
          <cell r="A782" t="str">
            <v>L000428</v>
          </cell>
          <cell r="C782" t="str">
            <v>Segatti y Racca</v>
          </cell>
          <cell r="D782" t="str">
            <v>Plegado apoyo cilindro GM</v>
          </cell>
          <cell r="E782">
            <v>1</v>
          </cell>
          <cell r="I782">
            <v>150</v>
          </cell>
          <cell r="J782">
            <v>1.5955882352941178</v>
          </cell>
          <cell r="K782">
            <v>1.9944852941176472</v>
          </cell>
          <cell r="L782">
            <v>3</v>
          </cell>
          <cell r="M782">
            <v>2.3464532871972321</v>
          </cell>
          <cell r="N782">
            <v>2.4637759515570936</v>
          </cell>
          <cell r="O782">
            <v>2.7605332790555672</v>
          </cell>
          <cell r="P782">
            <v>3.0365866069611243</v>
          </cell>
          <cell r="Q782">
            <v>3</v>
          </cell>
          <cell r="R782">
            <v>3.4506665988194589</v>
          </cell>
        </row>
        <row r="783">
          <cell r="A783" t="str">
            <v>L000429</v>
          </cell>
          <cell r="C783" t="str">
            <v>proveedor??</v>
          </cell>
          <cell r="D783" t="str">
            <v>Caño galvanizado 1,5" diametro (por metro)</v>
          </cell>
          <cell r="E783">
            <v>1</v>
          </cell>
          <cell r="I783">
            <v>100</v>
          </cell>
          <cell r="J783">
            <v>1.0637254901960784</v>
          </cell>
          <cell r="K783">
            <v>1.329656862745098</v>
          </cell>
          <cell r="L783">
            <v>3</v>
          </cell>
          <cell r="M783">
            <v>1.5643021914648212</v>
          </cell>
          <cell r="N783">
            <v>1.6425173010380623</v>
          </cell>
          <cell r="O783">
            <v>1.840355519370378</v>
          </cell>
          <cell r="P783">
            <v>2.024391071307416</v>
          </cell>
          <cell r="Q783">
            <v>3</v>
          </cell>
          <cell r="R783">
            <v>2.3004443992129722</v>
          </cell>
        </row>
        <row r="784">
          <cell r="A784" t="str">
            <v>L000430</v>
          </cell>
          <cell r="C784" t="str">
            <v>proveedor??</v>
          </cell>
          <cell r="D784" t="str">
            <v>Abrazadera inoxidable 50/63 mm</v>
          </cell>
          <cell r="E784">
            <v>1</v>
          </cell>
          <cell r="I784">
            <v>80</v>
          </cell>
          <cell r="J784">
            <v>0.85098039215686272</v>
          </cell>
          <cell r="K784">
            <v>1.0637254901960784</v>
          </cell>
          <cell r="L784">
            <v>3</v>
          </cell>
          <cell r="M784">
            <v>1.2514417531718569</v>
          </cell>
          <cell r="N784">
            <v>1.3140138408304498</v>
          </cell>
          <cell r="O784">
            <v>1.4722844154963022</v>
          </cell>
          <cell r="P784">
            <v>1.6195128570459325</v>
          </cell>
          <cell r="Q784">
            <v>3</v>
          </cell>
          <cell r="R784">
            <v>1.8403555193703776</v>
          </cell>
        </row>
        <row r="785">
          <cell r="A785" t="str">
            <v>L000431</v>
          </cell>
          <cell r="C785" t="str">
            <v>David</v>
          </cell>
          <cell r="D785" t="str">
            <v>Tablero control electrobomba DX monofásico 1HP</v>
          </cell>
          <cell r="E785">
            <v>1</v>
          </cell>
          <cell r="I785">
            <v>2000</v>
          </cell>
          <cell r="J785">
            <v>21.274509803921568</v>
          </cell>
          <cell r="K785">
            <v>26.593137254901958</v>
          </cell>
          <cell r="L785">
            <v>3</v>
          </cell>
          <cell r="M785">
            <v>31.286043829296421</v>
          </cell>
          <cell r="N785">
            <v>32.850346020761243</v>
          </cell>
          <cell r="O785">
            <v>36.807110387407555</v>
          </cell>
          <cell r="P785">
            <v>40.487821426148315</v>
          </cell>
          <cell r="Q785">
            <v>3</v>
          </cell>
          <cell r="R785">
            <v>46.008887984259438</v>
          </cell>
        </row>
        <row r="786">
          <cell r="A786" t="str">
            <v>L000432</v>
          </cell>
          <cell r="C786" t="str">
            <v>David</v>
          </cell>
          <cell r="D786" t="str">
            <v>Tablero control electrobomba DX trifásico 1HP</v>
          </cell>
          <cell r="E786">
            <v>1</v>
          </cell>
          <cell r="I786">
            <v>2000</v>
          </cell>
          <cell r="J786">
            <v>21.274509803921568</v>
          </cell>
          <cell r="K786">
            <v>26.593137254901958</v>
          </cell>
          <cell r="L786">
            <v>3</v>
          </cell>
          <cell r="M786">
            <v>31.286043829296421</v>
          </cell>
          <cell r="N786">
            <v>32.850346020761243</v>
          </cell>
          <cell r="O786">
            <v>36.807110387407555</v>
          </cell>
          <cell r="P786">
            <v>40.487821426148315</v>
          </cell>
          <cell r="Q786">
            <v>3</v>
          </cell>
          <cell r="R786">
            <v>46.008887984259438</v>
          </cell>
        </row>
        <row r="787">
          <cell r="A787" t="str">
            <v>L000433</v>
          </cell>
          <cell r="C787" t="str">
            <v>Gialmog</v>
          </cell>
          <cell r="D787" t="str">
            <v>Delaval Sr ( 67 X 11)</v>
          </cell>
          <cell r="E787">
            <v>100</v>
          </cell>
          <cell r="I787">
            <v>55</v>
          </cell>
          <cell r="J787">
            <v>0.58504901960784306</v>
          </cell>
          <cell r="K787">
            <v>0.73131127450980382</v>
          </cell>
          <cell r="L787">
            <v>3</v>
          </cell>
          <cell r="M787">
            <v>0.86036620530565155</v>
          </cell>
          <cell r="N787">
            <v>0.90338451557093413</v>
          </cell>
          <cell r="O787">
            <v>1.0121955356537078</v>
          </cell>
          <cell r="P787">
            <v>1.1134150892190786</v>
          </cell>
          <cell r="Q787">
            <v>3</v>
          </cell>
          <cell r="R787">
            <v>1.2652444195671346</v>
          </cell>
        </row>
        <row r="788">
          <cell r="A788" t="str">
            <v>L000434</v>
          </cell>
          <cell r="C788" t="str">
            <v>Gialmog</v>
          </cell>
          <cell r="D788" t="str">
            <v>Filtro Boumatic (15X85)</v>
          </cell>
          <cell r="E788">
            <v>100</v>
          </cell>
          <cell r="J788">
            <v>6290</v>
          </cell>
          <cell r="K788">
            <v>7862.5</v>
          </cell>
          <cell r="L788">
            <v>2</v>
          </cell>
          <cell r="M788">
            <v>8736.1111111111113</v>
          </cell>
          <cell r="N788">
            <v>9172.9166666666679</v>
          </cell>
          <cell r="O788">
            <v>10277.777777777779</v>
          </cell>
          <cell r="P788">
            <v>11305.555555555558</v>
          </cell>
          <cell r="Q788">
            <v>3</v>
          </cell>
          <cell r="R788">
            <v>12847.222222222223</v>
          </cell>
        </row>
        <row r="789">
          <cell r="A789" t="str">
            <v>L000435</v>
          </cell>
          <cell r="C789" t="str">
            <v>Alani</v>
          </cell>
          <cell r="D789" t="str">
            <v xml:space="preserve"> 6 Bovinas  toalla de papel centerpull doble/hoja (20X22 , 300 metros (1300 toallas por rollo) </v>
          </cell>
          <cell r="E789">
            <v>6</v>
          </cell>
          <cell r="I789">
            <v>250</v>
          </cell>
          <cell r="J789">
            <v>2.659313725490196</v>
          </cell>
          <cell r="K789">
            <v>3.3241421568627447</v>
          </cell>
          <cell r="L789">
            <v>2</v>
          </cell>
          <cell r="M789">
            <v>3.6934912854030495</v>
          </cell>
          <cell r="N789">
            <v>3.8781658496732021</v>
          </cell>
          <cell r="O789">
            <v>4.3452838651800585</v>
          </cell>
          <cell r="P789">
            <v>4.7798122516980648</v>
          </cell>
          <cell r="Q789">
            <v>3</v>
          </cell>
          <cell r="R789">
            <v>5.4316048314750729</v>
          </cell>
        </row>
        <row r="790">
          <cell r="A790" t="str">
            <v>L000436</v>
          </cell>
          <cell r="C790" t="str">
            <v>Alani</v>
          </cell>
          <cell r="D790" t="str">
            <v xml:space="preserve"> 6 Bovinas  toalla de papel  doble/hoja(20X22,5 , 150 metros (600 toallas por rollo) </v>
          </cell>
          <cell r="E790">
            <v>6</v>
          </cell>
          <cell r="I790">
            <v>137.04</v>
          </cell>
          <cell r="J790">
            <v>1.4577294117647057</v>
          </cell>
          <cell r="K790">
            <v>1.8221617647058821</v>
          </cell>
          <cell r="L790">
            <v>2</v>
          </cell>
          <cell r="M790">
            <v>2.0246241830065355</v>
          </cell>
          <cell r="N790">
            <v>2.1258553921568621</v>
          </cell>
          <cell r="O790">
            <v>2.3819108035371004</v>
          </cell>
          <cell r="P790">
            <v>2.6201018838908108</v>
          </cell>
          <cell r="Q790">
            <v>3</v>
          </cell>
          <cell r="R790">
            <v>2.9773885044213753</v>
          </cell>
        </row>
        <row r="791">
          <cell r="A791" t="str">
            <v>L000437</v>
          </cell>
          <cell r="C791" t="str">
            <v>Pistarelli</v>
          </cell>
          <cell r="D791" t="str">
            <v>Repetidor doble Gascoigne Melotte TL</v>
          </cell>
          <cell r="E791">
            <v>2</v>
          </cell>
          <cell r="N791">
            <v>0</v>
          </cell>
        </row>
        <row r="792">
          <cell r="A792" t="str">
            <v>L000438</v>
          </cell>
          <cell r="C792" t="str">
            <v>David</v>
          </cell>
          <cell r="D792" t="str">
            <v>Inyector de aire DX con control y fuente</v>
          </cell>
          <cell r="E792">
            <v>1</v>
          </cell>
          <cell r="N792">
            <v>0</v>
          </cell>
        </row>
        <row r="793">
          <cell r="A793" t="str">
            <v>L000439</v>
          </cell>
          <cell r="C793" t="str">
            <v>Pistarelli</v>
          </cell>
          <cell r="D793" t="str">
            <v>Sensor de nivel para recibidor - DX</v>
          </cell>
          <cell r="E793">
            <v>1</v>
          </cell>
          <cell r="N793">
            <v>0</v>
          </cell>
        </row>
        <row r="794">
          <cell r="A794" t="str">
            <v>L000440</v>
          </cell>
          <cell r="C794" t="str">
            <v>Grosso</v>
          </cell>
          <cell r="D794" t="str">
            <v>Recibidor 85 Lts DX</v>
          </cell>
          <cell r="E794">
            <v>1</v>
          </cell>
          <cell r="N794">
            <v>0</v>
          </cell>
        </row>
        <row r="795">
          <cell r="A795" t="str">
            <v>L000441</v>
          </cell>
          <cell r="C795" t="str">
            <v>Grosso</v>
          </cell>
          <cell r="D795" t="str">
            <v>Recibidor 60 Lts DX</v>
          </cell>
          <cell r="E795">
            <v>1</v>
          </cell>
          <cell r="N795">
            <v>0</v>
          </cell>
        </row>
        <row r="796">
          <cell r="A796" t="str">
            <v>L000442</v>
          </cell>
          <cell r="C796" t="str">
            <v>Troyplast</v>
          </cell>
          <cell r="D796" t="str">
            <v>Tubo corto pulsado 210</v>
          </cell>
          <cell r="E796">
            <v>100</v>
          </cell>
          <cell r="N796">
            <v>0</v>
          </cell>
        </row>
        <row r="797">
          <cell r="A797" t="str">
            <v>L000443</v>
          </cell>
          <cell r="D797" t="str">
            <v>Caja injector Nacional (plaqueta importada)</v>
          </cell>
          <cell r="E797">
            <v>1</v>
          </cell>
          <cell r="F797">
            <v>1500</v>
          </cell>
          <cell r="G797">
            <v>2025.0000000000002</v>
          </cell>
          <cell r="H797">
            <v>1.1499999999999999</v>
          </cell>
          <cell r="I797">
            <v>2328.75</v>
          </cell>
          <cell r="J797">
            <v>2526.6937499999999</v>
          </cell>
          <cell r="K797">
            <v>3158.3671874999995</v>
          </cell>
          <cell r="L797">
            <v>2</v>
          </cell>
          <cell r="M797">
            <v>3509.2968749999995</v>
          </cell>
          <cell r="N797">
            <v>3684.7617187499995</v>
          </cell>
          <cell r="O797">
            <v>4128.5845588235288</v>
          </cell>
          <cell r="P797">
            <v>4541.443014705882</v>
          </cell>
          <cell r="Q797">
            <v>3</v>
          </cell>
          <cell r="R797">
            <v>5160.7306985294108</v>
          </cell>
        </row>
        <row r="798">
          <cell r="A798" t="str">
            <v>l000928</v>
          </cell>
          <cell r="C798" t="str">
            <v>Celtrap</v>
          </cell>
          <cell r="D798" t="str">
            <v>toalla 2500 , 21x37 6 pliegues beige</v>
          </cell>
          <cell r="E798">
            <v>2500</v>
          </cell>
          <cell r="I798">
            <v>191.3</v>
          </cell>
          <cell r="J798">
            <v>2.0349068627450984</v>
          </cell>
          <cell r="K798">
            <v>2.5436335784313728</v>
          </cell>
          <cell r="L798">
            <v>1</v>
          </cell>
          <cell r="M798">
            <v>2.6775090299277609</v>
          </cell>
          <cell r="N798">
            <v>2.8113844814241489</v>
          </cell>
          <cell r="O798">
            <v>3.1500106234444245</v>
          </cell>
          <cell r="P798">
            <v>3.4650116857888671</v>
          </cell>
          <cell r="Q798">
            <v>3</v>
          </cell>
          <cell r="R798">
            <v>3.9375132793055303</v>
          </cell>
        </row>
        <row r="799">
          <cell r="A799" t="str">
            <v>l000932</v>
          </cell>
          <cell r="C799" t="str">
            <v>Celtrap</v>
          </cell>
          <cell r="D799" t="str">
            <v>toalla 2500 , 21x25 4 pliegues beige</v>
          </cell>
          <cell r="E799">
            <v>2500</v>
          </cell>
          <cell r="I799">
            <v>110.05</v>
          </cell>
          <cell r="J799">
            <v>1.1706299019607842</v>
          </cell>
          <cell r="K799">
            <v>1.4632873774509803</v>
          </cell>
          <cell r="L799">
            <v>1</v>
          </cell>
          <cell r="M799">
            <v>1.5403025025799792</v>
          </cell>
          <cell r="N799">
            <v>1.6173176277089782</v>
          </cell>
          <cell r="O799">
            <v>1.8121205912705638</v>
          </cell>
          <cell r="P799">
            <v>1.9933326503976203</v>
          </cell>
          <cell r="Q799">
            <v>3</v>
          </cell>
          <cell r="R799">
            <v>2.2651507390882046</v>
          </cell>
        </row>
        <row r="800">
          <cell r="A800">
            <v>8582929</v>
          </cell>
          <cell r="D800" t="str">
            <v>KIT,REPAIR,HI-FLO PULSATOR</v>
          </cell>
          <cell r="F800">
            <v>16.59</v>
          </cell>
          <cell r="G800">
            <v>22.3965</v>
          </cell>
          <cell r="H800">
            <v>1.1499999999999999</v>
          </cell>
          <cell r="I800">
            <v>25.755974999999996</v>
          </cell>
          <cell r="J800">
            <v>27.945232874999995</v>
          </cell>
          <cell r="K800">
            <v>34.931541093749992</v>
          </cell>
          <cell r="L800">
            <v>1</v>
          </cell>
          <cell r="M800">
            <v>36.770043256578944</v>
          </cell>
          <cell r="N800">
            <v>38.608545419407896</v>
          </cell>
          <cell r="O800">
            <v>43.258874419504643</v>
          </cell>
          <cell r="P800">
            <v>47.584761861455114</v>
          </cell>
          <cell r="Q800">
            <v>3</v>
          </cell>
          <cell r="R800">
            <v>54.073593024380799</v>
          </cell>
        </row>
        <row r="801">
          <cell r="A801">
            <v>8580137</v>
          </cell>
          <cell r="C801" t="str">
            <v>BM</v>
          </cell>
          <cell r="D801" t="str">
            <v>BRACKET,RECEIVER PANEL,SWG PLR</v>
          </cell>
          <cell r="E801">
            <v>1</v>
          </cell>
          <cell r="F801">
            <v>94.66</v>
          </cell>
          <cell r="G801">
            <v>127.791</v>
          </cell>
          <cell r="H801">
            <v>1.1499999999999999</v>
          </cell>
          <cell r="I801">
            <v>146.95964999999998</v>
          </cell>
          <cell r="J801">
            <v>159.45122024999998</v>
          </cell>
          <cell r="K801">
            <v>199.31402531249995</v>
          </cell>
          <cell r="L801">
            <v>2</v>
          </cell>
          <cell r="M801">
            <v>221.46002812499995</v>
          </cell>
          <cell r="N801">
            <v>232.53302953124995</v>
          </cell>
          <cell r="O801">
            <v>260.54120955882348</v>
          </cell>
          <cell r="P801">
            <v>286.59533051470584</v>
          </cell>
          <cell r="Q801">
            <v>3</v>
          </cell>
          <cell r="R801">
            <v>325.67651194852931</v>
          </cell>
        </row>
        <row r="802">
          <cell r="A802">
            <v>8580136</v>
          </cell>
          <cell r="C802" t="str">
            <v>BM</v>
          </cell>
          <cell r="D802" t="str">
            <v>BRACKET,MILK PUMP,SWG PLR</v>
          </cell>
          <cell r="E802">
            <v>1</v>
          </cell>
          <cell r="F802">
            <v>20.239999999999998</v>
          </cell>
          <cell r="G802">
            <v>27.323999999999998</v>
          </cell>
          <cell r="H802">
            <v>1.1499999999999999</v>
          </cell>
          <cell r="I802">
            <v>31.422599999999996</v>
          </cell>
          <cell r="J802">
            <v>34.093520999999996</v>
          </cell>
          <cell r="K802">
            <v>42.616901249999991</v>
          </cell>
          <cell r="L802">
            <v>2</v>
          </cell>
          <cell r="M802">
            <v>47.35211249999999</v>
          </cell>
          <cell r="N802">
            <v>49.719718124999993</v>
          </cell>
          <cell r="O802">
            <v>55.708367647058814</v>
          </cell>
          <cell r="P802">
            <v>61.279204411764702</v>
          </cell>
          <cell r="Q802">
            <v>3</v>
          </cell>
          <cell r="R802">
            <v>69.635459558823513</v>
          </cell>
        </row>
        <row r="803">
          <cell r="A803">
            <v>3559840</v>
          </cell>
          <cell r="D803" t="str">
            <v>SWING ARM ASSY,W/CYLINDER</v>
          </cell>
          <cell r="F803">
            <v>420.72</v>
          </cell>
          <cell r="G803">
            <v>567.97200000000009</v>
          </cell>
          <cell r="H803">
            <v>1.1499999999999999</v>
          </cell>
          <cell r="I803">
            <v>653.16780000000006</v>
          </cell>
          <cell r="J803">
            <v>708.68706300000008</v>
          </cell>
          <cell r="K803">
            <v>885.85882875000004</v>
          </cell>
          <cell r="L803">
            <v>2</v>
          </cell>
          <cell r="M803">
            <v>984.28758749999997</v>
          </cell>
          <cell r="N803">
            <v>1033.5019668750001</v>
          </cell>
          <cell r="O803">
            <v>1157.9853970588235</v>
          </cell>
          <cell r="P803">
            <v>1273.7839367647059</v>
          </cell>
          <cell r="Q803">
            <v>3</v>
          </cell>
          <cell r="R803">
            <v>1447.4817463235293</v>
          </cell>
        </row>
        <row r="804">
          <cell r="A804">
            <v>3559989</v>
          </cell>
          <cell r="D804" t="str">
            <v>ENCLOSURE ASSY,DFLO,T-PNT</v>
          </cell>
          <cell r="F804">
            <v>1057.04</v>
          </cell>
          <cell r="G804">
            <v>1427.0040000000001</v>
          </cell>
          <cell r="H804">
            <v>1.1499999999999999</v>
          </cell>
          <cell r="I804">
            <v>1641.0545999999999</v>
          </cell>
          <cell r="J804">
            <v>1780.5442409999998</v>
          </cell>
          <cell r="K804">
            <v>2225.6803012499995</v>
          </cell>
          <cell r="L804">
            <v>2</v>
          </cell>
          <cell r="M804">
            <v>2472.9781124999995</v>
          </cell>
          <cell r="N804">
            <v>2596.6270181249997</v>
          </cell>
          <cell r="O804">
            <v>2909.3860147058817</v>
          </cell>
          <cell r="P804">
            <v>3200.32461617647</v>
          </cell>
          <cell r="Q804">
            <v>3</v>
          </cell>
          <cell r="R804">
            <v>3636.7325183823518</v>
          </cell>
        </row>
        <row r="805">
          <cell r="A805">
            <v>14975360</v>
          </cell>
          <cell r="D805" t="str">
            <v>Cabezal bomba M5</v>
          </cell>
          <cell r="E805">
            <v>1</v>
          </cell>
          <cell r="F805">
            <v>1277.4000000000001</v>
          </cell>
          <cell r="G805">
            <v>1724.4900000000002</v>
          </cell>
          <cell r="H805">
            <v>1.1499999999999999</v>
          </cell>
          <cell r="I805">
            <v>1983.1635000000001</v>
          </cell>
          <cell r="J805">
            <v>2151.7323974999999</v>
          </cell>
          <cell r="K805">
            <v>2689.6654968749999</v>
          </cell>
          <cell r="L805">
            <v>1</v>
          </cell>
          <cell r="M805">
            <v>2831.2268388157895</v>
          </cell>
          <cell r="N805">
            <v>2972.7881807565791</v>
          </cell>
          <cell r="O805">
            <v>3330.8551044891642</v>
          </cell>
          <cell r="P805">
            <v>3663.9406149380811</v>
          </cell>
          <cell r="Q805">
            <v>3</v>
          </cell>
          <cell r="R805">
            <v>4163.5688806114549</v>
          </cell>
        </row>
        <row r="806">
          <cell r="A806" t="str">
            <v>xxx</v>
          </cell>
          <cell r="B806" t="str">
            <v>xxx</v>
          </cell>
          <cell r="C806" t="str">
            <v>xxx</v>
          </cell>
          <cell r="D806" t="str">
            <v>xxx</v>
          </cell>
          <cell r="E806" t="str">
            <v>xxx</v>
          </cell>
          <cell r="F806" t="str">
            <v>xxx</v>
          </cell>
          <cell r="G806" t="str">
            <v>xxx</v>
          </cell>
          <cell r="H806" t="str">
            <v>xxx</v>
          </cell>
          <cell r="I806" t="str">
            <v>xxx</v>
          </cell>
          <cell r="J806" t="str">
            <v>xxx</v>
          </cell>
          <cell r="K806" t="str">
            <v>xxx</v>
          </cell>
          <cell r="L806" t="str">
            <v>xxx</v>
          </cell>
          <cell r="M806" t="str">
            <v>xxx</v>
          </cell>
          <cell r="N806" t="str">
            <v>xxx</v>
          </cell>
          <cell r="O806" t="str">
            <v>xxx</v>
          </cell>
          <cell r="P806" t="str">
            <v>xxx</v>
          </cell>
          <cell r="Q806" t="str">
            <v>xxx</v>
          </cell>
          <cell r="R806" t="str">
            <v>xxx</v>
          </cell>
        </row>
        <row r="807">
          <cell r="A807" t="str">
            <v>D255660</v>
          </cell>
          <cell r="D807" t="e">
            <v>#N/A</v>
          </cell>
          <cell r="F807">
            <v>38</v>
          </cell>
          <cell r="G807">
            <v>51.300000000000004</v>
          </cell>
          <cell r="H807">
            <v>1.1499999999999999</v>
          </cell>
          <cell r="I807">
            <v>58.994999999999997</v>
          </cell>
          <cell r="J807">
            <v>64.009574999999998</v>
          </cell>
          <cell r="K807">
            <v>80.011968749999994</v>
          </cell>
          <cell r="L807">
            <v>2</v>
          </cell>
          <cell r="M807">
            <v>88.902187499999997</v>
          </cell>
          <cell r="N807">
            <v>93.347296874999998</v>
          </cell>
          <cell r="O807">
            <v>104.59080882352941</v>
          </cell>
          <cell r="P807">
            <v>115.04988970588236</v>
          </cell>
          <cell r="Q807">
            <v>3</v>
          </cell>
          <cell r="R807">
            <v>130.73851102941177</v>
          </cell>
        </row>
        <row r="808">
          <cell r="A808" t="str">
            <v>D385646</v>
          </cell>
          <cell r="D808" t="e">
            <v>#N/A</v>
          </cell>
          <cell r="F808">
            <v>4.43</v>
          </cell>
          <cell r="G808">
            <v>5.9805000000000001</v>
          </cell>
          <cell r="H808">
            <v>1.1499999999999999</v>
          </cell>
          <cell r="I808">
            <v>6.8775749999999993</v>
          </cell>
          <cell r="J808">
            <v>7.4621688749999988</v>
          </cell>
          <cell r="K808">
            <v>9.3277110937499987</v>
          </cell>
          <cell r="L808">
            <v>2</v>
          </cell>
          <cell r="M808">
            <v>10.364123437499998</v>
          </cell>
          <cell r="N808">
            <v>10.882329609374999</v>
          </cell>
          <cell r="O808">
            <v>12.193086397058822</v>
          </cell>
          <cell r="P808">
            <v>13.412395036764705</v>
          </cell>
          <cell r="Q808">
            <v>3</v>
          </cell>
          <cell r="R808">
            <v>15.241357996323528</v>
          </cell>
        </row>
        <row r="809">
          <cell r="A809">
            <v>8507951</v>
          </cell>
          <cell r="C809" t="str">
            <v>BM</v>
          </cell>
          <cell r="D809" t="str">
            <v>Junta de goma ferula(GASKET,TRI-CLAMP,2.0")</v>
          </cell>
          <cell r="E809">
            <v>1</v>
          </cell>
          <cell r="F809">
            <v>0.75</v>
          </cell>
          <cell r="G809">
            <v>1.0125000000000002</v>
          </cell>
          <cell r="H809">
            <v>1.1499999999999999</v>
          </cell>
          <cell r="I809">
            <v>1.1643750000000002</v>
          </cell>
          <cell r="J809">
            <v>1.2633468750000001</v>
          </cell>
          <cell r="K809">
            <v>1.5791835937500001</v>
          </cell>
          <cell r="L809">
            <v>2</v>
          </cell>
          <cell r="M809">
            <v>1.7546484375</v>
          </cell>
          <cell r="N809">
            <v>1.8423808593750002</v>
          </cell>
          <cell r="O809">
            <v>2.0642922794117649</v>
          </cell>
          <cell r="P809">
            <v>2.2707215073529414</v>
          </cell>
          <cell r="Q809">
            <v>3</v>
          </cell>
          <cell r="R809">
            <v>2.5803653492647061</v>
          </cell>
        </row>
        <row r="810">
          <cell r="A810">
            <v>8500331</v>
          </cell>
          <cell r="C810" t="str">
            <v>BM</v>
          </cell>
          <cell r="D810" t="str">
            <v>Junta de goma ferula(GASKET,TRI-CLAMP,3.0")</v>
          </cell>
          <cell r="E810">
            <v>1</v>
          </cell>
          <cell r="F810">
            <v>1.1000000000000001</v>
          </cell>
          <cell r="G810">
            <v>1.4850000000000003</v>
          </cell>
          <cell r="H810">
            <v>1.1499999999999999</v>
          </cell>
          <cell r="I810">
            <v>1.7077500000000003</v>
          </cell>
          <cell r="J810">
            <v>1.8529087500000003</v>
          </cell>
          <cell r="K810">
            <v>2.3161359375000004</v>
          </cell>
          <cell r="L810">
            <v>1</v>
          </cell>
          <cell r="M810">
            <v>2.438037828947369</v>
          </cell>
          <cell r="N810">
            <v>2.5599397203947376</v>
          </cell>
          <cell r="O810">
            <v>2.8682797987616104</v>
          </cell>
          <cell r="P810">
            <v>3.1551077786377717</v>
          </cell>
          <cell r="Q810">
            <v>3</v>
          </cell>
          <cell r="R810">
            <v>3.5853497484520127</v>
          </cell>
        </row>
        <row r="811">
          <cell r="A811">
            <v>8507950</v>
          </cell>
          <cell r="C811" t="str">
            <v>BM</v>
          </cell>
          <cell r="D811" t="str">
            <v>Ferula expandible(FERRULE,SS,CLP,2)</v>
          </cell>
          <cell r="E811">
            <v>1</v>
          </cell>
          <cell r="F811">
            <v>7.14</v>
          </cell>
          <cell r="G811">
            <v>9.6389999999999993</v>
          </cell>
          <cell r="H811">
            <v>1.1499999999999999</v>
          </cell>
          <cell r="I811">
            <v>11.084849999999998</v>
          </cell>
          <cell r="J811">
            <v>12.027062249999997</v>
          </cell>
          <cell r="K811">
            <v>15.033827812499995</v>
          </cell>
          <cell r="L811">
            <v>2</v>
          </cell>
          <cell r="M811">
            <v>16.704253124999994</v>
          </cell>
          <cell r="N811">
            <v>17.539465781249994</v>
          </cell>
          <cell r="O811">
            <v>19.652062499999992</v>
          </cell>
          <cell r="P811">
            <v>21.617268749999994</v>
          </cell>
          <cell r="Q811">
            <v>3</v>
          </cell>
          <cell r="R811">
            <v>24.565078124999989</v>
          </cell>
        </row>
        <row r="812">
          <cell r="A812">
            <v>8500326</v>
          </cell>
          <cell r="C812" t="str">
            <v>BM</v>
          </cell>
          <cell r="D812" t="str">
            <v>Junta de goma ferula(GASKET,TRI-CLAMP,2.5")</v>
          </cell>
          <cell r="E812">
            <v>1</v>
          </cell>
          <cell r="F812">
            <v>0.9</v>
          </cell>
          <cell r="G812">
            <v>1.2150000000000001</v>
          </cell>
          <cell r="H812">
            <v>1.1499999999999999</v>
          </cell>
          <cell r="I812">
            <v>1.3972499999999999</v>
          </cell>
          <cell r="J812">
            <v>1.5160162499999998</v>
          </cell>
          <cell r="K812">
            <v>1.8950203124999998</v>
          </cell>
          <cell r="L812">
            <v>1</v>
          </cell>
          <cell r="M812">
            <v>1.9947582236842105</v>
          </cell>
          <cell r="N812">
            <v>2.0944961348684212</v>
          </cell>
          <cell r="O812">
            <v>2.3467743808049537</v>
          </cell>
          <cell r="P812">
            <v>2.5814518188854492</v>
          </cell>
          <cell r="Q812">
            <v>3</v>
          </cell>
          <cell r="R812">
            <v>2.9334679760061921</v>
          </cell>
        </row>
        <row r="813">
          <cell r="A813">
            <v>8507905</v>
          </cell>
          <cell r="C813" t="str">
            <v>BM</v>
          </cell>
          <cell r="D813" t="str">
            <v>Junta de goma ferula(GASKET,TRI-CLAMP,1.5"</v>
          </cell>
          <cell r="E813">
            <v>1</v>
          </cell>
          <cell r="F813">
            <v>0.65</v>
          </cell>
          <cell r="G813">
            <v>0.87750000000000006</v>
          </cell>
          <cell r="H813">
            <v>1.1499999999999999</v>
          </cell>
          <cell r="I813">
            <v>1.009125</v>
          </cell>
          <cell r="J813">
            <v>1.094900625</v>
          </cell>
          <cell r="K813">
            <v>1.3686257812499998</v>
          </cell>
          <cell r="L813">
            <v>1</v>
          </cell>
          <cell r="M813">
            <v>1.4406587171052629</v>
          </cell>
          <cell r="N813">
            <v>1.5126916529605261</v>
          </cell>
          <cell r="O813">
            <v>1.6948926083591329</v>
          </cell>
          <cell r="P813">
            <v>1.8643818691950464</v>
          </cell>
          <cell r="Q813">
            <v>3</v>
          </cell>
          <cell r="R813">
            <v>2.118615760448916</v>
          </cell>
        </row>
        <row r="814">
          <cell r="A814">
            <v>8517844</v>
          </cell>
          <cell r="C814" t="str">
            <v>BM</v>
          </cell>
          <cell r="D814" t="str">
            <v>Valvula de drenaje ducha de lavado(VALVE,CHECK,DUCK-BILL,RUB.)</v>
          </cell>
          <cell r="E814">
            <v>1</v>
          </cell>
          <cell r="F814">
            <v>1.55</v>
          </cell>
          <cell r="G814">
            <v>2.0925000000000002</v>
          </cell>
          <cell r="H814">
            <v>1.1499999999999999</v>
          </cell>
          <cell r="I814">
            <v>2.4063750000000002</v>
          </cell>
          <cell r="J814">
            <v>2.610916875</v>
          </cell>
          <cell r="K814">
            <v>3.2636460937499998</v>
          </cell>
          <cell r="L814">
            <v>2</v>
          </cell>
          <cell r="M814">
            <v>3.6262734374999996</v>
          </cell>
          <cell r="N814">
            <v>3.807587109375</v>
          </cell>
          <cell r="O814">
            <v>4.2662040441176465</v>
          </cell>
          <cell r="P814">
            <v>4.6928244485294117</v>
          </cell>
          <cell r="Q814">
            <v>3</v>
          </cell>
          <cell r="R814">
            <v>5.3327550551470582</v>
          </cell>
        </row>
        <row r="815">
          <cell r="A815">
            <v>8507933</v>
          </cell>
          <cell r="C815" t="str">
            <v>BM</v>
          </cell>
          <cell r="D815" t="str">
            <v>Abrazadera(CLAMP,BAND,SS,2 IN)</v>
          </cell>
          <cell r="E815">
            <v>1</v>
          </cell>
          <cell r="F815">
            <v>3.75</v>
          </cell>
          <cell r="G815">
            <v>5.0625</v>
          </cell>
          <cell r="H815">
            <v>1.1499999999999999</v>
          </cell>
          <cell r="I815">
            <v>5.8218749999999995</v>
          </cell>
          <cell r="J815">
            <v>6.3167343749999993</v>
          </cell>
          <cell r="K815">
            <v>7.8959179687499992</v>
          </cell>
          <cell r="L815">
            <v>2</v>
          </cell>
          <cell r="M815">
            <v>8.7732421874999993</v>
          </cell>
          <cell r="N815">
            <v>9.2119042968749998</v>
          </cell>
          <cell r="O815">
            <v>10.321461397058822</v>
          </cell>
          <cell r="P815">
            <v>11.353607536764706</v>
          </cell>
          <cell r="Q815">
            <v>3</v>
          </cell>
          <cell r="R815">
            <v>12.901826746323527</v>
          </cell>
        </row>
        <row r="816">
          <cell r="A816">
            <v>8590222</v>
          </cell>
          <cell r="C816" t="str">
            <v>BM</v>
          </cell>
          <cell r="D816" t="str">
            <v>HOSE,MILK,B/M,5/8 IDX140FT</v>
          </cell>
          <cell r="E816">
            <v>140</v>
          </cell>
          <cell r="F816">
            <v>209</v>
          </cell>
          <cell r="G816">
            <v>282.15000000000003</v>
          </cell>
          <cell r="H816">
            <v>1.1499999999999999</v>
          </cell>
          <cell r="I816">
            <v>324.47250000000003</v>
          </cell>
          <cell r="J816">
            <v>352.0526625</v>
          </cell>
          <cell r="K816">
            <v>440.065828125</v>
          </cell>
          <cell r="L816">
            <v>3</v>
          </cell>
          <cell r="M816">
            <v>517.72450367647059</v>
          </cell>
          <cell r="N816">
            <v>543.6107288602941</v>
          </cell>
          <cell r="O816">
            <v>609.08765138408307</v>
          </cell>
          <cell r="P816">
            <v>669.99641652249147</v>
          </cell>
          <cell r="Q816">
            <v>3</v>
          </cell>
          <cell r="R816">
            <v>761.35956423010384</v>
          </cell>
        </row>
        <row r="817">
          <cell r="A817">
            <v>8590224</v>
          </cell>
          <cell r="C817" t="str">
            <v>BM</v>
          </cell>
          <cell r="D817" t="str">
            <v>HOSE,MILK,B/M,5/8 IDX500FT</v>
          </cell>
          <cell r="E817" t="str">
            <v>500 ft</v>
          </cell>
          <cell r="F817">
            <v>633.54</v>
          </cell>
          <cell r="G817">
            <v>855.279</v>
          </cell>
          <cell r="H817">
            <v>1.1499999999999999</v>
          </cell>
          <cell r="I817">
            <v>983.57084999999995</v>
          </cell>
          <cell r="J817">
            <v>1067.1743722499998</v>
          </cell>
          <cell r="K817">
            <v>1333.9679653124997</v>
          </cell>
          <cell r="L817">
            <v>3</v>
          </cell>
          <cell r="M817">
            <v>1569.3740768382349</v>
          </cell>
          <cell r="N817">
            <v>1647.8427806801467</v>
          </cell>
          <cell r="O817">
            <v>1846.3224433390999</v>
          </cell>
          <cell r="P817">
            <v>2030.9546876730101</v>
          </cell>
          <cell r="Q817">
            <v>3</v>
          </cell>
          <cell r="R817">
            <v>2307.9030541738748</v>
          </cell>
        </row>
        <row r="818">
          <cell r="A818">
            <v>3558092</v>
          </cell>
          <cell r="D818" t="str">
            <v>TAG,ID,EAR,ALLFLEX</v>
          </cell>
          <cell r="F818">
            <v>185</v>
          </cell>
          <cell r="G818">
            <v>249.75000000000003</v>
          </cell>
          <cell r="H818">
            <v>1.1499999999999999</v>
          </cell>
          <cell r="I818">
            <v>287.21250000000003</v>
          </cell>
          <cell r="J818">
            <v>311.6255625</v>
          </cell>
          <cell r="K818">
            <v>389.53195312499997</v>
          </cell>
          <cell r="L818">
            <v>2</v>
          </cell>
          <cell r="M818">
            <v>432.81328124999993</v>
          </cell>
          <cell r="N818">
            <v>454.45394531249997</v>
          </cell>
          <cell r="O818">
            <v>509.19209558823525</v>
          </cell>
          <cell r="P818">
            <v>560.11130514705883</v>
          </cell>
          <cell r="Q818">
            <v>3</v>
          </cell>
          <cell r="R818">
            <v>636.49011948529403</v>
          </cell>
        </row>
        <row r="819">
          <cell r="A819">
            <v>3560511</v>
          </cell>
          <cell r="C819" t="str">
            <v>BM</v>
          </cell>
          <cell r="D819" t="str">
            <v>CONTROL ASSY,S-DAIRY,W/O SOFTW</v>
          </cell>
          <cell r="E819">
            <v>1</v>
          </cell>
          <cell r="F819">
            <v>4802.84</v>
          </cell>
          <cell r="G819">
            <v>6483.8340000000007</v>
          </cell>
          <cell r="H819">
            <v>1.1499999999999999</v>
          </cell>
          <cell r="I819">
            <v>7456.4090999999999</v>
          </cell>
          <cell r="J819">
            <v>8090.2038734999996</v>
          </cell>
          <cell r="K819">
            <v>10112.754841874999</v>
          </cell>
          <cell r="L819">
            <v>1</v>
          </cell>
          <cell r="M819">
            <v>10645.005096710525</v>
          </cell>
          <cell r="N819">
            <v>11177.255351546051</v>
          </cell>
          <cell r="O819">
            <v>12523.535407894737</v>
          </cell>
          <cell r="P819">
            <v>13775.888948684211</v>
          </cell>
          <cell r="Q819">
            <v>3</v>
          </cell>
          <cell r="R819">
            <v>15654.41925986842</v>
          </cell>
        </row>
        <row r="820">
          <cell r="A820">
            <v>8500324</v>
          </cell>
          <cell r="C820" t="str">
            <v>BM</v>
          </cell>
          <cell r="D820" t="str">
            <v>TEE,SS,3.0,CLP</v>
          </cell>
          <cell r="E820">
            <v>1</v>
          </cell>
          <cell r="F820">
            <v>107.1</v>
          </cell>
          <cell r="G820">
            <v>144.58500000000001</v>
          </cell>
          <cell r="H820">
            <v>1.1499999999999999</v>
          </cell>
          <cell r="I820">
            <v>166.27275</v>
          </cell>
          <cell r="J820">
            <v>180.40593375</v>
          </cell>
          <cell r="K820">
            <v>225.50741718749998</v>
          </cell>
          <cell r="L820">
            <v>1</v>
          </cell>
          <cell r="M820">
            <v>237.37622861842104</v>
          </cell>
          <cell r="N820">
            <v>249.24504004934209</v>
          </cell>
          <cell r="O820">
            <v>279.26615131578944</v>
          </cell>
          <cell r="P820">
            <v>307.1927664473684</v>
          </cell>
          <cell r="Q820">
            <v>3</v>
          </cell>
          <cell r="R820">
            <v>349.08268914473678</v>
          </cell>
        </row>
        <row r="821">
          <cell r="A821">
            <v>8516826</v>
          </cell>
          <cell r="D821" t="str">
            <v>SWITCH,TOGGLE,DPDT,VDE</v>
          </cell>
          <cell r="F821">
            <v>25.92</v>
          </cell>
          <cell r="G821">
            <v>34.992000000000004</v>
          </cell>
          <cell r="H821">
            <v>1.1499999999999999</v>
          </cell>
          <cell r="I821">
            <v>40.2408</v>
          </cell>
          <cell r="J821">
            <v>43.661268</v>
          </cell>
          <cell r="K821">
            <v>54.576584999999994</v>
          </cell>
          <cell r="L821">
            <v>2</v>
          </cell>
          <cell r="M821">
            <v>60.640649999999994</v>
          </cell>
          <cell r="N821">
            <v>63.672682499999993</v>
          </cell>
          <cell r="O821">
            <v>71.341941176470584</v>
          </cell>
          <cell r="P821">
            <v>78.476135294117654</v>
          </cell>
          <cell r="Q821">
            <v>3</v>
          </cell>
          <cell r="R821">
            <v>89.17742647058823</v>
          </cell>
        </row>
        <row r="822">
          <cell r="A822">
            <v>321720</v>
          </cell>
          <cell r="D822" t="str">
            <v>HANGER, MILKMASTER, 2" S.S., B</v>
          </cell>
          <cell r="F822">
            <v>17.34</v>
          </cell>
          <cell r="G822">
            <v>23.409000000000002</v>
          </cell>
          <cell r="H822">
            <v>1.1499999999999999</v>
          </cell>
          <cell r="I822">
            <v>26.920349999999999</v>
          </cell>
          <cell r="J822">
            <v>29.208579749999998</v>
          </cell>
          <cell r="K822">
            <v>36.510724687499994</v>
          </cell>
          <cell r="L822">
            <v>2</v>
          </cell>
          <cell r="M822">
            <v>40.567471874999995</v>
          </cell>
          <cell r="N822">
            <v>42.595845468749999</v>
          </cell>
          <cell r="O822">
            <v>47.726437499999996</v>
          </cell>
          <cell r="P822">
            <v>52.499081249999996</v>
          </cell>
          <cell r="Q822">
            <v>3</v>
          </cell>
          <cell r="R822">
            <v>59.658046874999989</v>
          </cell>
        </row>
        <row r="823">
          <cell r="A823">
            <v>4024058</v>
          </cell>
          <cell r="D823" t="str">
            <v>KIT,CABLE,EMI,OPTI-FLO</v>
          </cell>
          <cell r="F823">
            <v>305.95999999999998</v>
          </cell>
          <cell r="G823">
            <v>413.04599999999999</v>
          </cell>
          <cell r="H823">
            <v>1.1499999999999999</v>
          </cell>
          <cell r="I823">
            <v>475.00289999999995</v>
          </cell>
          <cell r="J823">
            <v>515.37814649999996</v>
          </cell>
          <cell r="K823">
            <v>644.22268312499989</v>
          </cell>
          <cell r="L823">
            <v>2</v>
          </cell>
          <cell r="M823">
            <v>715.8029812499999</v>
          </cell>
          <cell r="N823">
            <v>751.59313031249997</v>
          </cell>
          <cell r="O823">
            <v>842.12115441176456</v>
          </cell>
          <cell r="P823">
            <v>926.33326985294104</v>
          </cell>
          <cell r="Q823">
            <v>3</v>
          </cell>
          <cell r="R823">
            <v>1052.6514430147056</v>
          </cell>
        </row>
        <row r="824">
          <cell r="A824">
            <v>8507904</v>
          </cell>
          <cell r="C824" t="str">
            <v>BM</v>
          </cell>
          <cell r="D824" t="str">
            <v>Ferula expandible(FERRULE,SS,CLP,1.5)</v>
          </cell>
          <cell r="E824">
            <v>1</v>
          </cell>
          <cell r="F824">
            <v>6.63</v>
          </cell>
          <cell r="G824">
            <v>8.9504999999999999</v>
          </cell>
          <cell r="H824">
            <v>1.1499999999999999</v>
          </cell>
          <cell r="I824">
            <v>10.293075</v>
          </cell>
          <cell r="J824">
            <v>11.167986375</v>
          </cell>
          <cell r="K824">
            <v>13.959982968749999</v>
          </cell>
          <cell r="L824">
            <v>1</v>
          </cell>
          <cell r="M824">
            <v>14.694718914473684</v>
          </cell>
          <cell r="N824">
            <v>15.429454860197369</v>
          </cell>
          <cell r="O824">
            <v>17.287904605263158</v>
          </cell>
          <cell r="P824">
            <v>19.016695065789474</v>
          </cell>
          <cell r="Q824">
            <v>3</v>
          </cell>
          <cell r="R824">
            <v>21.609880756578946</v>
          </cell>
        </row>
        <row r="825">
          <cell r="A825">
            <v>694040</v>
          </cell>
          <cell r="C825" t="str">
            <v>BM</v>
          </cell>
          <cell r="D825" t="str">
            <v>Bomba para tambor de 200 litros(PUMP, DRUM, SAFETY, 2" &amp; 3/4")</v>
          </cell>
          <cell r="E825">
            <v>1</v>
          </cell>
          <cell r="F825">
            <v>60</v>
          </cell>
          <cell r="G825">
            <v>81</v>
          </cell>
          <cell r="H825">
            <v>1.1499999999999999</v>
          </cell>
          <cell r="I825">
            <v>93.149999999999991</v>
          </cell>
          <cell r="J825">
            <v>101.06774999999999</v>
          </cell>
          <cell r="K825">
            <v>126.33468749999999</v>
          </cell>
          <cell r="L825">
            <v>1</v>
          </cell>
          <cell r="M825">
            <v>132.98388157894735</v>
          </cell>
          <cell r="N825">
            <v>139.63307565789472</v>
          </cell>
          <cell r="O825">
            <v>156.45162538699688</v>
          </cell>
          <cell r="P825">
            <v>172.09678792569659</v>
          </cell>
          <cell r="Q825">
            <v>3</v>
          </cell>
          <cell r="R825">
            <v>195.56453173374609</v>
          </cell>
        </row>
        <row r="826">
          <cell r="A826">
            <v>3556372</v>
          </cell>
          <cell r="C826" t="str">
            <v>BM</v>
          </cell>
          <cell r="D826" t="str">
            <v>HOSE,SILICONE,.25 X .09 WALL</v>
          </cell>
          <cell r="E826">
            <v>1</v>
          </cell>
          <cell r="F826">
            <v>2.0499999999999998</v>
          </cell>
          <cell r="G826">
            <v>2.7675000000000001</v>
          </cell>
          <cell r="H826">
            <v>1.1499999999999999</v>
          </cell>
          <cell r="I826">
            <v>3.1826249999999998</v>
          </cell>
          <cell r="J826">
            <v>3.4531481249999998</v>
          </cell>
          <cell r="K826">
            <v>4.3164351562499998</v>
          </cell>
          <cell r="L826">
            <v>1</v>
          </cell>
          <cell r="M826">
            <v>4.5436159539473682</v>
          </cell>
          <cell r="N826">
            <v>4.7707967516447365</v>
          </cell>
          <cell r="O826">
            <v>5.3454305340557271</v>
          </cell>
          <cell r="P826">
            <v>5.8799735874613006</v>
          </cell>
          <cell r="Q826">
            <v>3</v>
          </cell>
          <cell r="R826">
            <v>6.6817881675696587</v>
          </cell>
        </row>
        <row r="827">
          <cell r="A827">
            <v>43115</v>
          </cell>
          <cell r="C827" t="str">
            <v>BOUMATIC</v>
          </cell>
          <cell r="D827" t="str">
            <v>PICO DE LAVADO PLASTICO AZUL</v>
          </cell>
          <cell r="E827">
            <v>1</v>
          </cell>
          <cell r="F827">
            <v>28</v>
          </cell>
          <cell r="G827">
            <v>37.800000000000004</v>
          </cell>
          <cell r="H827">
            <v>1.1499999999999999</v>
          </cell>
          <cell r="I827">
            <v>43.47</v>
          </cell>
          <cell r="J827">
            <v>47.164949999999997</v>
          </cell>
          <cell r="K827">
            <v>58.956187499999992</v>
          </cell>
          <cell r="L827">
            <v>2</v>
          </cell>
          <cell r="M827">
            <v>65.506874999999994</v>
          </cell>
          <cell r="N827">
            <v>68.782218749999998</v>
          </cell>
          <cell r="O827">
            <v>77.066911764705878</v>
          </cell>
          <cell r="P827">
            <v>84.773602941176478</v>
          </cell>
          <cell r="Q827">
            <v>3</v>
          </cell>
          <cell r="R827">
            <v>96.333639705882348</v>
          </cell>
        </row>
        <row r="828">
          <cell r="A828" t="str">
            <v>D242702</v>
          </cell>
          <cell r="C828" t="str">
            <v>GM</v>
          </cell>
          <cell r="D828" t="str">
            <v xml:space="preserve">Anillo sello </v>
          </cell>
          <cell r="E828">
            <v>1</v>
          </cell>
          <cell r="F828">
            <v>0.93</v>
          </cell>
          <cell r="G828">
            <v>1.2555000000000001</v>
          </cell>
          <cell r="H828">
            <v>1.1499999999999999</v>
          </cell>
          <cell r="I828">
            <v>1.4438249999999999</v>
          </cell>
          <cell r="J828">
            <v>1.5665501249999998</v>
          </cell>
          <cell r="K828">
            <v>2.23792875</v>
          </cell>
          <cell r="L828">
            <v>2</v>
          </cell>
          <cell r="M828">
            <v>2.4865875000000002</v>
          </cell>
          <cell r="N828">
            <v>2.6109168750000005</v>
          </cell>
          <cell r="O828">
            <v>2.9253970588235299</v>
          </cell>
          <cell r="P828">
            <v>3.217936764705883</v>
          </cell>
          <cell r="Q828">
            <v>3</v>
          </cell>
          <cell r="R828">
            <v>3.6567463235294122</v>
          </cell>
        </row>
        <row r="829">
          <cell r="A829" t="str">
            <v>D391509</v>
          </cell>
          <cell r="D829" t="str">
            <v>DIAPHRAGM PISTON ASSEMBLY ISSU</v>
          </cell>
          <cell r="F829">
            <v>2.76</v>
          </cell>
          <cell r="G829">
            <v>3.726</v>
          </cell>
          <cell r="H829">
            <v>1.1499999999999999</v>
          </cell>
          <cell r="I829">
            <v>4.2848999999999995</v>
          </cell>
          <cell r="J829">
            <v>4.649116499999999</v>
          </cell>
          <cell r="K829">
            <v>5.8113956249999985</v>
          </cell>
          <cell r="L829">
            <v>1</v>
          </cell>
          <cell r="M829">
            <v>6.1172585526315775</v>
          </cell>
          <cell r="N829">
            <v>6.4231214802631564</v>
          </cell>
          <cell r="O829">
            <v>7.1967747678018563</v>
          </cell>
          <cell r="P829">
            <v>7.9164522445820422</v>
          </cell>
          <cell r="Q829">
            <v>3</v>
          </cell>
          <cell r="R829">
            <v>8.9959684597523193</v>
          </cell>
        </row>
        <row r="830">
          <cell r="A830" t="str">
            <v>D240811</v>
          </cell>
          <cell r="D830" t="str">
            <v>CLIP PIPE DIA90 PLASTIC</v>
          </cell>
          <cell r="F830">
            <v>4.37</v>
          </cell>
          <cell r="G830">
            <v>5.8995000000000006</v>
          </cell>
          <cell r="H830">
            <v>1.1499999999999999</v>
          </cell>
          <cell r="I830">
            <v>6.7844250000000006</v>
          </cell>
          <cell r="J830">
            <v>7.3611011250000002</v>
          </cell>
          <cell r="K830">
            <v>9.2013764062500005</v>
          </cell>
          <cell r="L830">
            <v>2</v>
          </cell>
          <cell r="M830">
            <v>10.2237515625</v>
          </cell>
          <cell r="N830">
            <v>10.734939140625</v>
          </cell>
          <cell r="O830">
            <v>12.027943014705883</v>
          </cell>
          <cell r="P830">
            <v>13.230737316176473</v>
          </cell>
          <cell r="Q830">
            <v>3</v>
          </cell>
          <cell r="R830">
            <v>15.034928768382354</v>
          </cell>
        </row>
        <row r="831">
          <cell r="A831">
            <v>8507400</v>
          </cell>
          <cell r="D831" t="str">
            <v>HOSE,MILK,PLASTIC, .56 ID</v>
          </cell>
          <cell r="F831">
            <v>1.07</v>
          </cell>
          <cell r="G831">
            <v>1.4445000000000001</v>
          </cell>
          <cell r="H831">
            <v>1.1499999999999999</v>
          </cell>
          <cell r="I831">
            <v>1.6611750000000001</v>
          </cell>
          <cell r="J831">
            <v>1.8023748749999999</v>
          </cell>
          <cell r="K831">
            <v>2.2529685937499999</v>
          </cell>
          <cell r="L831">
            <v>2</v>
          </cell>
          <cell r="M831">
            <v>2.5032984374999998</v>
          </cell>
          <cell r="N831">
            <v>2.628463359375</v>
          </cell>
          <cell r="O831">
            <v>2.9450569852941175</v>
          </cell>
          <cell r="P831">
            <v>3.2395626838235296</v>
          </cell>
          <cell r="Q831">
            <v>3</v>
          </cell>
          <cell r="R831">
            <v>3.6813212316176469</v>
          </cell>
        </row>
        <row r="832">
          <cell r="A832" t="str">
            <v>G237004</v>
          </cell>
          <cell r="D832" t="str">
            <v>VALVE ASSEMBLY SELF DRAINING</v>
          </cell>
          <cell r="F832">
            <v>5.0599999999999996</v>
          </cell>
          <cell r="G832">
            <v>6.8309999999999995</v>
          </cell>
          <cell r="H832">
            <v>1.1499999999999999</v>
          </cell>
          <cell r="I832">
            <v>7.8556499999999989</v>
          </cell>
          <cell r="J832">
            <v>8.5233802499999989</v>
          </cell>
          <cell r="K832">
            <v>10.654225312499998</v>
          </cell>
          <cell r="L832">
            <v>2</v>
          </cell>
          <cell r="M832">
            <v>11.838028124999997</v>
          </cell>
          <cell r="N832">
            <v>12.429929531249998</v>
          </cell>
          <cell r="O832">
            <v>13.927091911764704</v>
          </cell>
          <cell r="P832">
            <v>15.319801102941176</v>
          </cell>
          <cell r="Q832">
            <v>3</v>
          </cell>
          <cell r="R832">
            <v>17.408864889705878</v>
          </cell>
        </row>
        <row r="833">
          <cell r="A833" t="str">
            <v>D255654</v>
          </cell>
          <cell r="D833" t="str">
            <v>PACK DIAPHRAGM TYPE C</v>
          </cell>
          <cell r="F833">
            <v>16.2</v>
          </cell>
          <cell r="G833">
            <v>21.87</v>
          </cell>
          <cell r="H833">
            <v>1.1499999999999999</v>
          </cell>
          <cell r="I833">
            <v>25.150500000000001</v>
          </cell>
          <cell r="J833">
            <v>27.288292500000001</v>
          </cell>
          <cell r="K833">
            <v>34.110365625</v>
          </cell>
          <cell r="L833">
            <v>1</v>
          </cell>
          <cell r="M833">
            <v>35.905648026315788</v>
          </cell>
          <cell r="N833">
            <v>37.700930427631576</v>
          </cell>
          <cell r="O833">
            <v>42.241938854489163</v>
          </cell>
          <cell r="P833">
            <v>46.466132739938082</v>
          </cell>
          <cell r="Q833">
            <v>3</v>
          </cell>
          <cell r="R833">
            <v>52.80242356811145</v>
          </cell>
        </row>
        <row r="834">
          <cell r="A834">
            <v>3556621</v>
          </cell>
          <cell r="D834" t="str">
            <v>KIT,SERVICE,PERF 3000,MM</v>
          </cell>
          <cell r="F834">
            <v>53.24</v>
          </cell>
          <cell r="G834">
            <v>71.874000000000009</v>
          </cell>
          <cell r="H834">
            <v>1.1499999999999999</v>
          </cell>
          <cell r="I834">
            <v>82.655100000000004</v>
          </cell>
          <cell r="J834">
            <v>89.680783500000004</v>
          </cell>
          <cell r="K834">
            <v>112.10097937499999</v>
          </cell>
          <cell r="L834">
            <v>1</v>
          </cell>
          <cell r="M834">
            <v>118.00103092105263</v>
          </cell>
          <cell r="N834">
            <v>123.90108246710527</v>
          </cell>
          <cell r="O834">
            <v>138.82474226006192</v>
          </cell>
          <cell r="P834">
            <v>152.70721648606812</v>
          </cell>
          <cell r="Q834">
            <v>3</v>
          </cell>
          <cell r="R834">
            <v>173.53092782507738</v>
          </cell>
        </row>
        <row r="835">
          <cell r="A835">
            <v>8582623</v>
          </cell>
          <cell r="C835" t="str">
            <v>BM</v>
          </cell>
          <cell r="D835" t="str">
            <v>PUMP ASSY,AIR-STAR,15-20HP</v>
          </cell>
          <cell r="E835">
            <v>1</v>
          </cell>
          <cell r="F835">
            <v>2754</v>
          </cell>
          <cell r="G835">
            <v>3717.9</v>
          </cell>
          <cell r="H835">
            <v>1.1499999999999999</v>
          </cell>
          <cell r="I835">
            <v>4275.585</v>
          </cell>
          <cell r="J835">
            <v>4639.0097249999999</v>
          </cell>
          <cell r="K835">
            <v>5798.7621562499999</v>
          </cell>
          <cell r="L835">
            <v>1</v>
          </cell>
          <cell r="M835">
            <v>6103.960164473684</v>
          </cell>
          <cell r="N835">
            <v>6409.1581726973682</v>
          </cell>
          <cell r="O835">
            <v>7181.1296052631578</v>
          </cell>
          <cell r="P835">
            <v>7899.2425657894746</v>
          </cell>
          <cell r="Q835">
            <v>3</v>
          </cell>
          <cell r="R835">
            <v>8976.4120065789466</v>
          </cell>
        </row>
        <row r="836">
          <cell r="A836">
            <v>8582621</v>
          </cell>
          <cell r="C836" t="str">
            <v>BM</v>
          </cell>
          <cell r="D836" t="str">
            <v>PUMP ASSY,AIR-STAR,7.5HP,DSL</v>
          </cell>
          <cell r="E836">
            <v>1</v>
          </cell>
          <cell r="F836">
            <v>1881.9</v>
          </cell>
          <cell r="G836">
            <v>2540.5650000000005</v>
          </cell>
          <cell r="H836">
            <v>1.1499999999999999</v>
          </cell>
          <cell r="I836">
            <v>2921.6497500000005</v>
          </cell>
          <cell r="J836">
            <v>3169.9899787500003</v>
          </cell>
          <cell r="K836">
            <v>3962.4874734375003</v>
          </cell>
          <cell r="L836">
            <v>1</v>
          </cell>
          <cell r="M836">
            <v>4171.0394457236844</v>
          </cell>
          <cell r="N836">
            <v>4379.5914180098689</v>
          </cell>
          <cell r="O836">
            <v>4907.1052302631579</v>
          </cell>
          <cell r="P836">
            <v>5397.8157532894738</v>
          </cell>
          <cell r="Q836">
            <v>3</v>
          </cell>
          <cell r="R836">
            <v>6133.8815378289473</v>
          </cell>
        </row>
        <row r="837">
          <cell r="A837" t="str">
            <v>D385790</v>
          </cell>
          <cell r="D837" t="str">
            <v>COLLAR THREADED RAM ACR 3</v>
          </cell>
          <cell r="F837">
            <v>5.96</v>
          </cell>
          <cell r="G837">
            <v>8.0460000000000012</v>
          </cell>
          <cell r="H837">
            <v>1.1499999999999999</v>
          </cell>
          <cell r="I837">
            <v>9.2529000000000003</v>
          </cell>
          <cell r="J837">
            <v>10.039396500000001</v>
          </cell>
          <cell r="K837">
            <v>12.549245624999999</v>
          </cell>
          <cell r="L837">
            <v>2</v>
          </cell>
          <cell r="M837">
            <v>13.943606249999998</v>
          </cell>
          <cell r="N837">
            <v>14.640786562499999</v>
          </cell>
          <cell r="O837">
            <v>16.404242647058823</v>
          </cell>
          <cell r="P837">
            <v>18.044666911764708</v>
          </cell>
          <cell r="Q837">
            <v>3</v>
          </cell>
          <cell r="R837">
            <v>20.505303308823528</v>
          </cell>
        </row>
        <row r="838">
          <cell r="A838">
            <v>8583221</v>
          </cell>
          <cell r="C838" t="str">
            <v>bm</v>
          </cell>
          <cell r="D838" t="str">
            <v>Bovina Pulsador HiFlo Evolutions (NUEVO)</v>
          </cell>
          <cell r="E838">
            <v>1</v>
          </cell>
          <cell r="F838">
            <v>71.81</v>
          </cell>
          <cell r="G838">
            <v>96.943500000000014</v>
          </cell>
          <cell r="H838">
            <v>1.1499999999999999</v>
          </cell>
          <cell r="I838">
            <v>111.48502500000001</v>
          </cell>
          <cell r="J838">
            <v>120.961252125</v>
          </cell>
          <cell r="K838">
            <v>151.20156515624998</v>
          </cell>
          <cell r="L838">
            <v>1</v>
          </cell>
          <cell r="M838">
            <v>159.15954226973685</v>
          </cell>
          <cell r="N838">
            <v>167.11751938322371</v>
          </cell>
          <cell r="O838">
            <v>187.24652031733748</v>
          </cell>
          <cell r="P838">
            <v>205.97117234907125</v>
          </cell>
          <cell r="Q838">
            <v>3</v>
          </cell>
          <cell r="R838">
            <v>234.05815039667183</v>
          </cell>
        </row>
        <row r="839">
          <cell r="A839">
            <v>8507955</v>
          </cell>
          <cell r="C839" t="str">
            <v>BM</v>
          </cell>
          <cell r="D839" t="str">
            <v>Tapon inox. Final (CAP,END,SS,2 IN.)</v>
          </cell>
          <cell r="E839">
            <v>1</v>
          </cell>
          <cell r="F839">
            <v>5.0999999999999996</v>
          </cell>
          <cell r="G839">
            <v>6.8849999999999998</v>
          </cell>
          <cell r="H839">
            <v>1.1499999999999999</v>
          </cell>
          <cell r="I839">
            <v>7.917749999999999</v>
          </cell>
          <cell r="J839">
            <v>8.5907587499999991</v>
          </cell>
          <cell r="K839">
            <v>10.738448437499999</v>
          </cell>
          <cell r="L839">
            <v>2</v>
          </cell>
          <cell r="M839">
            <v>11.931609374999999</v>
          </cell>
          <cell r="N839">
            <v>12.528189843749999</v>
          </cell>
          <cell r="O839">
            <v>14.0371875</v>
          </cell>
          <cell r="P839">
            <v>15.440906250000001</v>
          </cell>
          <cell r="Q839">
            <v>3</v>
          </cell>
          <cell r="R839">
            <v>17.546484374999999</v>
          </cell>
        </row>
        <row r="840">
          <cell r="A840">
            <v>8582622</v>
          </cell>
          <cell r="C840" t="str">
            <v>BM</v>
          </cell>
          <cell r="D840" t="str">
            <v>PUMP ASSY,AIR-STAR,10HP,DSL</v>
          </cell>
          <cell r="E840">
            <v>1</v>
          </cell>
          <cell r="F840">
            <v>2652</v>
          </cell>
          <cell r="G840">
            <v>3580.2000000000003</v>
          </cell>
          <cell r="H840">
            <v>1.1499999999999999</v>
          </cell>
          <cell r="I840">
            <v>4117.2299999999996</v>
          </cell>
          <cell r="J840">
            <v>4467.1945499999993</v>
          </cell>
          <cell r="K840">
            <v>5583.9931874999984</v>
          </cell>
          <cell r="L840">
            <v>1</v>
          </cell>
          <cell r="M840">
            <v>5877.8875657894723</v>
          </cell>
          <cell r="N840">
            <v>6171.7819440789463</v>
          </cell>
          <cell r="O840">
            <v>6915.1618421052617</v>
          </cell>
          <cell r="P840">
            <v>7606.6780263157889</v>
          </cell>
          <cell r="Q840">
            <v>3</v>
          </cell>
          <cell r="R840">
            <v>8643.9523026315765</v>
          </cell>
        </row>
        <row r="841">
          <cell r="A841">
            <v>321715</v>
          </cell>
          <cell r="D841" t="str">
            <v>HANGER, MILKMASTER, 1.5" S.S.,</v>
          </cell>
          <cell r="F841">
            <v>12.93</v>
          </cell>
          <cell r="G841">
            <v>17.455500000000001</v>
          </cell>
          <cell r="H841">
            <v>1.1499999999999999</v>
          </cell>
          <cell r="I841">
            <v>20.073824999999999</v>
          </cell>
          <cell r="J841">
            <v>21.780100124999997</v>
          </cell>
          <cell r="K841">
            <v>27.225125156249995</v>
          </cell>
          <cell r="L841">
            <v>2</v>
          </cell>
          <cell r="M841">
            <v>30.250139062499994</v>
          </cell>
          <cell r="N841">
            <v>31.762646015624995</v>
          </cell>
          <cell r="O841">
            <v>35.588398897058816</v>
          </cell>
          <cell r="P841">
            <v>39.147238786764703</v>
          </cell>
          <cell r="Q841">
            <v>3</v>
          </cell>
          <cell r="R841">
            <v>44.485498621323515</v>
          </cell>
        </row>
        <row r="842">
          <cell r="A842">
            <v>14975270</v>
          </cell>
          <cell r="D842" t="str">
            <v>Cabezal Bomba M3</v>
          </cell>
          <cell r="E842">
            <v>1</v>
          </cell>
          <cell r="F842">
            <v>1087.97</v>
          </cell>
          <cell r="G842">
            <v>1468.7595000000001</v>
          </cell>
          <cell r="H842">
            <v>1.1499999999999999</v>
          </cell>
          <cell r="I842">
            <v>1689.073425</v>
          </cell>
          <cell r="J842">
            <v>1832.644666125</v>
          </cell>
          <cell r="K842">
            <v>2290.80583265625</v>
          </cell>
          <cell r="L842">
            <v>1</v>
          </cell>
          <cell r="M842">
            <v>2411.3745606907896</v>
          </cell>
          <cell r="N842">
            <v>2531.9432887253292</v>
          </cell>
          <cell r="O842">
            <v>2836.9112478715174</v>
          </cell>
          <cell r="P842">
            <v>3120.6023726586695</v>
          </cell>
          <cell r="Q842">
            <v>3</v>
          </cell>
          <cell r="R842">
            <v>3546.1390598393964</v>
          </cell>
        </row>
        <row r="843">
          <cell r="A843" t="str">
            <v>D255682</v>
          </cell>
          <cell r="C843" t="str">
            <v>GM</v>
          </cell>
          <cell r="D843" t="str">
            <v>Conector sensor</v>
          </cell>
          <cell r="E843">
            <v>1</v>
          </cell>
          <cell r="F843">
            <v>42.95</v>
          </cell>
          <cell r="G843">
            <v>57.982500000000009</v>
          </cell>
          <cell r="H843">
            <v>1.1499999999999999</v>
          </cell>
          <cell r="I843">
            <v>66.67987500000001</v>
          </cell>
          <cell r="J843">
            <v>72.347664375000008</v>
          </cell>
          <cell r="K843">
            <v>103.35380625000002</v>
          </cell>
          <cell r="L843">
            <v>2</v>
          </cell>
          <cell r="M843">
            <v>114.83756250000002</v>
          </cell>
          <cell r="N843">
            <v>120.57944062500002</v>
          </cell>
          <cell r="O843">
            <v>135.10301470588237</v>
          </cell>
          <cell r="P843">
            <v>148.61331617647062</v>
          </cell>
          <cell r="Q843">
            <v>3</v>
          </cell>
          <cell r="R843">
            <v>168.87876838235294</v>
          </cell>
        </row>
        <row r="844">
          <cell r="A844">
            <v>1917533</v>
          </cell>
          <cell r="C844" t="str">
            <v>BM</v>
          </cell>
          <cell r="D844" t="str">
            <v>CONN,STR-RLF,.20-.35,1/2 NPT</v>
          </cell>
          <cell r="E844">
            <v>1</v>
          </cell>
          <cell r="F844">
            <v>3.15</v>
          </cell>
          <cell r="G844">
            <v>4.2525000000000004</v>
          </cell>
          <cell r="H844">
            <v>1.1499999999999999</v>
          </cell>
          <cell r="I844">
            <v>4.8903749999999997</v>
          </cell>
          <cell r="J844">
            <v>5.3060568749999995</v>
          </cell>
          <cell r="K844">
            <v>6.6325710937499993</v>
          </cell>
          <cell r="L844">
            <v>1</v>
          </cell>
          <cell r="M844">
            <v>6.9816537828947363</v>
          </cell>
          <cell r="N844">
            <v>7.3307364720394732</v>
          </cell>
          <cell r="O844">
            <v>8.2137103328173371</v>
          </cell>
          <cell r="P844">
            <v>9.035081366099071</v>
          </cell>
          <cell r="Q844">
            <v>3</v>
          </cell>
          <cell r="R844">
            <v>10.267137916021671</v>
          </cell>
        </row>
        <row r="845">
          <cell r="A845">
            <v>8500325</v>
          </cell>
          <cell r="C845" t="str">
            <v>BM</v>
          </cell>
          <cell r="D845" t="str">
            <v>Ferula expandible(FERRULE,SS,CLP,2.5)</v>
          </cell>
          <cell r="E845">
            <v>1</v>
          </cell>
          <cell r="F845">
            <v>9.0500000000000007</v>
          </cell>
          <cell r="G845">
            <v>12.217500000000001</v>
          </cell>
          <cell r="H845">
            <v>1.1499999999999999</v>
          </cell>
          <cell r="I845">
            <v>14.050125</v>
          </cell>
          <cell r="J845">
            <v>15.244385625</v>
          </cell>
          <cell r="K845">
            <v>19.055482031249998</v>
          </cell>
          <cell r="L845">
            <v>2</v>
          </cell>
          <cell r="M845">
            <v>21.172757812499999</v>
          </cell>
          <cell r="N845">
            <v>22.231395703124999</v>
          </cell>
          <cell r="O845">
            <v>24.909126838235292</v>
          </cell>
          <cell r="P845">
            <v>27.400039522058822</v>
          </cell>
          <cell r="Q845">
            <v>3</v>
          </cell>
          <cell r="R845">
            <v>31.136408547794112</v>
          </cell>
        </row>
        <row r="846">
          <cell r="A846" t="str">
            <v>D382716</v>
          </cell>
          <cell r="D846" t="str">
            <v>SEAL CUP A.C.R. CYLINDER</v>
          </cell>
          <cell r="F846">
            <v>7.62</v>
          </cell>
          <cell r="G846">
            <v>10.287000000000001</v>
          </cell>
          <cell r="H846">
            <v>1.1499999999999999</v>
          </cell>
          <cell r="I846">
            <v>11.83005</v>
          </cell>
          <cell r="J846">
            <v>12.835604249999999</v>
          </cell>
          <cell r="K846">
            <v>16.044505312499997</v>
          </cell>
          <cell r="L846">
            <v>1</v>
          </cell>
          <cell r="M846">
            <v>16.888952960526314</v>
          </cell>
          <cell r="N846">
            <v>17.733400608552632</v>
          </cell>
          <cell r="O846">
            <v>19.869356424148606</v>
          </cell>
          <cell r="P846">
            <v>21.856292066563469</v>
          </cell>
          <cell r="Q846">
            <v>3</v>
          </cell>
          <cell r="R846">
            <v>24.836695530185757</v>
          </cell>
        </row>
        <row r="847">
          <cell r="A847" t="str">
            <v>D255667G</v>
          </cell>
          <cell r="D847" t="str">
            <v>PACK RAM SUPPORT 1-1/4IN GREY</v>
          </cell>
          <cell r="F847">
            <v>14.73</v>
          </cell>
          <cell r="G847">
            <v>19.8855</v>
          </cell>
          <cell r="H847">
            <v>1.1499999999999999</v>
          </cell>
          <cell r="I847">
            <v>22.868324999999999</v>
          </cell>
          <cell r="J847">
            <v>24.812132624999997</v>
          </cell>
          <cell r="K847">
            <v>31.015165781249994</v>
          </cell>
          <cell r="L847">
            <v>2</v>
          </cell>
          <cell r="M847">
            <v>34.461295312499992</v>
          </cell>
          <cell r="N847">
            <v>36.184360078124996</v>
          </cell>
          <cell r="O847">
            <v>40.542700367647051</v>
          </cell>
          <cell r="P847">
            <v>44.596970404411756</v>
          </cell>
          <cell r="Q847">
            <v>3</v>
          </cell>
          <cell r="R847">
            <v>50.678375459558808</v>
          </cell>
        </row>
        <row r="848">
          <cell r="A848">
            <v>8506805</v>
          </cell>
          <cell r="C848" t="str">
            <v>BM</v>
          </cell>
          <cell r="D848" t="str">
            <v>HOSE,VINYL,.38 X .125W,BLK/WHT</v>
          </cell>
          <cell r="E848">
            <v>1</v>
          </cell>
          <cell r="F848">
            <v>1.18</v>
          </cell>
          <cell r="G848">
            <v>1.593</v>
          </cell>
          <cell r="H848">
            <v>1.1499999999999999</v>
          </cell>
          <cell r="I848">
            <v>1.8319499999999997</v>
          </cell>
          <cell r="J848">
            <v>1.9876657499999997</v>
          </cell>
          <cell r="K848">
            <v>2.4845821874999996</v>
          </cell>
          <cell r="L848">
            <v>1</v>
          </cell>
          <cell r="M848">
            <v>2.6153496710526314</v>
          </cell>
          <cell r="N848">
            <v>2.7461171546052632</v>
          </cell>
          <cell r="O848">
            <v>3.0768819659442723</v>
          </cell>
          <cell r="P848">
            <v>3.3845701625386999</v>
          </cell>
          <cell r="Q848">
            <v>3</v>
          </cell>
          <cell r="R848">
            <v>3.8461024574303404</v>
          </cell>
        </row>
        <row r="849">
          <cell r="A849">
            <v>8510101</v>
          </cell>
          <cell r="C849" t="str">
            <v>GM</v>
          </cell>
          <cell r="D849" t="str">
            <v>CLAMP,HOSE,SS, #20, .81-1.75</v>
          </cell>
          <cell r="E849">
            <v>1</v>
          </cell>
          <cell r="F849">
            <v>1.33</v>
          </cell>
          <cell r="G849">
            <v>1.7955000000000003</v>
          </cell>
          <cell r="H849">
            <v>1.1499999999999999</v>
          </cell>
          <cell r="I849">
            <v>2.0648250000000004</v>
          </cell>
          <cell r="J849">
            <v>2.2403351250000001</v>
          </cell>
          <cell r="K849">
            <v>2.80041890625</v>
          </cell>
          <cell r="L849">
            <v>1</v>
          </cell>
          <cell r="M849">
            <v>2.9478093750000003</v>
          </cell>
          <cell r="N849">
            <v>3.0951998437500006</v>
          </cell>
          <cell r="O849">
            <v>3.4680110294117652</v>
          </cell>
          <cell r="P849">
            <v>3.8148121323529418</v>
          </cell>
          <cell r="Q849">
            <v>1</v>
          </cell>
          <cell r="R849">
            <v>3.8533455882352947</v>
          </cell>
        </row>
        <row r="850">
          <cell r="A850">
            <v>1431200</v>
          </cell>
          <cell r="C850" t="str">
            <v>BM</v>
          </cell>
          <cell r="D850" t="str">
            <v>PLUG,HEX HD,BRASS,1/4</v>
          </cell>
          <cell r="E850">
            <v>1</v>
          </cell>
          <cell r="F850">
            <v>2.38</v>
          </cell>
          <cell r="G850">
            <v>3.2130000000000001</v>
          </cell>
          <cell r="H850">
            <v>1.1499999999999999</v>
          </cell>
          <cell r="I850">
            <v>3.69495</v>
          </cell>
          <cell r="J850">
            <v>4.0090207499999995</v>
          </cell>
          <cell r="K850">
            <v>5.0112759374999989</v>
          </cell>
          <cell r="L850">
            <v>1</v>
          </cell>
          <cell r="M850">
            <v>5.2750273026315782</v>
          </cell>
          <cell r="N850">
            <v>5.5387786677631574</v>
          </cell>
          <cell r="O850">
            <v>6.20591447368421</v>
          </cell>
          <cell r="P850">
            <v>6.8265059210526315</v>
          </cell>
          <cell r="Q850">
            <v>3</v>
          </cell>
          <cell r="R850">
            <v>7.7573930921052625</v>
          </cell>
        </row>
        <row r="851">
          <cell r="A851">
            <v>8500726</v>
          </cell>
          <cell r="D851" t="str">
            <v>O-RING,0.239 X .070,BUNA-N</v>
          </cell>
          <cell r="F851">
            <v>2.09</v>
          </cell>
          <cell r="G851">
            <v>2.8214999999999999</v>
          </cell>
          <cell r="H851">
            <v>1.1499999999999999</v>
          </cell>
          <cell r="I851">
            <v>3.2447249999999994</v>
          </cell>
          <cell r="J851">
            <v>3.5205266249999991</v>
          </cell>
          <cell r="K851">
            <v>4.4006582812499984</v>
          </cell>
          <cell r="L851">
            <v>1</v>
          </cell>
          <cell r="M851">
            <v>4.6322718749999989</v>
          </cell>
          <cell r="N851">
            <v>4.8638854687499995</v>
          </cell>
          <cell r="O851">
            <v>5.4497316176470578</v>
          </cell>
          <cell r="P851">
            <v>5.9947047794117641</v>
          </cell>
          <cell r="Q851">
            <v>3</v>
          </cell>
          <cell r="R851">
            <v>6.8121645220588221</v>
          </cell>
        </row>
        <row r="852">
          <cell r="A852">
            <v>8501422</v>
          </cell>
          <cell r="D852" t="str">
            <v>CLAMP,HOSE,SS, #44,1.38-3.25</v>
          </cell>
          <cell r="F852">
            <v>2.09</v>
          </cell>
          <cell r="G852">
            <v>2.8214999999999999</v>
          </cell>
          <cell r="H852">
            <v>1</v>
          </cell>
          <cell r="I852">
            <v>2.8214999999999999</v>
          </cell>
          <cell r="J852">
            <v>2.8214999999999999</v>
          </cell>
          <cell r="K852">
            <v>3.5268749999999995</v>
          </cell>
          <cell r="L852">
            <v>1</v>
          </cell>
          <cell r="M852">
            <v>3.7124999999999995</v>
          </cell>
          <cell r="N852">
            <v>3.8981249999999994</v>
          </cell>
          <cell r="O852">
            <v>4.367647058823529</v>
          </cell>
          <cell r="P852">
            <v>4.8044117647058826</v>
          </cell>
          <cell r="Q852">
            <v>3</v>
          </cell>
          <cell r="R852">
            <v>5.4595588235294112</v>
          </cell>
        </row>
        <row r="853">
          <cell r="A853">
            <v>8507100</v>
          </cell>
          <cell r="C853" t="str">
            <v>BM</v>
          </cell>
          <cell r="D853" t="str">
            <v>CONN,PUSH,1/4 X 1/4 NPT</v>
          </cell>
          <cell r="E853">
            <v>1</v>
          </cell>
          <cell r="F853">
            <v>3.75</v>
          </cell>
          <cell r="G853">
            <v>5.0625</v>
          </cell>
          <cell r="H853">
            <v>1.1499999999999999</v>
          </cell>
          <cell r="I853">
            <v>5.8218749999999995</v>
          </cell>
          <cell r="J853">
            <v>6.3167343749999993</v>
          </cell>
          <cell r="K853">
            <v>7.8959179687499992</v>
          </cell>
          <cell r="L853">
            <v>3</v>
          </cell>
          <cell r="M853">
            <v>9.2893152573529409</v>
          </cell>
          <cell r="N853">
            <v>9.7537810202205879</v>
          </cell>
          <cell r="O853">
            <v>10.928606185121108</v>
          </cell>
          <cell r="P853">
            <v>12.021466803633221</v>
          </cell>
          <cell r="Q853">
            <v>3</v>
          </cell>
          <cell r="R853">
            <v>13.660757731401384</v>
          </cell>
        </row>
        <row r="854">
          <cell r="A854">
            <v>8507013</v>
          </cell>
          <cell r="C854" t="str">
            <v>BM</v>
          </cell>
          <cell r="D854" t="str">
            <v>CONN,PUSH,5/32 X 1/4 NPT</v>
          </cell>
          <cell r="E854">
            <v>1</v>
          </cell>
          <cell r="F854">
            <v>2.25</v>
          </cell>
          <cell r="G854">
            <v>3.0375000000000001</v>
          </cell>
          <cell r="H854">
            <v>1.1499999999999999</v>
          </cell>
          <cell r="I854">
            <v>3.493125</v>
          </cell>
          <cell r="J854">
            <v>3.7900406250000001</v>
          </cell>
          <cell r="K854">
            <v>4.7375507812499995</v>
          </cell>
          <cell r="L854">
            <v>2</v>
          </cell>
          <cell r="M854">
            <v>5.2639453124999998</v>
          </cell>
          <cell r="N854">
            <v>5.5271425781249999</v>
          </cell>
          <cell r="O854">
            <v>6.1928768382352937</v>
          </cell>
          <cell r="P854">
            <v>6.8121645220588238</v>
          </cell>
          <cell r="Q854">
            <v>3</v>
          </cell>
          <cell r="R854">
            <v>7.7410960477941169</v>
          </cell>
        </row>
        <row r="855">
          <cell r="A855">
            <v>1091008</v>
          </cell>
          <cell r="D855" t="str">
            <v>CSCR,HXH,SS,1/4-20 X 3/4</v>
          </cell>
          <cell r="F855">
            <v>2.1</v>
          </cell>
          <cell r="G855">
            <v>2.8350000000000004</v>
          </cell>
          <cell r="H855">
            <v>1</v>
          </cell>
          <cell r="I855">
            <v>2.8350000000000004</v>
          </cell>
          <cell r="J855">
            <v>2.8350000000000004</v>
          </cell>
          <cell r="K855">
            <v>3.5437500000000002</v>
          </cell>
          <cell r="L855">
            <v>1</v>
          </cell>
          <cell r="M855">
            <v>3.7302631578947372</v>
          </cell>
          <cell r="N855">
            <v>3.9167763157894742</v>
          </cell>
          <cell r="O855">
            <v>4.3885448916408674</v>
          </cell>
          <cell r="P855">
            <v>4.8273993808049545</v>
          </cell>
          <cell r="Q855">
            <v>3</v>
          </cell>
          <cell r="R855">
            <v>5.4856811145510838</v>
          </cell>
        </row>
        <row r="856">
          <cell r="A856">
            <v>1174029</v>
          </cell>
          <cell r="D856" t="str">
            <v>CSCR,HXH,5/16-18X1      ZP</v>
          </cell>
          <cell r="F856">
            <v>2.1</v>
          </cell>
          <cell r="G856">
            <v>2.8350000000000004</v>
          </cell>
          <cell r="H856">
            <v>1.1499999999999999</v>
          </cell>
          <cell r="I856">
            <v>3.2602500000000001</v>
          </cell>
          <cell r="J856">
            <v>3.5373712500000001</v>
          </cell>
          <cell r="K856">
            <v>4.4217140624999995</v>
          </cell>
          <cell r="L856">
            <v>1</v>
          </cell>
          <cell r="M856">
            <v>4.6544358552631575</v>
          </cell>
          <cell r="N856">
            <v>4.8871576480263155</v>
          </cell>
          <cell r="O856">
            <v>5.4758068885448914</v>
          </cell>
          <cell r="P856">
            <v>6.0233875773993812</v>
          </cell>
          <cell r="Q856">
            <v>3</v>
          </cell>
          <cell r="R856">
            <v>6.8447586106811142</v>
          </cell>
        </row>
        <row r="857">
          <cell r="A857">
            <v>1203352</v>
          </cell>
          <cell r="D857" t="str">
            <v>NUT,HEX,SS,1/4-20</v>
          </cell>
          <cell r="F857">
            <v>2.1</v>
          </cell>
          <cell r="G857">
            <v>2.8350000000000004</v>
          </cell>
          <cell r="H857">
            <v>1</v>
          </cell>
          <cell r="I857">
            <v>2.8350000000000004</v>
          </cell>
          <cell r="J857">
            <v>2.8350000000000004</v>
          </cell>
          <cell r="K857">
            <v>3.5437500000000002</v>
          </cell>
          <cell r="L857">
            <v>1</v>
          </cell>
          <cell r="M857">
            <v>3.7302631578947372</v>
          </cell>
          <cell r="N857">
            <v>3.9167763157894742</v>
          </cell>
          <cell r="O857">
            <v>4.3885448916408674</v>
          </cell>
          <cell r="P857">
            <v>4.8273993808049545</v>
          </cell>
          <cell r="Q857">
            <v>3</v>
          </cell>
          <cell r="R857">
            <v>5.4856811145510838</v>
          </cell>
        </row>
        <row r="858">
          <cell r="A858">
            <v>3556586</v>
          </cell>
          <cell r="C858" t="str">
            <v>BM</v>
          </cell>
          <cell r="D858" t="str">
            <v>CABLE, 6-COND,20GA</v>
          </cell>
          <cell r="E858">
            <v>1</v>
          </cell>
          <cell r="F858">
            <v>1.8</v>
          </cell>
          <cell r="G858">
            <v>2.4300000000000002</v>
          </cell>
          <cell r="H858">
            <v>1.1499999999999999</v>
          </cell>
          <cell r="I858">
            <v>2.7944999999999998</v>
          </cell>
          <cell r="J858">
            <v>3.0320324999999997</v>
          </cell>
          <cell r="K858">
            <v>3.7900406249999996</v>
          </cell>
          <cell r="L858">
            <v>1</v>
          </cell>
          <cell r="M858">
            <v>3.989516447368421</v>
          </cell>
          <cell r="N858">
            <v>4.1889922697368425</v>
          </cell>
          <cell r="O858">
            <v>4.6935487616099074</v>
          </cell>
          <cell r="P858">
            <v>5.1629036377708983</v>
          </cell>
          <cell r="Q858">
            <v>3</v>
          </cell>
          <cell r="R858">
            <v>5.8669359520123843</v>
          </cell>
        </row>
        <row r="859">
          <cell r="A859">
            <v>8507966</v>
          </cell>
          <cell r="C859" t="str">
            <v>BM</v>
          </cell>
          <cell r="D859" t="str">
            <v>Abrazadera(CLAMP,BAND,SS,3")</v>
          </cell>
          <cell r="E859">
            <v>1</v>
          </cell>
          <cell r="F859">
            <v>4.82</v>
          </cell>
          <cell r="G859">
            <v>6.5070000000000006</v>
          </cell>
          <cell r="H859">
            <v>1.1499999999999999</v>
          </cell>
          <cell r="I859">
            <v>7.4830500000000004</v>
          </cell>
          <cell r="J859">
            <v>8.1191092500000011</v>
          </cell>
          <cell r="K859">
            <v>10.148886562500001</v>
          </cell>
          <cell r="L859">
            <v>2</v>
          </cell>
          <cell r="M859">
            <v>11.276540625000001</v>
          </cell>
          <cell r="N859">
            <v>11.840367656250001</v>
          </cell>
          <cell r="O859">
            <v>13.266518382352942</v>
          </cell>
          <cell r="P859">
            <v>14.593170220588236</v>
          </cell>
          <cell r="Q859">
            <v>3</v>
          </cell>
          <cell r="R859">
            <v>16.583147977941177</v>
          </cell>
        </row>
        <row r="860">
          <cell r="A860">
            <v>3554451</v>
          </cell>
          <cell r="C860" t="str">
            <v>BM</v>
          </cell>
          <cell r="D860" t="str">
            <v>CONN,SWL,ELB,5/32 ODX 1/8 NPT</v>
          </cell>
          <cell r="E860">
            <v>1</v>
          </cell>
          <cell r="F860">
            <v>3.32</v>
          </cell>
          <cell r="G860">
            <v>4.4820000000000002</v>
          </cell>
          <cell r="H860">
            <v>1.1499999999999999</v>
          </cell>
          <cell r="I860">
            <v>5.1543000000000001</v>
          </cell>
          <cell r="J860">
            <v>5.5924154999999995</v>
          </cell>
          <cell r="K860">
            <v>6.990519374999999</v>
          </cell>
          <cell r="L860">
            <v>2</v>
          </cell>
          <cell r="M860">
            <v>7.7672437499999987</v>
          </cell>
          <cell r="N860">
            <v>8.155605937499999</v>
          </cell>
          <cell r="O860">
            <v>9.1379338235294103</v>
          </cell>
          <cell r="P860">
            <v>10.051727205882353</v>
          </cell>
          <cell r="Q860">
            <v>3</v>
          </cell>
          <cell r="R860">
            <v>11.422417279411762</v>
          </cell>
        </row>
        <row r="861">
          <cell r="A861">
            <v>8515506</v>
          </cell>
          <cell r="C861" t="str">
            <v>BM</v>
          </cell>
          <cell r="D861" t="str">
            <v>Valvula flap Electrobomba (VALVE,FLAPPER,RBR,1.5")</v>
          </cell>
          <cell r="E861">
            <v>1</v>
          </cell>
          <cell r="F861">
            <v>1.66</v>
          </cell>
          <cell r="G861">
            <v>2.2410000000000001</v>
          </cell>
          <cell r="H861">
            <v>1.1499999999999999</v>
          </cell>
          <cell r="I861">
            <v>2.5771500000000001</v>
          </cell>
          <cell r="J861">
            <v>2.7962077499999998</v>
          </cell>
          <cell r="K861">
            <v>3.4952596874999995</v>
          </cell>
          <cell r="L861">
            <v>1</v>
          </cell>
          <cell r="M861">
            <v>3.6792207236842103</v>
          </cell>
          <cell r="N861">
            <v>3.8631817598684211</v>
          </cell>
          <cell r="O861">
            <v>4.3284949690402472</v>
          </cell>
          <cell r="P861">
            <v>4.7613444659442727</v>
          </cell>
          <cell r="Q861">
            <v>3</v>
          </cell>
          <cell r="R861">
            <v>5.4106187113003088</v>
          </cell>
        </row>
        <row r="862">
          <cell r="A862">
            <v>8590279</v>
          </cell>
          <cell r="C862" t="str">
            <v>BM</v>
          </cell>
          <cell r="D862" t="str">
            <v>CONN,PUSH,PLUG-IN Y,5/32</v>
          </cell>
          <cell r="E862">
            <v>1</v>
          </cell>
          <cell r="F862">
            <v>3.48</v>
          </cell>
          <cell r="G862">
            <v>4.6980000000000004</v>
          </cell>
          <cell r="H862">
            <v>1.1499999999999999</v>
          </cell>
          <cell r="I862">
            <v>5.4027000000000003</v>
          </cell>
          <cell r="J862">
            <v>5.8619295000000005</v>
          </cell>
          <cell r="K862">
            <v>7.3274118750000001</v>
          </cell>
          <cell r="L862">
            <v>2</v>
          </cell>
          <cell r="M862">
            <v>8.1415687499999994</v>
          </cell>
          <cell r="N862">
            <v>8.5486471875000003</v>
          </cell>
          <cell r="O862">
            <v>9.5783161764705884</v>
          </cell>
          <cell r="P862">
            <v>10.536147794117648</v>
          </cell>
          <cell r="Q862">
            <v>3</v>
          </cell>
          <cell r="R862">
            <v>11.972895220588235</v>
          </cell>
        </row>
        <row r="863">
          <cell r="A863">
            <v>8507932</v>
          </cell>
          <cell r="C863" t="str">
            <v>BM</v>
          </cell>
          <cell r="D863" t="str">
            <v>Abrazadera(CLAMP,BAND,SS,1-1/2)</v>
          </cell>
          <cell r="E863">
            <v>1</v>
          </cell>
          <cell r="F863">
            <v>3.48</v>
          </cell>
          <cell r="G863">
            <v>4.6980000000000004</v>
          </cell>
          <cell r="H863">
            <v>1.1499999999999999</v>
          </cell>
          <cell r="I863">
            <v>5.4027000000000003</v>
          </cell>
          <cell r="J863">
            <v>5.8619295000000005</v>
          </cell>
          <cell r="K863">
            <v>7.3274118750000001</v>
          </cell>
          <cell r="L863">
            <v>2</v>
          </cell>
          <cell r="M863">
            <v>8.1415687499999994</v>
          </cell>
          <cell r="N863">
            <v>8.5486471875000003</v>
          </cell>
          <cell r="O863">
            <v>9.5783161764705884</v>
          </cell>
          <cell r="P863">
            <v>10.536147794117648</v>
          </cell>
          <cell r="Q863">
            <v>3</v>
          </cell>
          <cell r="R863">
            <v>11.972895220588235</v>
          </cell>
        </row>
        <row r="864">
          <cell r="A864">
            <v>8583502</v>
          </cell>
          <cell r="D864" t="str">
            <v>FILTER,FOAM,WITH SOLID CAP</v>
          </cell>
          <cell r="F864">
            <v>6.51</v>
          </cell>
          <cell r="G864">
            <v>8.7885000000000009</v>
          </cell>
          <cell r="H864">
            <v>1.1499999999999999</v>
          </cell>
          <cell r="I864">
            <v>10.106775000000001</v>
          </cell>
          <cell r="J864">
            <v>10.965850875000001</v>
          </cell>
          <cell r="K864">
            <v>13.707313593750001</v>
          </cell>
          <cell r="L864">
            <v>2</v>
          </cell>
          <cell r="M864">
            <v>15.230348437500002</v>
          </cell>
          <cell r="N864">
            <v>15.991865859375002</v>
          </cell>
          <cell r="O864">
            <v>17.918056985294122</v>
          </cell>
          <cell r="P864">
            <v>19.709862683823534</v>
          </cell>
          <cell r="Q864">
            <v>3</v>
          </cell>
          <cell r="R864">
            <v>22.397571231617651</v>
          </cell>
        </row>
        <row r="865">
          <cell r="A865">
            <v>8500433</v>
          </cell>
          <cell r="C865" t="str">
            <v>BM</v>
          </cell>
          <cell r="D865" t="str">
            <v>Abrazadera(CLAMP,BAND,SS,2-1/2)</v>
          </cell>
          <cell r="E865">
            <v>1</v>
          </cell>
          <cell r="F865">
            <v>4.24</v>
          </cell>
          <cell r="G865">
            <v>5.7240000000000011</v>
          </cell>
          <cell r="H865">
            <v>1.1499999999999999</v>
          </cell>
          <cell r="I865">
            <v>6.5826000000000011</v>
          </cell>
          <cell r="J865">
            <v>7.1421210000000013</v>
          </cell>
          <cell r="K865">
            <v>8.9276512500000003</v>
          </cell>
          <cell r="L865">
            <v>2</v>
          </cell>
          <cell r="M865">
            <v>9.9196124999999995</v>
          </cell>
          <cell r="N865">
            <v>10.415593124999999</v>
          </cell>
          <cell r="O865">
            <v>11.670132352941176</v>
          </cell>
          <cell r="P865">
            <v>12.837145588235295</v>
          </cell>
          <cell r="Q865">
            <v>3</v>
          </cell>
          <cell r="R865">
            <v>14.587665441176469</v>
          </cell>
        </row>
        <row r="866">
          <cell r="A866">
            <v>8510202</v>
          </cell>
          <cell r="D866" t="str">
            <v>CLAMP,SS,VALVE ASSY,1.5X3</v>
          </cell>
          <cell r="F866">
            <v>7.73</v>
          </cell>
          <cell r="G866">
            <v>10.435500000000001</v>
          </cell>
          <cell r="H866">
            <v>1.1499999999999999</v>
          </cell>
          <cell r="I866">
            <v>12.000825000000001</v>
          </cell>
          <cell r="J866">
            <v>13.020895125000001</v>
          </cell>
          <cell r="K866">
            <v>16.276118906250002</v>
          </cell>
          <cell r="L866">
            <v>2</v>
          </cell>
          <cell r="M866">
            <v>18.084576562500001</v>
          </cell>
          <cell r="N866">
            <v>18.988805390625</v>
          </cell>
          <cell r="O866">
            <v>21.275972426470588</v>
          </cell>
          <cell r="P866">
            <v>23.403569669117648</v>
          </cell>
          <cell r="Q866">
            <v>3</v>
          </cell>
          <cell r="R866">
            <v>26.594965533088235</v>
          </cell>
        </row>
        <row r="867">
          <cell r="A867">
            <v>4026126</v>
          </cell>
          <cell r="C867" t="str">
            <v>BM</v>
          </cell>
          <cell r="D867" t="str">
            <v>GASKET,N 1,51MM,FRAME</v>
          </cell>
          <cell r="E867">
            <v>4</v>
          </cell>
          <cell r="F867">
            <v>6.52</v>
          </cell>
          <cell r="G867">
            <v>8.8019999999999996</v>
          </cell>
          <cell r="H867">
            <v>1.1499999999999999</v>
          </cell>
          <cell r="I867">
            <v>10.122299999999999</v>
          </cell>
          <cell r="J867">
            <v>10.982695499999998</v>
          </cell>
          <cell r="K867">
            <v>13.728369374999998</v>
          </cell>
          <cell r="L867">
            <v>1</v>
          </cell>
          <cell r="M867">
            <v>14.450915131578945</v>
          </cell>
          <cell r="N867">
            <v>15.173460888157893</v>
          </cell>
          <cell r="O867">
            <v>17.001076625386993</v>
          </cell>
          <cell r="P867">
            <v>18.701184287925695</v>
          </cell>
          <cell r="Q867">
            <v>3</v>
          </cell>
          <cell r="R867">
            <v>21.25134578173374</v>
          </cell>
        </row>
        <row r="868">
          <cell r="A868">
            <v>8507090</v>
          </cell>
          <cell r="C868" t="str">
            <v>BM</v>
          </cell>
          <cell r="D868" t="str">
            <v>CONN,PUSH,TEE,5/32</v>
          </cell>
          <cell r="E868">
            <v>1</v>
          </cell>
          <cell r="F868">
            <v>4.55</v>
          </cell>
          <cell r="G868">
            <v>6.1425000000000001</v>
          </cell>
          <cell r="H868">
            <v>1.1499999999999999</v>
          </cell>
          <cell r="I868">
            <v>7.0638749999999995</v>
          </cell>
          <cell r="J868">
            <v>7.6643043749999995</v>
          </cell>
          <cell r="K868">
            <v>9.5803804687499987</v>
          </cell>
          <cell r="L868">
            <v>3</v>
          </cell>
          <cell r="M868">
            <v>11.271035845588234</v>
          </cell>
          <cell r="N868">
            <v>11.834587637867646</v>
          </cell>
          <cell r="O868">
            <v>13.260042171280276</v>
          </cell>
          <cell r="P868">
            <v>14.586046388408304</v>
          </cell>
          <cell r="Q868">
            <v>3</v>
          </cell>
          <cell r="R868">
            <v>16.575052714100345</v>
          </cell>
        </row>
        <row r="869">
          <cell r="A869">
            <v>8507225</v>
          </cell>
          <cell r="C869" t="str">
            <v>BM</v>
          </cell>
          <cell r="D869" t="str">
            <v>CONN,PUSH,TEE,1/4 X 1/4</v>
          </cell>
          <cell r="E869">
            <v>1</v>
          </cell>
          <cell r="F869">
            <v>4.55</v>
          </cell>
          <cell r="G869">
            <v>6.1425000000000001</v>
          </cell>
          <cell r="H869">
            <v>1.1499999999999999</v>
          </cell>
          <cell r="I869">
            <v>7.0638749999999995</v>
          </cell>
          <cell r="J869">
            <v>7.6643043749999995</v>
          </cell>
          <cell r="K869">
            <v>9.5803804687499987</v>
          </cell>
          <cell r="L869">
            <v>3</v>
          </cell>
          <cell r="M869">
            <v>11.271035845588234</v>
          </cell>
          <cell r="N869">
            <v>11.834587637867646</v>
          </cell>
          <cell r="O869">
            <v>13.260042171280276</v>
          </cell>
          <cell r="P869">
            <v>14.586046388408304</v>
          </cell>
          <cell r="Q869">
            <v>3</v>
          </cell>
          <cell r="R869">
            <v>16.575052714100345</v>
          </cell>
        </row>
        <row r="870">
          <cell r="A870">
            <v>8507022</v>
          </cell>
          <cell r="C870" t="str">
            <v>BM</v>
          </cell>
          <cell r="D870" t="str">
            <v>CONN,SWL,ELB,1/4 OD X 1/4 NPT</v>
          </cell>
          <cell r="E870">
            <v>1</v>
          </cell>
          <cell r="F870">
            <v>4.55</v>
          </cell>
          <cell r="G870">
            <v>6.1425000000000001</v>
          </cell>
          <cell r="H870">
            <v>1.1499999999999999</v>
          </cell>
          <cell r="I870">
            <v>7.0638749999999995</v>
          </cell>
          <cell r="J870">
            <v>7.6643043749999995</v>
          </cell>
          <cell r="K870">
            <v>9.5803804687499987</v>
          </cell>
          <cell r="L870">
            <v>3</v>
          </cell>
          <cell r="M870">
            <v>11.271035845588234</v>
          </cell>
          <cell r="N870">
            <v>11.834587637867646</v>
          </cell>
          <cell r="O870">
            <v>13.260042171280276</v>
          </cell>
          <cell r="P870">
            <v>14.586046388408304</v>
          </cell>
          <cell r="Q870">
            <v>3</v>
          </cell>
          <cell r="R870">
            <v>16.575052714100345</v>
          </cell>
        </row>
        <row r="871">
          <cell r="A871">
            <v>8518935</v>
          </cell>
          <cell r="C871" t="str">
            <v>BM</v>
          </cell>
          <cell r="D871" t="str">
            <v>PROTECTOR,NIPPLE</v>
          </cell>
          <cell r="E871">
            <v>1</v>
          </cell>
          <cell r="F871">
            <v>4.55</v>
          </cell>
          <cell r="G871">
            <v>6.1425000000000001</v>
          </cell>
          <cell r="H871">
            <v>1.1499999999999999</v>
          </cell>
          <cell r="I871">
            <v>7.0638749999999995</v>
          </cell>
          <cell r="J871">
            <v>7.6643043749999995</v>
          </cell>
          <cell r="K871">
            <v>9.5803804687499987</v>
          </cell>
          <cell r="L871">
            <v>2</v>
          </cell>
          <cell r="M871">
            <v>10.644867187499999</v>
          </cell>
          <cell r="N871">
            <v>11.177110546874999</v>
          </cell>
          <cell r="O871">
            <v>12.523373161764706</v>
          </cell>
          <cell r="P871">
            <v>13.775710477941178</v>
          </cell>
          <cell r="Q871">
            <v>3</v>
          </cell>
          <cell r="R871">
            <v>15.654216452205882</v>
          </cell>
        </row>
        <row r="872">
          <cell r="A872">
            <v>8514033</v>
          </cell>
          <cell r="D872" t="str">
            <v>CLAMP,HOSE,SS, #36,1.80-2.75</v>
          </cell>
          <cell r="F872">
            <v>4.25</v>
          </cell>
          <cell r="G872">
            <v>5.7375000000000007</v>
          </cell>
          <cell r="H872">
            <v>1</v>
          </cell>
          <cell r="I872">
            <v>5.7375000000000007</v>
          </cell>
          <cell r="J872">
            <v>5.7375000000000007</v>
          </cell>
          <cell r="K872">
            <v>7.1718750000000009</v>
          </cell>
          <cell r="L872">
            <v>1</v>
          </cell>
          <cell r="M872">
            <v>7.5493421052631593</v>
          </cell>
          <cell r="N872">
            <v>7.9268092105263177</v>
          </cell>
          <cell r="O872">
            <v>8.881578947368423</v>
          </cell>
          <cell r="P872">
            <v>9.7697368421052655</v>
          </cell>
          <cell r="Q872">
            <v>3</v>
          </cell>
          <cell r="R872">
            <v>11.101973684210527</v>
          </cell>
        </row>
        <row r="873">
          <cell r="A873">
            <v>3556266</v>
          </cell>
          <cell r="D873" t="str">
            <v>PLUG,SAMPLER</v>
          </cell>
          <cell r="F873">
            <v>13.83</v>
          </cell>
          <cell r="G873">
            <v>18.670500000000001</v>
          </cell>
          <cell r="H873">
            <v>1.1499999999999999</v>
          </cell>
          <cell r="I873">
            <v>21.471074999999999</v>
          </cell>
          <cell r="J873">
            <v>23.296116374999997</v>
          </cell>
          <cell r="K873">
            <v>29.120145468749996</v>
          </cell>
          <cell r="L873">
            <v>1</v>
          </cell>
          <cell r="M873">
            <v>30.652784703947365</v>
          </cell>
          <cell r="N873">
            <v>32.185423939144734</v>
          </cell>
          <cell r="O873">
            <v>36.062099651702781</v>
          </cell>
          <cell r="P873">
            <v>39.66830961687306</v>
          </cell>
          <cell r="Q873">
            <v>3</v>
          </cell>
          <cell r="R873">
            <v>45.077624564628472</v>
          </cell>
        </row>
        <row r="874">
          <cell r="A874">
            <v>3554159</v>
          </cell>
          <cell r="C874" t="str">
            <v>BM</v>
          </cell>
          <cell r="D874" t="str">
            <v>CONN,PUSH,5/32 ODX 1/8 NPT</v>
          </cell>
          <cell r="E874">
            <v>1</v>
          </cell>
          <cell r="F874">
            <v>2.2799999999999998</v>
          </cell>
          <cell r="G874">
            <v>3.0779999999999998</v>
          </cell>
          <cell r="H874">
            <v>1.1499999999999999</v>
          </cell>
          <cell r="I874">
            <v>3.5396999999999994</v>
          </cell>
          <cell r="J874">
            <v>3.8405744999999993</v>
          </cell>
          <cell r="K874">
            <v>4.8007181249999986</v>
          </cell>
          <cell r="L874">
            <v>1</v>
          </cell>
          <cell r="M874">
            <v>5.0533874999999986</v>
          </cell>
          <cell r="N874">
            <v>5.3060568749999986</v>
          </cell>
          <cell r="O874">
            <v>5.9451617647058805</v>
          </cell>
          <cell r="P874">
            <v>6.5396779411764694</v>
          </cell>
          <cell r="Q874">
            <v>3</v>
          </cell>
          <cell r="R874">
            <v>7.4314522058823504</v>
          </cell>
        </row>
        <row r="875">
          <cell r="A875">
            <v>8508612</v>
          </cell>
          <cell r="D875" t="str">
            <v>FILTER,MAIN,MARK II</v>
          </cell>
          <cell r="F875">
            <v>13.38</v>
          </cell>
          <cell r="G875">
            <v>18.063000000000002</v>
          </cell>
          <cell r="H875">
            <v>1.1499999999999999</v>
          </cell>
          <cell r="I875">
            <v>20.772450000000003</v>
          </cell>
          <cell r="J875">
            <v>22.538108250000001</v>
          </cell>
          <cell r="K875">
            <v>28.172635312499999</v>
          </cell>
          <cell r="L875">
            <v>2</v>
          </cell>
          <cell r="M875">
            <v>31.302928124999998</v>
          </cell>
          <cell r="N875">
            <v>32.868074531250002</v>
          </cell>
          <cell r="O875">
            <v>36.826974264705882</v>
          </cell>
          <cell r="P875">
            <v>40.509671691176472</v>
          </cell>
          <cell r="Q875">
            <v>3</v>
          </cell>
          <cell r="R875">
            <v>46.033717830882352</v>
          </cell>
        </row>
        <row r="876">
          <cell r="A876">
            <v>8506669</v>
          </cell>
          <cell r="D876" t="str">
            <v>HANDLE,VALVE</v>
          </cell>
          <cell r="F876">
            <v>9.43</v>
          </cell>
          <cell r="G876">
            <v>12.730500000000001</v>
          </cell>
          <cell r="H876">
            <v>1.1499999999999999</v>
          </cell>
          <cell r="I876">
            <v>14.640075</v>
          </cell>
          <cell r="J876">
            <v>15.884481374999998</v>
          </cell>
          <cell r="K876">
            <v>19.855601718749998</v>
          </cell>
          <cell r="L876">
            <v>1</v>
          </cell>
          <cell r="M876">
            <v>20.900633388157893</v>
          </cell>
          <cell r="N876">
            <v>21.945665057565787</v>
          </cell>
          <cell r="O876">
            <v>24.588980456656344</v>
          </cell>
          <cell r="P876">
            <v>27.047878502321982</v>
          </cell>
          <cell r="Q876">
            <v>3</v>
          </cell>
          <cell r="R876">
            <v>30.73622557082043</v>
          </cell>
        </row>
        <row r="877">
          <cell r="A877">
            <v>8506920</v>
          </cell>
          <cell r="D877" t="str">
            <v>SLEEVE,VALVE,CLAW</v>
          </cell>
          <cell r="F877">
            <v>5.78</v>
          </cell>
          <cell r="G877">
            <v>7.8030000000000008</v>
          </cell>
          <cell r="H877">
            <v>1.1499999999999999</v>
          </cell>
          <cell r="I877">
            <v>8.9734499999999997</v>
          </cell>
          <cell r="J877">
            <v>9.7361932499999995</v>
          </cell>
          <cell r="K877">
            <v>12.170241562499999</v>
          </cell>
          <cell r="L877">
            <v>1</v>
          </cell>
          <cell r="M877">
            <v>12.810780592105264</v>
          </cell>
          <cell r="N877">
            <v>13.451319621710528</v>
          </cell>
          <cell r="O877">
            <v>15.071506578947369</v>
          </cell>
          <cell r="P877">
            <v>16.578657236842108</v>
          </cell>
          <cell r="Q877">
            <v>3</v>
          </cell>
          <cell r="R877">
            <v>18.839383223684212</v>
          </cell>
        </row>
        <row r="878">
          <cell r="A878" t="str">
            <v>D385596</v>
          </cell>
          <cell r="D878" t="str">
            <v>PULLEY HOUSING ISOLOATOR3</v>
          </cell>
          <cell r="F878">
            <v>4.26</v>
          </cell>
          <cell r="G878">
            <v>5.7510000000000003</v>
          </cell>
          <cell r="H878">
            <v>1.1499999999999999</v>
          </cell>
          <cell r="I878">
            <v>6.6136499999999998</v>
          </cell>
          <cell r="J878">
            <v>7.1758102499999996</v>
          </cell>
          <cell r="K878">
            <v>8.9697628124999991</v>
          </cell>
          <cell r="L878">
            <v>2</v>
          </cell>
          <cell r="M878">
            <v>9.9664031249999994</v>
          </cell>
          <cell r="N878">
            <v>10.46472328125</v>
          </cell>
          <cell r="O878">
            <v>11.725180147058824</v>
          </cell>
          <cell r="P878">
            <v>12.897698161764707</v>
          </cell>
          <cell r="Q878">
            <v>3</v>
          </cell>
          <cell r="R878">
            <v>14.656475183823529</v>
          </cell>
        </row>
        <row r="879">
          <cell r="A879">
            <v>8584808</v>
          </cell>
          <cell r="C879" t="str">
            <v>bm</v>
          </cell>
          <cell r="D879" t="str">
            <v>Kit Reparacion Pulsador HiFlo Evolutions (NUEVO)</v>
          </cell>
          <cell r="E879">
            <v>1</v>
          </cell>
          <cell r="F879">
            <v>23.28</v>
          </cell>
          <cell r="G879">
            <v>31.428000000000004</v>
          </cell>
          <cell r="H879">
            <v>1.1499999999999999</v>
          </cell>
          <cell r="I879">
            <v>36.142200000000003</v>
          </cell>
          <cell r="J879">
            <v>39.214286999999999</v>
          </cell>
          <cell r="K879">
            <v>49.017858749999995</v>
          </cell>
          <cell r="L879">
            <v>1</v>
          </cell>
          <cell r="M879">
            <v>51.597746052631578</v>
          </cell>
          <cell r="N879">
            <v>54.177633355263161</v>
          </cell>
          <cell r="O879">
            <v>60.703230650154801</v>
          </cell>
          <cell r="P879">
            <v>66.77355371517028</v>
          </cell>
          <cell r="Q879">
            <v>3</v>
          </cell>
          <cell r="R879">
            <v>75.879038312693496</v>
          </cell>
        </row>
        <row r="880">
          <cell r="A880">
            <v>8511740</v>
          </cell>
          <cell r="C880" t="str">
            <v>BM</v>
          </cell>
          <cell r="D880" t="str">
            <v>Filtro (FILTER,AIR, 6,50 DIA X 3,00)injector</v>
          </cell>
          <cell r="E880">
            <v>1</v>
          </cell>
          <cell r="F880">
            <v>16.59</v>
          </cell>
          <cell r="G880">
            <v>22.3965</v>
          </cell>
          <cell r="H880">
            <v>1.1499999999999999</v>
          </cell>
          <cell r="I880">
            <v>25.755974999999996</v>
          </cell>
          <cell r="J880">
            <v>27.945232874999995</v>
          </cell>
          <cell r="K880">
            <v>34.931541093749992</v>
          </cell>
          <cell r="L880">
            <v>2</v>
          </cell>
          <cell r="M880">
            <v>38.812823437499993</v>
          </cell>
          <cell r="N880">
            <v>40.753464609374994</v>
          </cell>
          <cell r="O880">
            <v>45.662145220588229</v>
          </cell>
          <cell r="P880">
            <v>50.228359742647058</v>
          </cell>
          <cell r="Q880">
            <v>3</v>
          </cell>
          <cell r="R880">
            <v>57.077681525735287</v>
          </cell>
        </row>
        <row r="881">
          <cell r="A881">
            <v>8506854</v>
          </cell>
          <cell r="D881" t="str">
            <v>HANGER,FLO-STAR</v>
          </cell>
          <cell r="E881">
            <v>1</v>
          </cell>
          <cell r="F881">
            <v>8.98</v>
          </cell>
          <cell r="G881">
            <v>12.123000000000001</v>
          </cell>
          <cell r="H881">
            <v>1.1499999999999999</v>
          </cell>
          <cell r="I881">
            <v>13.94145</v>
          </cell>
          <cell r="J881">
            <v>15.126473249999998</v>
          </cell>
          <cell r="K881">
            <v>18.908091562499997</v>
          </cell>
          <cell r="L881">
            <v>1</v>
          </cell>
          <cell r="M881">
            <v>19.903254276315788</v>
          </cell>
          <cell r="N881">
            <v>20.898416990131579</v>
          </cell>
          <cell r="O881">
            <v>23.415593266253868</v>
          </cell>
          <cell r="P881">
            <v>25.757152592879258</v>
          </cell>
          <cell r="Q881">
            <v>3</v>
          </cell>
          <cell r="R881">
            <v>29.269491582817334</v>
          </cell>
        </row>
        <row r="882">
          <cell r="A882">
            <v>8511978</v>
          </cell>
          <cell r="D882" t="str">
            <v>1,5*</v>
          </cell>
          <cell r="F882">
            <v>9.59</v>
          </cell>
          <cell r="G882">
            <v>12.9465</v>
          </cell>
          <cell r="H882">
            <v>1.1499999999999999</v>
          </cell>
          <cell r="I882">
            <v>14.888475</v>
          </cell>
          <cell r="J882">
            <v>16.153995374999997</v>
          </cell>
          <cell r="K882">
            <v>20.192494218749996</v>
          </cell>
          <cell r="L882">
            <v>1</v>
          </cell>
          <cell r="M882">
            <v>21.255257072368419</v>
          </cell>
          <cell r="N882">
            <v>22.318019925986842</v>
          </cell>
          <cell r="O882">
            <v>25.006184791021671</v>
          </cell>
          <cell r="P882">
            <v>27.506803270123839</v>
          </cell>
          <cell r="Q882">
            <v>3</v>
          </cell>
          <cell r="R882">
            <v>31.257730988777087</v>
          </cell>
        </row>
        <row r="883">
          <cell r="A883">
            <v>3554115</v>
          </cell>
          <cell r="C883" t="str">
            <v>BM</v>
          </cell>
          <cell r="D883" t="str">
            <v>HOSE,NYL,NAT,5/32 ODX100FT</v>
          </cell>
          <cell r="E883">
            <v>1</v>
          </cell>
          <cell r="F883">
            <v>28.17</v>
          </cell>
          <cell r="G883">
            <v>38.029500000000006</v>
          </cell>
          <cell r="H883">
            <v>1.1499999999999999</v>
          </cell>
          <cell r="I883">
            <v>43.733925000000006</v>
          </cell>
          <cell r="J883">
            <v>47.451308625000003</v>
          </cell>
          <cell r="K883">
            <v>59.314135781250002</v>
          </cell>
          <cell r="L883">
            <v>1</v>
          </cell>
          <cell r="M883">
            <v>62.435932401315796</v>
          </cell>
          <cell r="N883">
            <v>65.55772902138159</v>
          </cell>
          <cell r="O883">
            <v>73.454038119195062</v>
          </cell>
          <cell r="P883">
            <v>80.799441931114572</v>
          </cell>
          <cell r="Q883">
            <v>3</v>
          </cell>
          <cell r="R883">
            <v>91.817547648993823</v>
          </cell>
        </row>
        <row r="884">
          <cell r="A884">
            <v>3554439</v>
          </cell>
          <cell r="C884" t="str">
            <v>BM</v>
          </cell>
          <cell r="D884" t="str">
            <v>HOSE,NYL,BLK,5/32 ODX100FT</v>
          </cell>
          <cell r="E884">
            <v>1</v>
          </cell>
          <cell r="F884">
            <v>28.17</v>
          </cell>
          <cell r="G884">
            <v>38.029500000000006</v>
          </cell>
          <cell r="H884">
            <v>1.1499999999999999</v>
          </cell>
          <cell r="I884">
            <v>43.733925000000006</v>
          </cell>
          <cell r="J884">
            <v>47.451308625000003</v>
          </cell>
          <cell r="K884">
            <v>59.314135781250002</v>
          </cell>
          <cell r="L884">
            <v>1</v>
          </cell>
          <cell r="M884">
            <v>62.435932401315796</v>
          </cell>
          <cell r="N884">
            <v>65.55772902138159</v>
          </cell>
          <cell r="O884">
            <v>73.454038119195062</v>
          </cell>
          <cell r="P884">
            <v>80.799441931114572</v>
          </cell>
          <cell r="Q884">
            <v>3</v>
          </cell>
          <cell r="R884">
            <v>91.817547648993823</v>
          </cell>
        </row>
        <row r="885">
          <cell r="A885">
            <v>3554440</v>
          </cell>
          <cell r="C885" t="str">
            <v>BM</v>
          </cell>
          <cell r="D885" t="str">
            <v>HOSE,NYL,GRN,5/32 ODX100FT</v>
          </cell>
          <cell r="E885">
            <v>1</v>
          </cell>
          <cell r="F885">
            <v>28.17</v>
          </cell>
          <cell r="G885">
            <v>38.029500000000006</v>
          </cell>
          <cell r="H885">
            <v>1.1499999999999999</v>
          </cell>
          <cell r="I885">
            <v>43.733925000000006</v>
          </cell>
          <cell r="J885">
            <v>47.451308625000003</v>
          </cell>
          <cell r="K885">
            <v>59.314135781250002</v>
          </cell>
          <cell r="L885">
            <v>1</v>
          </cell>
          <cell r="M885">
            <v>62.435932401315796</v>
          </cell>
          <cell r="N885">
            <v>65.55772902138159</v>
          </cell>
          <cell r="O885">
            <v>73.454038119195062</v>
          </cell>
          <cell r="P885">
            <v>80.799441931114572</v>
          </cell>
          <cell r="Q885">
            <v>3</v>
          </cell>
          <cell r="R885">
            <v>91.817547648993823</v>
          </cell>
        </row>
        <row r="886">
          <cell r="A886">
            <v>3556247</v>
          </cell>
          <cell r="C886" t="str">
            <v>BM</v>
          </cell>
          <cell r="D886" t="str">
            <v>HOSE,NYL,BLU,5/32 ODX100FT</v>
          </cell>
          <cell r="E886">
            <v>1</v>
          </cell>
          <cell r="F886">
            <v>28.17</v>
          </cell>
          <cell r="G886">
            <v>38.029500000000006</v>
          </cell>
          <cell r="H886">
            <v>1.1499999999999999</v>
          </cell>
          <cell r="I886">
            <v>43.733925000000006</v>
          </cell>
          <cell r="J886">
            <v>47.451308625000003</v>
          </cell>
          <cell r="K886">
            <v>59.314135781250002</v>
          </cell>
          <cell r="L886">
            <v>1</v>
          </cell>
          <cell r="M886">
            <v>62.435932401315796</v>
          </cell>
          <cell r="N886">
            <v>65.55772902138159</v>
          </cell>
          <cell r="O886">
            <v>73.454038119195062</v>
          </cell>
          <cell r="P886">
            <v>80.799441931114572</v>
          </cell>
          <cell r="Q886">
            <v>3</v>
          </cell>
          <cell r="R886">
            <v>91.817547648993823</v>
          </cell>
        </row>
        <row r="887">
          <cell r="A887">
            <v>8500939</v>
          </cell>
          <cell r="C887" t="str">
            <v>BM</v>
          </cell>
          <cell r="D887" t="str">
            <v>Peso para casquillo(WEIGHT,SHELL,1.62 X 2.00)</v>
          </cell>
          <cell r="E887">
            <v>1</v>
          </cell>
          <cell r="F887">
            <v>18.73</v>
          </cell>
          <cell r="G887">
            <v>25.285500000000003</v>
          </cell>
          <cell r="H887">
            <v>1.1499999999999999</v>
          </cell>
          <cell r="I887">
            <v>29.078325</v>
          </cell>
          <cell r="J887">
            <v>31.549982624999998</v>
          </cell>
          <cell r="K887">
            <v>39.437478281249994</v>
          </cell>
          <cell r="L887">
            <v>2</v>
          </cell>
          <cell r="M887">
            <v>43.819420312499993</v>
          </cell>
          <cell r="N887">
            <v>46.010391328124996</v>
          </cell>
          <cell r="O887">
            <v>51.552259191176461</v>
          </cell>
          <cell r="P887">
            <v>56.707485110294108</v>
          </cell>
          <cell r="Q887">
            <v>3</v>
          </cell>
          <cell r="R887">
            <v>64.440323988970576</v>
          </cell>
        </row>
        <row r="888">
          <cell r="A888">
            <v>8503858</v>
          </cell>
          <cell r="C888" t="str">
            <v>BM</v>
          </cell>
          <cell r="D888" t="str">
            <v>SWITCH,REED</v>
          </cell>
          <cell r="E888">
            <v>1</v>
          </cell>
          <cell r="F888">
            <v>25.74</v>
          </cell>
          <cell r="G888">
            <v>34.749000000000002</v>
          </cell>
          <cell r="H888">
            <v>1.1499999999999999</v>
          </cell>
          <cell r="I888">
            <v>39.961350000000003</v>
          </cell>
          <cell r="J888">
            <v>43.358064750000004</v>
          </cell>
          <cell r="K888">
            <v>54.1975809375</v>
          </cell>
          <cell r="L888">
            <v>1</v>
          </cell>
          <cell r="M888">
            <v>57.050085197368425</v>
          </cell>
          <cell r="N888">
            <v>59.90258945723685</v>
          </cell>
          <cell r="O888">
            <v>67.117747291021672</v>
          </cell>
          <cell r="P888">
            <v>73.829522020123846</v>
          </cell>
          <cell r="Q888">
            <v>3</v>
          </cell>
          <cell r="R888">
            <v>83.897184113777087</v>
          </cell>
        </row>
        <row r="889">
          <cell r="A889">
            <v>8512000</v>
          </cell>
          <cell r="C889" t="str">
            <v>BM</v>
          </cell>
          <cell r="D889" t="str">
            <v>TUBE,RD, 1.50X.049,304,DAIRY</v>
          </cell>
          <cell r="E889">
            <v>20</v>
          </cell>
          <cell r="F889">
            <v>10.97</v>
          </cell>
          <cell r="G889">
            <v>14.809500000000002</v>
          </cell>
          <cell r="H889">
            <v>1.1499999999999999</v>
          </cell>
          <cell r="I889">
            <v>17.030925</v>
          </cell>
          <cell r="J889">
            <v>18.478553625</v>
          </cell>
          <cell r="K889">
            <v>23.098192031249997</v>
          </cell>
          <cell r="L889">
            <v>2</v>
          </cell>
          <cell r="M889">
            <v>25.664657812499996</v>
          </cell>
          <cell r="N889">
            <v>26.947890703124997</v>
          </cell>
          <cell r="O889">
            <v>30.193715073529408</v>
          </cell>
          <cell r="P889">
            <v>33.213086580882354</v>
          </cell>
          <cell r="Q889">
            <v>3</v>
          </cell>
          <cell r="R889">
            <v>37.742143841911755</v>
          </cell>
        </row>
        <row r="890">
          <cell r="A890">
            <v>8580126</v>
          </cell>
          <cell r="D890" t="str">
            <v>CYLINDER,GAS,SWG PLR</v>
          </cell>
          <cell r="F890">
            <v>21.34</v>
          </cell>
          <cell r="G890">
            <v>28.809000000000001</v>
          </cell>
          <cell r="H890">
            <v>1.1499999999999999</v>
          </cell>
          <cell r="I890">
            <v>33.13035</v>
          </cell>
          <cell r="J890">
            <v>35.94642975</v>
          </cell>
          <cell r="K890">
            <v>44.933037187499998</v>
          </cell>
          <cell r="L890">
            <v>1</v>
          </cell>
          <cell r="M890">
            <v>47.297933881578949</v>
          </cell>
          <cell r="N890">
            <v>49.6628305756579</v>
          </cell>
          <cell r="O890">
            <v>55.644628095975236</v>
          </cell>
          <cell r="P890">
            <v>61.209090905572765</v>
          </cell>
          <cell r="Q890">
            <v>3</v>
          </cell>
          <cell r="R890">
            <v>69.555785119969045</v>
          </cell>
        </row>
        <row r="891">
          <cell r="A891">
            <v>3554085</v>
          </cell>
          <cell r="C891" t="str">
            <v>BM</v>
          </cell>
          <cell r="D891" t="str">
            <v>CONN,SWL,ELB,1/4 OD X 1/8 NPT</v>
          </cell>
          <cell r="E891">
            <v>1</v>
          </cell>
          <cell r="F891">
            <v>3.05</v>
          </cell>
          <cell r="G891">
            <v>4.1174999999999997</v>
          </cell>
          <cell r="H891">
            <v>1.1499999999999999</v>
          </cell>
          <cell r="I891">
            <v>4.7351249999999991</v>
          </cell>
          <cell r="J891">
            <v>5.1376106249999989</v>
          </cell>
          <cell r="K891">
            <v>6.4220132812499982</v>
          </cell>
          <cell r="L891">
            <v>2</v>
          </cell>
          <cell r="M891">
            <v>7.1355703124999978</v>
          </cell>
          <cell r="N891">
            <v>7.4923488281249977</v>
          </cell>
          <cell r="O891">
            <v>8.3947886029411745</v>
          </cell>
          <cell r="P891">
            <v>9.2342674632352928</v>
          </cell>
          <cell r="Q891">
            <v>3</v>
          </cell>
          <cell r="R891">
            <v>10.493485753676467</v>
          </cell>
        </row>
        <row r="892">
          <cell r="A892" t="str">
            <v>D255647</v>
          </cell>
          <cell r="D892" t="str">
            <v>RAM CYLINDER</v>
          </cell>
          <cell r="F892">
            <v>37.520000000000003</v>
          </cell>
          <cell r="G892">
            <v>50.652000000000008</v>
          </cell>
          <cell r="H892">
            <v>1.1499999999999999</v>
          </cell>
          <cell r="I892">
            <v>58.249800000000008</v>
          </cell>
          <cell r="J892">
            <v>63.20103300000001</v>
          </cell>
          <cell r="K892">
            <v>79.001291250000008</v>
          </cell>
          <cell r="L892">
            <v>1</v>
          </cell>
          <cell r="M892">
            <v>83.159253947368427</v>
          </cell>
          <cell r="N892">
            <v>87.317216644736845</v>
          </cell>
          <cell r="O892">
            <v>97.834416408668744</v>
          </cell>
          <cell r="P892">
            <v>107.61785804953563</v>
          </cell>
          <cell r="Q892">
            <v>3</v>
          </cell>
          <cell r="R892">
            <v>122.29302051083593</v>
          </cell>
        </row>
        <row r="893">
          <cell r="A893" t="str">
            <v>D262514</v>
          </cell>
          <cell r="D893" t="str">
            <v>SOLENOID BRACKET</v>
          </cell>
          <cell r="F893">
            <v>8.39</v>
          </cell>
          <cell r="G893">
            <v>11.326500000000001</v>
          </cell>
          <cell r="H893">
            <v>1.1499999999999999</v>
          </cell>
          <cell r="I893">
            <v>13.025475</v>
          </cell>
          <cell r="J893">
            <v>14.132640374999999</v>
          </cell>
          <cell r="K893">
            <v>17.66580046875</v>
          </cell>
          <cell r="L893">
            <v>1</v>
          </cell>
          <cell r="M893">
            <v>18.595579440789475</v>
          </cell>
          <cell r="N893">
            <v>19.52535841282895</v>
          </cell>
          <cell r="O893">
            <v>21.877152283281735</v>
          </cell>
          <cell r="P893">
            <v>24.064867511609911</v>
          </cell>
          <cell r="Q893">
            <v>3</v>
          </cell>
          <cell r="R893">
            <v>27.346440354102167</v>
          </cell>
        </row>
        <row r="894">
          <cell r="A894">
            <v>8515622</v>
          </cell>
          <cell r="D894" t="str">
            <v>BUMPER &amp; STUD ASSY,1/4-28</v>
          </cell>
          <cell r="F894">
            <v>40.58</v>
          </cell>
          <cell r="G894">
            <v>54.783000000000001</v>
          </cell>
          <cell r="H894">
            <v>1.1499999999999999</v>
          </cell>
          <cell r="I894">
            <v>63.000449999999994</v>
          </cell>
          <cell r="J894">
            <v>68.355488249999993</v>
          </cell>
          <cell r="K894">
            <v>85.444360312499981</v>
          </cell>
          <cell r="L894">
            <v>1</v>
          </cell>
          <cell r="M894">
            <v>89.941431907894724</v>
          </cell>
          <cell r="N894">
            <v>94.438503503289468</v>
          </cell>
          <cell r="O894">
            <v>105.81344930340556</v>
          </cell>
          <cell r="P894">
            <v>116.39479423374613</v>
          </cell>
          <cell r="Q894">
            <v>3</v>
          </cell>
          <cell r="R894">
            <v>132.26681162925695</v>
          </cell>
        </row>
        <row r="895">
          <cell r="A895">
            <v>3558862</v>
          </cell>
          <cell r="D895" t="str">
            <v>CONNECTOR PKG,DETACHER</v>
          </cell>
          <cell r="F895">
            <v>13.12</v>
          </cell>
          <cell r="G895">
            <v>17.712</v>
          </cell>
          <cell r="H895">
            <v>1.1499999999999999</v>
          </cell>
          <cell r="I895">
            <v>20.368799999999997</v>
          </cell>
          <cell r="J895">
            <v>22.100147999999997</v>
          </cell>
          <cell r="K895">
            <v>27.625184999999995</v>
          </cell>
          <cell r="L895">
            <v>1</v>
          </cell>
          <cell r="M895">
            <v>29.079142105263152</v>
          </cell>
          <cell r="N895">
            <v>30.533099210526309</v>
          </cell>
          <cell r="O895">
            <v>34.210755417956648</v>
          </cell>
          <cell r="P895">
            <v>37.631830959752314</v>
          </cell>
          <cell r="Q895">
            <v>3</v>
          </cell>
          <cell r="R895">
            <v>42.76344427244581</v>
          </cell>
        </row>
        <row r="896">
          <cell r="A896">
            <v>3558683</v>
          </cell>
          <cell r="D896" t="str">
            <v>PLATE ASSY,POWER SUPPLY</v>
          </cell>
          <cell r="F896">
            <v>34.94</v>
          </cell>
          <cell r="G896">
            <v>47.168999999999997</v>
          </cell>
          <cell r="H896">
            <v>1.1499999999999999</v>
          </cell>
          <cell r="I896">
            <v>54.24434999999999</v>
          </cell>
          <cell r="J896">
            <v>58.855119749999986</v>
          </cell>
          <cell r="K896">
            <v>73.568899687499979</v>
          </cell>
          <cell r="L896">
            <v>1</v>
          </cell>
          <cell r="M896">
            <v>77.44094703947367</v>
          </cell>
          <cell r="N896">
            <v>81.312994391447361</v>
          </cell>
          <cell r="O896">
            <v>91.106996517027852</v>
          </cell>
          <cell r="P896">
            <v>100.21769616873064</v>
          </cell>
          <cell r="Q896">
            <v>3</v>
          </cell>
          <cell r="R896">
            <v>113.88374564628481</v>
          </cell>
        </row>
        <row r="897">
          <cell r="A897">
            <v>8500545</v>
          </cell>
          <cell r="C897" t="str">
            <v>BM</v>
          </cell>
          <cell r="D897" t="str">
            <v>Soporte con abrazadera(CLAMP,3.0 IN,VINYL-COATED)</v>
          </cell>
          <cell r="E897" t="str">
            <v>1A</v>
          </cell>
          <cell r="F897">
            <v>38.15</v>
          </cell>
          <cell r="G897">
            <v>51.502500000000005</v>
          </cell>
          <cell r="H897">
            <v>1.1499999999999999</v>
          </cell>
          <cell r="I897">
            <v>59.227875000000004</v>
          </cell>
          <cell r="J897">
            <v>64.262244375000009</v>
          </cell>
          <cell r="K897">
            <v>80.32780546875</v>
          </cell>
          <cell r="L897">
            <v>1</v>
          </cell>
          <cell r="M897">
            <v>84.555584703947375</v>
          </cell>
          <cell r="N897">
            <v>88.783363939144749</v>
          </cell>
          <cell r="O897">
            <v>99.477158475232201</v>
          </cell>
          <cell r="P897">
            <v>109.42487432275543</v>
          </cell>
          <cell r="Q897">
            <v>3</v>
          </cell>
          <cell r="R897">
            <v>124.34644809404024</v>
          </cell>
        </row>
        <row r="898">
          <cell r="A898">
            <v>8512924</v>
          </cell>
          <cell r="C898" t="str">
            <v>BM</v>
          </cell>
          <cell r="D898" t="str">
            <v>PLUG,MILK,PLSTC,3.00,SHRT</v>
          </cell>
          <cell r="E898">
            <v>1</v>
          </cell>
          <cell r="F898">
            <v>43.04</v>
          </cell>
          <cell r="G898">
            <v>58.103999999999999</v>
          </cell>
          <cell r="H898">
            <v>1.1499999999999999</v>
          </cell>
          <cell r="I898">
            <v>66.819599999999994</v>
          </cell>
          <cell r="J898">
            <v>72.499265999999992</v>
          </cell>
          <cell r="K898">
            <v>90.624082499999986</v>
          </cell>
          <cell r="L898">
            <v>2</v>
          </cell>
          <cell r="M898">
            <v>100.69342499999998</v>
          </cell>
          <cell r="N898">
            <v>105.72809624999998</v>
          </cell>
          <cell r="O898">
            <v>118.46285294117645</v>
          </cell>
          <cell r="P898">
            <v>130.30913823529411</v>
          </cell>
          <cell r="Q898">
            <v>3</v>
          </cell>
          <cell r="R898">
            <v>148.07856617647056</v>
          </cell>
        </row>
        <row r="899">
          <cell r="A899">
            <v>8517429</v>
          </cell>
          <cell r="C899" t="str">
            <v>BM</v>
          </cell>
          <cell r="D899" t="str">
            <v>Tapa transparente recibidor (LID,PLEXIGLASS,RCVR)</v>
          </cell>
          <cell r="E899">
            <v>1</v>
          </cell>
          <cell r="F899">
            <v>55.71</v>
          </cell>
          <cell r="G899">
            <v>75.208500000000001</v>
          </cell>
          <cell r="H899">
            <v>1.1499999999999999</v>
          </cell>
          <cell r="I899">
            <v>86.489774999999995</v>
          </cell>
          <cell r="J899">
            <v>93.841405874999992</v>
          </cell>
          <cell r="K899">
            <v>117.30175734374998</v>
          </cell>
          <cell r="L899">
            <v>1</v>
          </cell>
          <cell r="M899">
            <v>123.47553404605262</v>
          </cell>
          <cell r="N899">
            <v>129.64931074835525</v>
          </cell>
          <cell r="O899">
            <v>145.26533417182662</v>
          </cell>
          <cell r="P899">
            <v>159.79186758900929</v>
          </cell>
          <cell r="Q899">
            <v>3</v>
          </cell>
          <cell r="R899">
            <v>181.58166771478326</v>
          </cell>
        </row>
        <row r="900">
          <cell r="A900">
            <v>8518662</v>
          </cell>
          <cell r="D900" t="str">
            <v>TEE,PVC,SCH-40,3,SANIT   SXSXS</v>
          </cell>
          <cell r="F900">
            <v>20.3</v>
          </cell>
          <cell r="G900">
            <v>27.405000000000001</v>
          </cell>
          <cell r="H900">
            <v>1.1499999999999999</v>
          </cell>
          <cell r="I900">
            <v>31.515750000000001</v>
          </cell>
          <cell r="J900">
            <v>34.194588750000001</v>
          </cell>
          <cell r="K900">
            <v>42.743235937499996</v>
          </cell>
          <cell r="L900">
            <v>2</v>
          </cell>
          <cell r="M900">
            <v>47.492484374999997</v>
          </cell>
          <cell r="N900">
            <v>49.867108593749997</v>
          </cell>
          <cell r="O900">
            <v>55.873511029411759</v>
          </cell>
          <cell r="P900">
            <v>61.460862132352936</v>
          </cell>
          <cell r="Q900">
            <v>3</v>
          </cell>
          <cell r="R900">
            <v>69.841888786764699</v>
          </cell>
        </row>
        <row r="901">
          <cell r="A901">
            <v>3554174</v>
          </cell>
          <cell r="C901" t="str">
            <v>BM</v>
          </cell>
          <cell r="D901" t="str">
            <v>HOSE,NYL,RED,5/32 ODX100FT</v>
          </cell>
          <cell r="E901">
            <v>1</v>
          </cell>
          <cell r="F901">
            <v>31.29</v>
          </cell>
          <cell r="G901">
            <v>42.241500000000002</v>
          </cell>
          <cell r="H901">
            <v>1.1499999999999999</v>
          </cell>
          <cell r="I901">
            <v>48.577725000000001</v>
          </cell>
          <cell r="J901">
            <v>52.706831625</v>
          </cell>
          <cell r="K901">
            <v>65.883539531249994</v>
          </cell>
          <cell r="L901">
            <v>3</v>
          </cell>
          <cell r="M901">
            <v>77.510046507352939</v>
          </cell>
          <cell r="N901">
            <v>81.385548832720588</v>
          </cell>
          <cell r="O901">
            <v>91.188290008650526</v>
          </cell>
          <cell r="P901">
            <v>100.30711900951559</v>
          </cell>
          <cell r="Q901">
            <v>3</v>
          </cell>
          <cell r="R901">
            <v>113.98536251081315</v>
          </cell>
        </row>
        <row r="902">
          <cell r="A902">
            <v>322517</v>
          </cell>
          <cell r="D902" t="str">
            <v>VALVE, SHUT OFF, DELRIN, 3/4"</v>
          </cell>
          <cell r="E902" t="str">
            <v>1</v>
          </cell>
          <cell r="F902">
            <v>18.47</v>
          </cell>
          <cell r="G902">
            <v>24.9345</v>
          </cell>
          <cell r="H902">
            <v>1.1499999999999999</v>
          </cell>
          <cell r="I902">
            <v>28.674674999999997</v>
          </cell>
          <cell r="J902">
            <v>31.112022374999995</v>
          </cell>
          <cell r="K902">
            <v>38.89002796874999</v>
          </cell>
          <cell r="L902">
            <v>1</v>
          </cell>
          <cell r="M902">
            <v>40.936871546052622</v>
          </cell>
          <cell r="N902">
            <v>42.983715123355253</v>
          </cell>
          <cell r="O902">
            <v>48.161025348297201</v>
          </cell>
          <cell r="P902">
            <v>52.977127883126926</v>
          </cell>
          <cell r="Q902">
            <v>3</v>
          </cell>
          <cell r="R902">
            <v>60.201281685371498</v>
          </cell>
        </row>
        <row r="903">
          <cell r="A903">
            <v>8513776</v>
          </cell>
          <cell r="C903" t="str">
            <v>BOUMATIC</v>
          </cell>
          <cell r="D903" t="str">
            <v>SELLO ELECTROBOMBA</v>
          </cell>
          <cell r="E903">
            <v>1</v>
          </cell>
          <cell r="F903">
            <v>25.19</v>
          </cell>
          <cell r="G903">
            <v>34.006500000000003</v>
          </cell>
          <cell r="H903">
            <v>1.1499999999999999</v>
          </cell>
          <cell r="I903">
            <v>39.107475000000001</v>
          </cell>
          <cell r="J903">
            <v>42.431610374999998</v>
          </cell>
          <cell r="K903">
            <v>53.039512968749996</v>
          </cell>
          <cell r="L903">
            <v>1</v>
          </cell>
          <cell r="M903">
            <v>55.831066282894739</v>
          </cell>
          <cell r="N903">
            <v>58.622619597039481</v>
          </cell>
          <cell r="O903">
            <v>65.683607391640876</v>
          </cell>
          <cell r="P903">
            <v>72.251968130804968</v>
          </cell>
          <cell r="Q903">
            <v>3</v>
          </cell>
          <cell r="R903">
            <v>82.104509239551092</v>
          </cell>
        </row>
        <row r="904">
          <cell r="A904">
            <v>8504277</v>
          </cell>
          <cell r="D904" t="str">
            <v>SLEEVE,RBR,3.03/3.49,SS ELBOW</v>
          </cell>
          <cell r="F904">
            <v>13.74</v>
          </cell>
          <cell r="G904">
            <v>18.549000000000003</v>
          </cell>
          <cell r="H904">
            <v>1.1499999999999999</v>
          </cell>
          <cell r="I904">
            <v>21.33135</v>
          </cell>
          <cell r="J904">
            <v>23.144514749999999</v>
          </cell>
          <cell r="K904">
            <v>28.930643437499999</v>
          </cell>
          <cell r="L904">
            <v>1</v>
          </cell>
          <cell r="M904">
            <v>30.453308881578948</v>
          </cell>
          <cell r="N904">
            <v>31.975974325657898</v>
          </cell>
          <cell r="O904">
            <v>35.827422213622292</v>
          </cell>
          <cell r="P904">
            <v>39.410164434984523</v>
          </cell>
          <cell r="Q904">
            <v>3</v>
          </cell>
          <cell r="R904">
            <v>44.784277767027859</v>
          </cell>
        </row>
        <row r="905">
          <cell r="A905">
            <v>3556697</v>
          </cell>
          <cell r="D905" t="str">
            <v>DIAPHRAGM ASSY,METER REPL</v>
          </cell>
          <cell r="F905">
            <v>39.85</v>
          </cell>
          <cell r="G905">
            <v>53.797500000000007</v>
          </cell>
          <cell r="H905">
            <v>1.1499999999999999</v>
          </cell>
          <cell r="I905">
            <v>61.867125000000001</v>
          </cell>
          <cell r="J905">
            <v>67.125830625000006</v>
          </cell>
          <cell r="K905">
            <v>83.907288281250004</v>
          </cell>
          <cell r="L905">
            <v>1</v>
          </cell>
          <cell r="M905">
            <v>88.323461348684219</v>
          </cell>
          <cell r="N905">
            <v>92.739634416118435</v>
          </cell>
          <cell r="O905">
            <v>103.90995452786379</v>
          </cell>
          <cell r="P905">
            <v>114.30094998065017</v>
          </cell>
          <cell r="Q905">
            <v>3</v>
          </cell>
          <cell r="R905">
            <v>129.88744315982973</v>
          </cell>
        </row>
        <row r="906">
          <cell r="A906">
            <v>8511970</v>
          </cell>
          <cell r="D906" t="str">
            <v>DIAPHRAGM,DRAIN VALVE</v>
          </cell>
          <cell r="F906">
            <v>15.27</v>
          </cell>
          <cell r="G906">
            <v>20.6145</v>
          </cell>
          <cell r="H906">
            <v>1.1499999999999999</v>
          </cell>
          <cell r="I906">
            <v>23.706674999999997</v>
          </cell>
          <cell r="J906">
            <v>25.721742374999994</v>
          </cell>
          <cell r="K906">
            <v>32.152177968749989</v>
          </cell>
          <cell r="L906">
            <v>1</v>
          </cell>
          <cell r="M906">
            <v>33.844397861842097</v>
          </cell>
          <cell r="N906">
            <v>35.536617754934205</v>
          </cell>
          <cell r="O906">
            <v>39.816938660990701</v>
          </cell>
          <cell r="P906">
            <v>43.798632527089772</v>
          </cell>
          <cell r="Q906">
            <v>3</v>
          </cell>
          <cell r="R906">
            <v>49.771173326238376</v>
          </cell>
        </row>
        <row r="907">
          <cell r="A907">
            <v>8518076</v>
          </cell>
          <cell r="C907" t="str">
            <v>BM</v>
          </cell>
          <cell r="D907" t="str">
            <v>Restrictor de flujo(ORIFICE,WASH LINE)</v>
          </cell>
          <cell r="E907">
            <v>1</v>
          </cell>
          <cell r="F907">
            <v>5.65</v>
          </cell>
          <cell r="G907">
            <v>7.6275000000000013</v>
          </cell>
          <cell r="H907">
            <v>1.1499999999999999</v>
          </cell>
          <cell r="I907">
            <v>8.7716250000000002</v>
          </cell>
          <cell r="J907">
            <v>9.5172131249999996</v>
          </cell>
          <cell r="K907">
            <v>11.896516406249999</v>
          </cell>
          <cell r="L907">
            <v>1</v>
          </cell>
          <cell r="M907">
            <v>12.522648848684209</v>
          </cell>
          <cell r="N907">
            <v>13.14878129111842</v>
          </cell>
          <cell r="O907">
            <v>14.732528057275541</v>
          </cell>
          <cell r="P907">
            <v>16.205780863003096</v>
          </cell>
          <cell r="Q907">
            <v>3</v>
          </cell>
          <cell r="R907">
            <v>18.415660071594424</v>
          </cell>
        </row>
        <row r="908">
          <cell r="A908">
            <v>8501189</v>
          </cell>
          <cell r="D908" t="str">
            <v>VALVE ASSY,DRAIN</v>
          </cell>
          <cell r="F908">
            <v>109.96</v>
          </cell>
          <cell r="G908">
            <v>148.446</v>
          </cell>
          <cell r="H908">
            <v>1.1499999999999999</v>
          </cell>
          <cell r="I908">
            <v>170.71289999999999</v>
          </cell>
          <cell r="J908">
            <v>185.22349649999998</v>
          </cell>
          <cell r="K908">
            <v>231.52937062499996</v>
          </cell>
          <cell r="L908">
            <v>1</v>
          </cell>
          <cell r="M908">
            <v>243.71512697368416</v>
          </cell>
          <cell r="N908">
            <v>255.90088332236837</v>
          </cell>
          <cell r="O908">
            <v>286.72367879256961</v>
          </cell>
          <cell r="P908">
            <v>315.39604667182658</v>
          </cell>
          <cell r="Q908">
            <v>3</v>
          </cell>
          <cell r="R908">
            <v>358.40459849071198</v>
          </cell>
        </row>
        <row r="909">
          <cell r="A909">
            <v>8519972</v>
          </cell>
          <cell r="D909" t="str">
            <v>CLAMP, HINGED, 4", HVY DUTY</v>
          </cell>
          <cell r="F909">
            <v>20.16</v>
          </cell>
          <cell r="G909">
            <v>27.216000000000001</v>
          </cell>
          <cell r="H909">
            <v>1.1499999999999999</v>
          </cell>
          <cell r="I909">
            <v>31.298399999999997</v>
          </cell>
          <cell r="J909">
            <v>33.958763999999995</v>
          </cell>
          <cell r="K909">
            <v>42.448454999999989</v>
          </cell>
          <cell r="L909">
            <v>1</v>
          </cell>
          <cell r="M909">
            <v>44.682584210526308</v>
          </cell>
          <cell r="N909">
            <v>46.916713421052627</v>
          </cell>
          <cell r="O909">
            <v>52.567746130030955</v>
          </cell>
          <cell r="P909">
            <v>57.824520743034057</v>
          </cell>
          <cell r="Q909">
            <v>3</v>
          </cell>
          <cell r="R909">
            <v>65.709682662538683</v>
          </cell>
        </row>
        <row r="910">
          <cell r="A910">
            <v>8502330</v>
          </cell>
          <cell r="C910" t="str">
            <v>BM</v>
          </cell>
          <cell r="D910" t="str">
            <v>Filtro de leche (FILTER,IN-LINE, 1.50X24.00,TC)</v>
          </cell>
          <cell r="E910">
            <v>1</v>
          </cell>
          <cell r="F910">
            <v>87.21</v>
          </cell>
          <cell r="G910">
            <v>117.73349999999999</v>
          </cell>
          <cell r="H910">
            <v>1.1499999999999999</v>
          </cell>
          <cell r="I910">
            <v>135.39352499999998</v>
          </cell>
          <cell r="J910">
            <v>146.90197462499998</v>
          </cell>
          <cell r="K910">
            <v>183.62746828124997</v>
          </cell>
          <cell r="L910">
            <v>2</v>
          </cell>
          <cell r="M910">
            <v>204.03052031249996</v>
          </cell>
          <cell r="N910">
            <v>214.23204632812497</v>
          </cell>
          <cell r="O910">
            <v>240.03590624999995</v>
          </cell>
          <cell r="P910">
            <v>264.039496875</v>
          </cell>
          <cell r="Q910">
            <v>3</v>
          </cell>
          <cell r="R910">
            <v>300.04488281249991</v>
          </cell>
        </row>
        <row r="911">
          <cell r="A911">
            <v>8510417</v>
          </cell>
          <cell r="D911" t="str">
            <v>CLAMP,TUBE</v>
          </cell>
          <cell r="F911">
            <v>22.91</v>
          </cell>
          <cell r="G911">
            <v>30.928500000000003</v>
          </cell>
          <cell r="H911">
            <v>1.1499999999999999</v>
          </cell>
          <cell r="I911">
            <v>35.567774999999997</v>
          </cell>
          <cell r="J911">
            <v>38.591035874999996</v>
          </cell>
          <cell r="K911">
            <v>48.238794843749993</v>
          </cell>
          <cell r="L911">
            <v>1</v>
          </cell>
          <cell r="M911">
            <v>50.777678782894732</v>
          </cell>
          <cell r="N911">
            <v>53.316562722039471</v>
          </cell>
          <cell r="O911">
            <v>59.738445626934983</v>
          </cell>
          <cell r="P911">
            <v>65.71229018962849</v>
          </cell>
          <cell r="Q911">
            <v>3</v>
          </cell>
          <cell r="R911">
            <v>74.673057033668726</v>
          </cell>
        </row>
        <row r="912">
          <cell r="A912">
            <v>8518781</v>
          </cell>
          <cell r="D912" t="str">
            <v>LID,ACRYLIC,10</v>
          </cell>
          <cell r="F912">
            <v>139.91</v>
          </cell>
          <cell r="G912">
            <v>188.8785</v>
          </cell>
          <cell r="H912">
            <v>1.1499999999999999</v>
          </cell>
          <cell r="I912">
            <v>217.210275</v>
          </cell>
          <cell r="J912">
            <v>235.67314837499998</v>
          </cell>
          <cell r="K912">
            <v>294.59143546874998</v>
          </cell>
          <cell r="L912">
            <v>1</v>
          </cell>
          <cell r="M912">
            <v>310.09624786184207</v>
          </cell>
          <cell r="N912">
            <v>325.60106025493417</v>
          </cell>
          <cell r="O912">
            <v>364.81911513157894</v>
          </cell>
          <cell r="P912">
            <v>401.30102664473685</v>
          </cell>
          <cell r="Q912">
            <v>3</v>
          </cell>
          <cell r="R912">
            <v>456.02389391447366</v>
          </cell>
        </row>
        <row r="913">
          <cell r="A913">
            <v>8515871</v>
          </cell>
          <cell r="D913" t="str">
            <v>BUSHING,FLUSH,PVC,2 X 1-1/2</v>
          </cell>
          <cell r="F913">
            <v>6.11</v>
          </cell>
          <cell r="G913">
            <v>8.2485000000000017</v>
          </cell>
          <cell r="H913">
            <v>1.1499999999999999</v>
          </cell>
          <cell r="I913">
            <v>9.4857750000000021</v>
          </cell>
          <cell r="J913">
            <v>10.292065875000002</v>
          </cell>
          <cell r="K913">
            <v>12.865082343750002</v>
          </cell>
          <cell r="L913">
            <v>1</v>
          </cell>
          <cell r="M913">
            <v>13.542191940789476</v>
          </cell>
          <cell r="N913">
            <v>14.219301537828949</v>
          </cell>
          <cell r="O913">
            <v>15.931990518575853</v>
          </cell>
          <cell r="P913">
            <v>17.52518957043344</v>
          </cell>
          <cell r="Q913">
            <v>3</v>
          </cell>
          <cell r="R913">
            <v>19.914988148219816</v>
          </cell>
        </row>
        <row r="914">
          <cell r="A914">
            <v>8511316</v>
          </cell>
          <cell r="D914" t="str">
            <v>VALVE,EXHAUST CHK,2 IN,RUBBER</v>
          </cell>
          <cell r="F914">
            <v>54.38</v>
          </cell>
          <cell r="G914">
            <v>73.413000000000011</v>
          </cell>
          <cell r="H914">
            <v>1.1499999999999999</v>
          </cell>
          <cell r="I914">
            <v>84.42495000000001</v>
          </cell>
          <cell r="J914">
            <v>91.601070750000005</v>
          </cell>
          <cell r="K914">
            <v>114.5013384375</v>
          </cell>
          <cell r="L914">
            <v>1</v>
          </cell>
          <cell r="M914">
            <v>120.52772467105264</v>
          </cell>
          <cell r="N914">
            <v>126.55411090460528</v>
          </cell>
          <cell r="O914">
            <v>141.79732314241488</v>
          </cell>
          <cell r="P914">
            <v>155.97705545665639</v>
          </cell>
          <cell r="Q914">
            <v>3</v>
          </cell>
          <cell r="R914">
            <v>177.24665392801859</v>
          </cell>
        </row>
        <row r="915">
          <cell r="A915">
            <v>4026124</v>
          </cell>
          <cell r="C915" t="str">
            <v>BM</v>
          </cell>
          <cell r="D915" t="str">
            <v>PLATE,N 1,ALL OPEN</v>
          </cell>
          <cell r="E915">
            <v>32</v>
          </cell>
          <cell r="F915">
            <v>89.82</v>
          </cell>
          <cell r="G915">
            <v>121.25700000000001</v>
          </cell>
          <cell r="H915">
            <v>1.1499999999999999</v>
          </cell>
          <cell r="I915">
            <v>139.44555</v>
          </cell>
          <cell r="J915">
            <v>151.29842174999999</v>
          </cell>
          <cell r="K915">
            <v>189.12302718749999</v>
          </cell>
          <cell r="L915">
            <v>1</v>
          </cell>
          <cell r="M915">
            <v>199.07687072368421</v>
          </cell>
          <cell r="N915">
            <v>209.03071425986843</v>
          </cell>
          <cell r="O915">
            <v>234.20808320433437</v>
          </cell>
          <cell r="P915">
            <v>257.62889152476782</v>
          </cell>
          <cell r="Q915">
            <v>3</v>
          </cell>
          <cell r="R915">
            <v>292.76010400541793</v>
          </cell>
        </row>
        <row r="916">
          <cell r="A916">
            <v>8500867</v>
          </cell>
          <cell r="C916" t="str">
            <v>BM</v>
          </cell>
          <cell r="D916" t="str">
            <v>Soporte con abrazadera(CLAMP,4.0 IN,VINYL-COATED)</v>
          </cell>
          <cell r="E916" t="str">
            <v>1A</v>
          </cell>
          <cell r="F916">
            <v>44.3</v>
          </cell>
          <cell r="G916">
            <v>59.805</v>
          </cell>
          <cell r="H916">
            <v>1.1499999999999999</v>
          </cell>
          <cell r="I916">
            <v>68.775749999999988</v>
          </cell>
          <cell r="J916">
            <v>74.62168874999999</v>
          </cell>
          <cell r="K916">
            <v>93.277110937499984</v>
          </cell>
          <cell r="L916">
            <v>2</v>
          </cell>
          <cell r="M916">
            <v>103.64123437499998</v>
          </cell>
          <cell r="N916">
            <v>108.82329609374999</v>
          </cell>
          <cell r="O916">
            <v>121.93086397058822</v>
          </cell>
          <cell r="P916">
            <v>134.12395036764704</v>
          </cell>
          <cell r="Q916">
            <v>3</v>
          </cell>
          <cell r="R916">
            <v>152.41357996323526</v>
          </cell>
        </row>
        <row r="917">
          <cell r="A917">
            <v>8517680</v>
          </cell>
          <cell r="D917" t="str">
            <v>BOTTOM,CLAW,.63,W/VALVE,WHT</v>
          </cell>
          <cell r="F917">
            <v>111.82</v>
          </cell>
          <cell r="G917">
            <v>150.95699999999999</v>
          </cell>
          <cell r="H917">
            <v>1.1499999999999999</v>
          </cell>
          <cell r="I917">
            <v>173.60054999999997</v>
          </cell>
          <cell r="J917">
            <v>188.35659674999997</v>
          </cell>
          <cell r="K917">
            <v>235.44574593749994</v>
          </cell>
          <cell r="L917">
            <v>1</v>
          </cell>
          <cell r="M917">
            <v>247.83762730263152</v>
          </cell>
          <cell r="N917">
            <v>260.22950866776313</v>
          </cell>
          <cell r="O917">
            <v>291.57367917956651</v>
          </cell>
          <cell r="P917">
            <v>320.73104709752317</v>
          </cell>
          <cell r="Q917">
            <v>3</v>
          </cell>
          <cell r="R917">
            <v>364.46709897445811</v>
          </cell>
        </row>
        <row r="918">
          <cell r="A918">
            <v>8513544</v>
          </cell>
          <cell r="C918" t="str">
            <v>BM</v>
          </cell>
          <cell r="D918" t="str">
            <v>Repuesto colector, parte superior(TOP,CLAW,FLO-STAR MAX,FORMED)</v>
          </cell>
          <cell r="E918">
            <v>1</v>
          </cell>
          <cell r="F918">
            <v>77.45</v>
          </cell>
          <cell r="G918">
            <v>104.5575</v>
          </cell>
          <cell r="H918">
            <v>1.1499999999999999</v>
          </cell>
          <cell r="I918">
            <v>120.241125</v>
          </cell>
          <cell r="J918">
            <v>122.64594750000001</v>
          </cell>
          <cell r="K918">
            <v>144.28935000000001</v>
          </cell>
          <cell r="L918">
            <v>1</v>
          </cell>
          <cell r="M918">
            <v>151.88352631578948</v>
          </cell>
          <cell r="N918">
            <v>159.47770263157895</v>
          </cell>
          <cell r="O918">
            <v>178.68650154798763</v>
          </cell>
          <cell r="P918">
            <v>196.55515170278642</v>
          </cell>
          <cell r="Q918">
            <v>2</v>
          </cell>
          <cell r="R918">
            <v>210.21941358586781</v>
          </cell>
        </row>
        <row r="919">
          <cell r="A919">
            <v>8553534</v>
          </cell>
          <cell r="D919" t="str">
            <v>KIT,REPAIR,AIR CYL,8.00,(F)</v>
          </cell>
          <cell r="F919">
            <v>64.62</v>
          </cell>
          <cell r="G919">
            <v>87.237000000000009</v>
          </cell>
          <cell r="H919">
            <v>1.1499999999999999</v>
          </cell>
          <cell r="I919">
            <v>100.32255000000001</v>
          </cell>
          <cell r="J919">
            <v>108.84996675000001</v>
          </cell>
          <cell r="K919">
            <v>136.0624584375</v>
          </cell>
          <cell r="L919">
            <v>1</v>
          </cell>
          <cell r="M919">
            <v>143.22364046052633</v>
          </cell>
          <cell r="N919">
            <v>150.38482248355265</v>
          </cell>
          <cell r="O919">
            <v>168.49840054179569</v>
          </cell>
          <cell r="P919">
            <v>185.34824059597528</v>
          </cell>
          <cell r="Q919">
            <v>3</v>
          </cell>
          <cell r="R919">
            <v>210.62300067724459</v>
          </cell>
        </row>
        <row r="920">
          <cell r="A920">
            <v>8584197</v>
          </cell>
          <cell r="C920" t="str">
            <v>bm</v>
          </cell>
          <cell r="D920" t="str">
            <v>Kit 1500 (Filtros, diafragmas)</v>
          </cell>
          <cell r="E920">
            <v>1</v>
          </cell>
          <cell r="F920">
            <v>87.69</v>
          </cell>
          <cell r="G920">
            <v>118.3815</v>
          </cell>
          <cell r="H920">
            <v>1.1499999999999999</v>
          </cell>
          <cell r="I920">
            <v>136.13872499999999</v>
          </cell>
          <cell r="J920">
            <v>147.710516625</v>
          </cell>
          <cell r="K920">
            <v>184.63814578124999</v>
          </cell>
          <cell r="L920">
            <v>1</v>
          </cell>
          <cell r="M920">
            <v>194.35594292763159</v>
          </cell>
          <cell r="N920">
            <v>204.07374007401319</v>
          </cell>
          <cell r="O920">
            <v>228.65405050309599</v>
          </cell>
          <cell r="P920">
            <v>251.51945555340561</v>
          </cell>
          <cell r="Q920">
            <v>3</v>
          </cell>
          <cell r="R920">
            <v>285.81756312886995</v>
          </cell>
        </row>
        <row r="921">
          <cell r="A921">
            <v>8512925</v>
          </cell>
          <cell r="D921" t="str">
            <v>PLUG,MILK,PLSTC,2.50,SHRT</v>
          </cell>
          <cell r="F921">
            <v>55.15</v>
          </cell>
          <cell r="G921">
            <v>74.452500000000001</v>
          </cell>
          <cell r="H921">
            <v>1.1499999999999999</v>
          </cell>
          <cell r="I921">
            <v>85.620374999999996</v>
          </cell>
          <cell r="J921">
            <v>92.898106874999996</v>
          </cell>
          <cell r="K921">
            <v>116.12263359375</v>
          </cell>
          <cell r="L921">
            <v>2</v>
          </cell>
          <cell r="M921">
            <v>129.02514843749998</v>
          </cell>
          <cell r="N921">
            <v>135.47640585937498</v>
          </cell>
          <cell r="O921">
            <v>151.79429227941174</v>
          </cell>
          <cell r="P921">
            <v>166.97372150735293</v>
          </cell>
          <cell r="Q921">
            <v>3</v>
          </cell>
          <cell r="R921">
            <v>189.74286534926466</v>
          </cell>
        </row>
        <row r="922">
          <cell r="A922">
            <v>8514246</v>
          </cell>
          <cell r="C922" t="str">
            <v>BM</v>
          </cell>
          <cell r="D922" t="str">
            <v>ORIFICE,100 CFM</v>
          </cell>
          <cell r="E922">
            <v>1</v>
          </cell>
          <cell r="F922">
            <v>38.04</v>
          </cell>
          <cell r="G922">
            <v>51.353999999999999</v>
          </cell>
          <cell r="H922">
            <v>1.1499999999999999</v>
          </cell>
          <cell r="I922">
            <v>59.057099999999991</v>
          </cell>
          <cell r="J922">
            <v>64.076953499999988</v>
          </cell>
          <cell r="K922">
            <v>80.096191874999974</v>
          </cell>
          <cell r="L922">
            <v>1</v>
          </cell>
          <cell r="M922">
            <v>84.311780921052602</v>
          </cell>
          <cell r="N922">
            <v>88.52736996710523</v>
          </cell>
          <cell r="O922">
            <v>99.190330495356008</v>
          </cell>
          <cell r="P922">
            <v>109.10936354489162</v>
          </cell>
          <cell r="Q922">
            <v>3</v>
          </cell>
          <cell r="R922">
            <v>123.987913119195</v>
          </cell>
        </row>
        <row r="923">
          <cell r="A923">
            <v>8515467</v>
          </cell>
          <cell r="C923" t="str">
            <v>BM</v>
          </cell>
          <cell r="D923" t="str">
            <v>COUPLING ASSY,4 FLEX</v>
          </cell>
          <cell r="E923">
            <v>1</v>
          </cell>
          <cell r="F923">
            <v>94.26</v>
          </cell>
          <cell r="G923">
            <v>127.25100000000002</v>
          </cell>
          <cell r="H923">
            <v>1.1499999999999999</v>
          </cell>
          <cell r="I923">
            <v>146.33865</v>
          </cell>
          <cell r="J923">
            <v>158.77743525</v>
          </cell>
          <cell r="K923">
            <v>198.47179406249998</v>
          </cell>
          <cell r="L923">
            <v>2</v>
          </cell>
          <cell r="M923">
            <v>220.52421562499998</v>
          </cell>
          <cell r="N923">
            <v>231.55042640624998</v>
          </cell>
          <cell r="O923">
            <v>259.44025367647055</v>
          </cell>
          <cell r="P923">
            <v>285.38427904411765</v>
          </cell>
          <cell r="Q923">
            <v>3</v>
          </cell>
          <cell r="R923">
            <v>324.30031709558818</v>
          </cell>
        </row>
        <row r="924">
          <cell r="A924">
            <v>8506832</v>
          </cell>
          <cell r="C924" t="str">
            <v>BM</v>
          </cell>
          <cell r="D924" t="str">
            <v>Soporte colector a brete(HANGER ASSY,CLAW)</v>
          </cell>
          <cell r="E924">
            <v>1</v>
          </cell>
          <cell r="F924">
            <v>26.43</v>
          </cell>
          <cell r="G924">
            <v>35.680500000000002</v>
          </cell>
          <cell r="H924">
            <v>1.1499999999999999</v>
          </cell>
          <cell r="I924">
            <v>41.032575000000001</v>
          </cell>
          <cell r="J924">
            <v>44.520343875000002</v>
          </cell>
          <cell r="K924">
            <v>55.650429843749997</v>
          </cell>
          <cell r="L924">
            <v>1</v>
          </cell>
          <cell r="M924">
            <v>58.579399835526317</v>
          </cell>
          <cell r="N924">
            <v>61.508369827302637</v>
          </cell>
          <cell r="O924">
            <v>68.916940982972136</v>
          </cell>
          <cell r="P924">
            <v>75.808635081269358</v>
          </cell>
          <cell r="Q924">
            <v>3</v>
          </cell>
          <cell r="R924">
            <v>86.146176228715163</v>
          </cell>
        </row>
        <row r="925">
          <cell r="A925">
            <v>4023712</v>
          </cell>
          <cell r="D925" t="str">
            <v>THERMOMETER,DIAL,3"</v>
          </cell>
          <cell r="F925">
            <v>134.9</v>
          </cell>
          <cell r="G925">
            <v>182.11500000000001</v>
          </cell>
          <cell r="H925">
            <v>1.1499999999999999</v>
          </cell>
          <cell r="I925">
            <v>209.43224999999998</v>
          </cell>
          <cell r="J925">
            <v>227.23399124999997</v>
          </cell>
          <cell r="K925">
            <v>284.04248906249995</v>
          </cell>
          <cell r="L925">
            <v>1</v>
          </cell>
          <cell r="M925">
            <v>298.99209374999998</v>
          </cell>
          <cell r="N925">
            <v>313.94169843750001</v>
          </cell>
          <cell r="O925">
            <v>351.75540441176469</v>
          </cell>
          <cell r="P925">
            <v>386.9309448529412</v>
          </cell>
          <cell r="Q925">
            <v>3</v>
          </cell>
          <cell r="R925">
            <v>439.69425551470584</v>
          </cell>
        </row>
        <row r="926">
          <cell r="A926">
            <v>8584198</v>
          </cell>
          <cell r="D926" t="str">
            <v>KIT,REBUILD,MIN,BV5000 REG,BM</v>
          </cell>
          <cell r="F926">
            <v>101.14</v>
          </cell>
          <cell r="G926">
            <v>136.53900000000002</v>
          </cell>
          <cell r="H926">
            <v>1.1499999999999999</v>
          </cell>
          <cell r="I926">
            <v>157.01985000000002</v>
          </cell>
          <cell r="J926">
            <v>170.36653725000002</v>
          </cell>
          <cell r="K926">
            <v>212.95817156250001</v>
          </cell>
          <cell r="L926">
            <v>2</v>
          </cell>
          <cell r="M926">
            <v>236.62019062500002</v>
          </cell>
          <cell r="N926">
            <v>248.45120015625002</v>
          </cell>
          <cell r="O926">
            <v>278.37669485294123</v>
          </cell>
          <cell r="P926">
            <v>306.21436433823538</v>
          </cell>
          <cell r="Q926">
            <v>3</v>
          </cell>
          <cell r="R926">
            <v>347.97086856617653</v>
          </cell>
        </row>
        <row r="927">
          <cell r="A927">
            <v>8582269</v>
          </cell>
          <cell r="C927" t="str">
            <v>BM</v>
          </cell>
          <cell r="D927" t="str">
            <v>CABLE,PROX SENSOR</v>
          </cell>
          <cell r="E927">
            <v>1</v>
          </cell>
          <cell r="F927">
            <v>33.46</v>
          </cell>
          <cell r="G927">
            <v>45.171000000000006</v>
          </cell>
          <cell r="H927">
            <v>1.1499999999999999</v>
          </cell>
          <cell r="I927">
            <v>51.946650000000005</v>
          </cell>
          <cell r="J927">
            <v>56.362115250000002</v>
          </cell>
          <cell r="K927">
            <v>70.452644062499999</v>
          </cell>
          <cell r="L927">
            <v>1</v>
          </cell>
          <cell r="M927">
            <v>74.160677960526314</v>
          </cell>
          <cell r="N927">
            <v>77.868711858552629</v>
          </cell>
          <cell r="O927">
            <v>87.247856424148608</v>
          </cell>
          <cell r="P927">
            <v>95.972642066563481</v>
          </cell>
          <cell r="Q927">
            <v>3</v>
          </cell>
          <cell r="R927">
            <v>109.05982053018576</v>
          </cell>
        </row>
        <row r="928">
          <cell r="A928">
            <v>8515466</v>
          </cell>
          <cell r="C928" t="str">
            <v>BM</v>
          </cell>
          <cell r="D928" t="str">
            <v>COUPLING ASSY,2-1/2 FLEX</v>
          </cell>
          <cell r="E928">
            <v>1</v>
          </cell>
          <cell r="F928">
            <v>76.239999999999995</v>
          </cell>
          <cell r="G928">
            <v>102.92400000000001</v>
          </cell>
          <cell r="H928">
            <v>1.1499999999999999</v>
          </cell>
          <cell r="I928">
            <v>118.3626</v>
          </cell>
          <cell r="J928">
            <v>128.42342099999999</v>
          </cell>
          <cell r="K928">
            <v>160.52927624999998</v>
          </cell>
          <cell r="L928">
            <v>1</v>
          </cell>
          <cell r="M928">
            <v>168.97818552631577</v>
          </cell>
          <cell r="N928">
            <v>177.42709480263156</v>
          </cell>
          <cell r="O928">
            <v>198.79786532507737</v>
          </cell>
          <cell r="P928">
            <v>218.67765185758512</v>
          </cell>
          <cell r="Q928">
            <v>3</v>
          </cell>
          <cell r="R928">
            <v>248.49733165634669</v>
          </cell>
        </row>
        <row r="929">
          <cell r="A929">
            <v>8552446</v>
          </cell>
          <cell r="D929" t="str">
            <v>CLEVIS ASSY,ROD</v>
          </cell>
          <cell r="F929">
            <v>85.56</v>
          </cell>
          <cell r="G929">
            <v>115.50600000000001</v>
          </cell>
          <cell r="H929">
            <v>1.1499999999999999</v>
          </cell>
          <cell r="I929">
            <v>132.83190000000002</v>
          </cell>
          <cell r="J929">
            <v>144.1226115</v>
          </cell>
          <cell r="K929">
            <v>180.15326437499999</v>
          </cell>
          <cell r="L929">
            <v>1</v>
          </cell>
          <cell r="M929">
            <v>189.63501513157894</v>
          </cell>
          <cell r="N929">
            <v>199.11676588815789</v>
          </cell>
          <cell r="O929">
            <v>223.10001780185758</v>
          </cell>
          <cell r="P929">
            <v>245.41001958204336</v>
          </cell>
          <cell r="Q929">
            <v>3</v>
          </cell>
          <cell r="R929">
            <v>278.87502225232197</v>
          </cell>
        </row>
        <row r="930">
          <cell r="A930">
            <v>4026125</v>
          </cell>
          <cell r="C930" t="str">
            <v>BM</v>
          </cell>
          <cell r="D930" t="str">
            <v>PLATE,N 1,ALL BLOCKED</v>
          </cell>
          <cell r="E930">
            <v>5</v>
          </cell>
          <cell r="F930">
            <v>115.05</v>
          </cell>
          <cell r="G930">
            <v>155.3175</v>
          </cell>
          <cell r="H930">
            <v>1.1499999999999999</v>
          </cell>
          <cell r="I930">
            <v>178.61512499999998</v>
          </cell>
          <cell r="J930">
            <v>193.79741062499997</v>
          </cell>
          <cell r="K930">
            <v>242.24676328124994</v>
          </cell>
          <cell r="L930">
            <v>1</v>
          </cell>
          <cell r="M930">
            <v>254.99659292763153</v>
          </cell>
          <cell r="N930">
            <v>267.74642257401314</v>
          </cell>
          <cell r="O930">
            <v>299.99599167956649</v>
          </cell>
          <cell r="P930">
            <v>329.99559084752315</v>
          </cell>
          <cell r="Q930">
            <v>3</v>
          </cell>
          <cell r="R930">
            <v>374.99498959945811</v>
          </cell>
        </row>
        <row r="931">
          <cell r="A931">
            <v>3556377</v>
          </cell>
          <cell r="C931" t="str">
            <v>BM</v>
          </cell>
          <cell r="D931" t="str">
            <v>SAMPLER ASSY,BUTTERFAT</v>
          </cell>
          <cell r="E931">
            <v>1</v>
          </cell>
          <cell r="F931">
            <v>100.69</v>
          </cell>
          <cell r="G931">
            <v>135.9315</v>
          </cell>
          <cell r="H931">
            <v>1.1499999999999999</v>
          </cell>
          <cell r="I931">
            <v>156.321225</v>
          </cell>
          <cell r="J931">
            <v>169.60852912499999</v>
          </cell>
          <cell r="K931">
            <v>212.01066140624997</v>
          </cell>
          <cell r="L931">
            <v>1</v>
          </cell>
          <cell r="M931">
            <v>223.16911726973683</v>
          </cell>
          <cell r="N931">
            <v>234.32757313322369</v>
          </cell>
          <cell r="O931">
            <v>262.55190267027865</v>
          </cell>
          <cell r="P931">
            <v>288.80709293730655</v>
          </cell>
          <cell r="Q931">
            <v>3</v>
          </cell>
          <cell r="R931">
            <v>328.18987833784831</v>
          </cell>
        </row>
        <row r="932">
          <cell r="A932">
            <v>4021841</v>
          </cell>
          <cell r="C932" t="str">
            <v>BM</v>
          </cell>
          <cell r="D932" t="str">
            <v>SENSOR ASSY,ELEC TEMP CONT</v>
          </cell>
          <cell r="E932">
            <v>1</v>
          </cell>
          <cell r="F932">
            <v>171.44</v>
          </cell>
          <cell r="G932">
            <v>231.44400000000002</v>
          </cell>
          <cell r="H932">
            <v>1.1499999999999999</v>
          </cell>
          <cell r="I932">
            <v>266.16059999999999</v>
          </cell>
          <cell r="J932">
            <v>271.483812</v>
          </cell>
          <cell r="K932">
            <v>319.39272</v>
          </cell>
          <cell r="L932">
            <v>1</v>
          </cell>
          <cell r="M932">
            <v>336.20286315789474</v>
          </cell>
          <cell r="N932">
            <v>353.01300631578948</v>
          </cell>
          <cell r="O932">
            <v>395.53278018575855</v>
          </cell>
          <cell r="P932">
            <v>435.08605820433445</v>
          </cell>
          <cell r="Q932">
            <v>1</v>
          </cell>
          <cell r="R932">
            <v>439.48086687306505</v>
          </cell>
        </row>
        <row r="933">
          <cell r="A933">
            <v>8502797</v>
          </cell>
          <cell r="D933" t="str">
            <v>SOLENOID,DIVERTER,50HZ,230V</v>
          </cell>
          <cell r="F933">
            <v>90.61</v>
          </cell>
          <cell r="G933">
            <v>122.32350000000001</v>
          </cell>
          <cell r="H933">
            <v>1.1499999999999999</v>
          </cell>
          <cell r="I933">
            <v>140.67202499999999</v>
          </cell>
          <cell r="J933">
            <v>152.62914712499997</v>
          </cell>
          <cell r="K933">
            <v>190.78643390624995</v>
          </cell>
          <cell r="L933">
            <v>1</v>
          </cell>
          <cell r="M933">
            <v>200.82782516447364</v>
          </cell>
          <cell r="N933">
            <v>210.86921642269732</v>
          </cell>
          <cell r="O933">
            <v>236.26802960526311</v>
          </cell>
          <cell r="P933">
            <v>259.89483256578944</v>
          </cell>
          <cell r="Q933">
            <v>3</v>
          </cell>
          <cell r="R933">
            <v>295.33503700657889</v>
          </cell>
        </row>
        <row r="934">
          <cell r="A934">
            <v>3555861</v>
          </cell>
          <cell r="D934" t="str">
            <v>BODY,METER</v>
          </cell>
          <cell r="F934">
            <v>154.18</v>
          </cell>
          <cell r="G934">
            <v>208.14300000000003</v>
          </cell>
          <cell r="H934">
            <v>1.1499999999999999</v>
          </cell>
          <cell r="I934">
            <v>239.36445000000001</v>
          </cell>
          <cell r="J934">
            <v>259.71042825000001</v>
          </cell>
          <cell r="K934">
            <v>324.63803531249999</v>
          </cell>
          <cell r="L934">
            <v>1</v>
          </cell>
          <cell r="M934">
            <v>341.72424769736841</v>
          </cell>
          <cell r="N934">
            <v>358.81046008223683</v>
          </cell>
          <cell r="O934">
            <v>402.02852670278639</v>
          </cell>
          <cell r="P934">
            <v>442.23137937306507</v>
          </cell>
          <cell r="Q934">
            <v>3</v>
          </cell>
          <cell r="R934">
            <v>502.53565837848299</v>
          </cell>
        </row>
        <row r="935">
          <cell r="A935">
            <v>3558684</v>
          </cell>
          <cell r="D935" t="str">
            <v>ENCLOSURE,HINGED,10X8X6,W/LABL</v>
          </cell>
          <cell r="F935">
            <v>108.95</v>
          </cell>
          <cell r="G935">
            <v>147.08250000000001</v>
          </cell>
          <cell r="H935">
            <v>1.1499999999999999</v>
          </cell>
          <cell r="I935">
            <v>169.14487499999998</v>
          </cell>
          <cell r="J935">
            <v>183.52218937499998</v>
          </cell>
          <cell r="K935">
            <v>229.40273671874996</v>
          </cell>
          <cell r="L935">
            <v>1</v>
          </cell>
          <cell r="M935">
            <v>241.47656496710525</v>
          </cell>
          <cell r="N935">
            <v>253.55039321546053</v>
          </cell>
          <cell r="O935">
            <v>284.09007643188852</v>
          </cell>
          <cell r="P935">
            <v>312.49908407507741</v>
          </cell>
          <cell r="Q935">
            <v>3</v>
          </cell>
          <cell r="R935">
            <v>355.11259553986065</v>
          </cell>
        </row>
        <row r="936">
          <cell r="A936">
            <v>4023713</v>
          </cell>
          <cell r="D936" t="str">
            <v>THERMOWEL,TRI-CLAMP,THERMO</v>
          </cell>
          <cell r="F936">
            <v>330.98</v>
          </cell>
          <cell r="G936">
            <v>446.82300000000004</v>
          </cell>
          <cell r="H936">
            <v>1.1499999999999999</v>
          </cell>
          <cell r="I936">
            <v>513.84645</v>
          </cell>
          <cell r="J936">
            <v>557.52339825000001</v>
          </cell>
          <cell r="K936">
            <v>696.90424781249999</v>
          </cell>
          <cell r="L936">
            <v>1</v>
          </cell>
          <cell r="M936">
            <v>733.58341875000008</v>
          </cell>
          <cell r="N936">
            <v>770.26258968750017</v>
          </cell>
          <cell r="O936">
            <v>863.03931617647072</v>
          </cell>
          <cell r="P936">
            <v>949.34324779411781</v>
          </cell>
          <cell r="Q936">
            <v>3</v>
          </cell>
          <cell r="R936">
            <v>1078.7991452205883</v>
          </cell>
        </row>
        <row r="937">
          <cell r="A937">
            <v>3557988</v>
          </cell>
          <cell r="D937" t="str">
            <v>SWITCH,DOOR,DETACHER,SS</v>
          </cell>
          <cell r="F937">
            <v>42.94</v>
          </cell>
          <cell r="G937">
            <v>57.969000000000001</v>
          </cell>
          <cell r="H937">
            <v>1.1499999999999999</v>
          </cell>
          <cell r="I937">
            <v>66.664349999999999</v>
          </cell>
          <cell r="J937">
            <v>72.330819750000003</v>
          </cell>
          <cell r="K937">
            <v>90.413524687500001</v>
          </cell>
          <cell r="L937">
            <v>1</v>
          </cell>
          <cell r="M937">
            <v>95.172131250000007</v>
          </cell>
          <cell r="N937">
            <v>99.930737812500013</v>
          </cell>
          <cell r="O937">
            <v>111.96721323529412</v>
          </cell>
          <cell r="P937">
            <v>123.16393455882354</v>
          </cell>
          <cell r="Q937">
            <v>3</v>
          </cell>
          <cell r="R937">
            <v>139.95901654411765</v>
          </cell>
        </row>
        <row r="938">
          <cell r="A938">
            <v>1997526</v>
          </cell>
          <cell r="C938" t="str">
            <v>BM</v>
          </cell>
          <cell r="D938" t="str">
            <v>CABLE, 2-COND,22GA,100FT,PRISM</v>
          </cell>
          <cell r="E938">
            <v>1</v>
          </cell>
          <cell r="F938">
            <v>180.17</v>
          </cell>
          <cell r="G938">
            <v>243.2295</v>
          </cell>
          <cell r="H938">
            <v>1.1499999999999999</v>
          </cell>
          <cell r="I938">
            <v>279.71392499999996</v>
          </cell>
          <cell r="J938">
            <v>303.48960862499996</v>
          </cell>
          <cell r="K938">
            <v>379.36201078124992</v>
          </cell>
          <cell r="L938">
            <v>1</v>
          </cell>
          <cell r="M938">
            <v>399.32843240131575</v>
          </cell>
          <cell r="N938">
            <v>419.29485402138158</v>
          </cell>
          <cell r="O938">
            <v>469.79815576625384</v>
          </cell>
          <cell r="P938">
            <v>516.77797134287925</v>
          </cell>
          <cell r="Q938">
            <v>3</v>
          </cell>
          <cell r="R938">
            <v>587.24769470781723</v>
          </cell>
        </row>
        <row r="939">
          <cell r="A939">
            <v>3556144</v>
          </cell>
          <cell r="C939" t="str">
            <v>BM</v>
          </cell>
          <cell r="D939" t="str">
            <v>CYLINDER ASSY,VAC.2 IN,SS</v>
          </cell>
          <cell r="E939">
            <v>1</v>
          </cell>
          <cell r="F939">
            <v>210.89</v>
          </cell>
          <cell r="G939">
            <v>284.70150000000001</v>
          </cell>
          <cell r="H939">
            <v>1.1499999999999999</v>
          </cell>
          <cell r="I939">
            <v>327.40672499999999</v>
          </cell>
          <cell r="J939">
            <v>355.23629662499997</v>
          </cell>
          <cell r="K939">
            <v>444.04537078124991</v>
          </cell>
          <cell r="L939">
            <v>1</v>
          </cell>
          <cell r="M939">
            <v>467.4161797697368</v>
          </cell>
          <cell r="N939">
            <v>490.78698875822369</v>
          </cell>
          <cell r="O939">
            <v>549.90138796439624</v>
          </cell>
          <cell r="P939">
            <v>604.89152676083586</v>
          </cell>
          <cell r="Q939">
            <v>3</v>
          </cell>
          <cell r="R939">
            <v>687.37673495549529</v>
          </cell>
        </row>
        <row r="940">
          <cell r="A940">
            <v>4012887</v>
          </cell>
          <cell r="D940" t="str">
            <v>GASKET,MANHOLE COVER</v>
          </cell>
          <cell r="F940">
            <v>36.83</v>
          </cell>
          <cell r="G940">
            <v>49.720500000000001</v>
          </cell>
          <cell r="H940">
            <v>1.1499999999999999</v>
          </cell>
          <cell r="I940">
            <v>57.178574999999995</v>
          </cell>
          <cell r="J940">
            <v>62.038753874999991</v>
          </cell>
          <cell r="K940">
            <v>77.548442343749983</v>
          </cell>
          <cell r="L940">
            <v>2</v>
          </cell>
          <cell r="M940">
            <v>86.164935937499976</v>
          </cell>
          <cell r="N940">
            <v>90.473182734374973</v>
          </cell>
          <cell r="O940">
            <v>101.37051286764704</v>
          </cell>
          <cell r="P940">
            <v>111.50756415441175</v>
          </cell>
          <cell r="Q940">
            <v>3</v>
          </cell>
          <cell r="R940">
            <v>126.71314108455879</v>
          </cell>
        </row>
        <row r="941">
          <cell r="A941">
            <v>8584771</v>
          </cell>
          <cell r="D941" t="str">
            <v>SENSOR,PROXIMITY,INDUCTIVE</v>
          </cell>
          <cell r="F941">
            <v>95.82</v>
          </cell>
          <cell r="G941">
            <v>129.357</v>
          </cell>
          <cell r="H941">
            <v>1.1499999999999999</v>
          </cell>
          <cell r="I941">
            <v>148.76054999999999</v>
          </cell>
          <cell r="J941">
            <v>161.40519674999999</v>
          </cell>
          <cell r="K941">
            <v>201.75649593749998</v>
          </cell>
          <cell r="L941">
            <v>1</v>
          </cell>
          <cell r="M941">
            <v>212.37525888157893</v>
          </cell>
          <cell r="N941">
            <v>222.99402182565788</v>
          </cell>
          <cell r="O941">
            <v>249.85324574303405</v>
          </cell>
          <cell r="P941">
            <v>274.83857031733748</v>
          </cell>
          <cell r="Q941">
            <v>3</v>
          </cell>
          <cell r="R941">
            <v>312.31655717879255</v>
          </cell>
        </row>
        <row r="942">
          <cell r="A942">
            <v>3559186</v>
          </cell>
          <cell r="D942" t="str">
            <v>OUTLET ASSY,METER,SERV.</v>
          </cell>
          <cell r="F942">
            <v>295.72000000000003</v>
          </cell>
          <cell r="G942">
            <v>399.22200000000004</v>
          </cell>
          <cell r="H942">
            <v>1.1499999999999999</v>
          </cell>
          <cell r="I942">
            <v>459.1053</v>
          </cell>
          <cell r="J942">
            <v>498.12925049999996</v>
          </cell>
          <cell r="K942">
            <v>622.66156312499993</v>
          </cell>
          <cell r="L942">
            <v>1</v>
          </cell>
          <cell r="M942">
            <v>655.43322434210518</v>
          </cell>
          <cell r="N942">
            <v>688.20488555921042</v>
          </cell>
          <cell r="O942">
            <v>771.09791099071197</v>
          </cell>
          <cell r="P942">
            <v>848.2077020897832</v>
          </cell>
          <cell r="Q942">
            <v>3</v>
          </cell>
          <cell r="R942">
            <v>963.87238873838987</v>
          </cell>
        </row>
        <row r="943">
          <cell r="A943">
            <v>8506723</v>
          </cell>
          <cell r="C943" t="str">
            <v>BM</v>
          </cell>
          <cell r="D943" t="str">
            <v>KIT,GASKET,W/O VALVE,PK OF 10</v>
          </cell>
          <cell r="E943">
            <v>10</v>
          </cell>
          <cell r="F943">
            <v>192.87</v>
          </cell>
          <cell r="G943">
            <v>260.37450000000001</v>
          </cell>
          <cell r="H943">
            <v>1.1499999999999999</v>
          </cell>
          <cell r="I943">
            <v>299.43067500000001</v>
          </cell>
          <cell r="J943">
            <v>324.88228237499999</v>
          </cell>
          <cell r="K943">
            <v>406.10285296874997</v>
          </cell>
          <cell r="L943">
            <v>1</v>
          </cell>
          <cell r="M943">
            <v>427.47668733552632</v>
          </cell>
          <cell r="N943">
            <v>448.85052170230267</v>
          </cell>
          <cell r="O943">
            <v>502.91374980650158</v>
          </cell>
          <cell r="P943">
            <v>553.20512478715182</v>
          </cell>
          <cell r="Q943">
            <v>3</v>
          </cell>
          <cell r="R943">
            <v>628.64218725812691</v>
          </cell>
        </row>
        <row r="944">
          <cell r="A944">
            <v>1997529</v>
          </cell>
          <cell r="C944" t="str">
            <v>BM</v>
          </cell>
          <cell r="D944" t="str">
            <v>CABLE, 2-COND,20GA,328FT</v>
          </cell>
          <cell r="E944">
            <v>1</v>
          </cell>
          <cell r="F944">
            <v>269.75</v>
          </cell>
          <cell r="G944">
            <v>364.16250000000002</v>
          </cell>
          <cell r="H944">
            <v>1.1499999999999999</v>
          </cell>
          <cell r="I944">
            <v>418.78687500000001</v>
          </cell>
          <cell r="J944">
            <v>454.38375937500001</v>
          </cell>
          <cell r="K944">
            <v>567.97969921874994</v>
          </cell>
          <cell r="L944">
            <v>1</v>
          </cell>
          <cell r="M944">
            <v>597.87336759868413</v>
          </cell>
          <cell r="N944">
            <v>627.76703597861831</v>
          </cell>
          <cell r="O944">
            <v>703.38043246904022</v>
          </cell>
          <cell r="P944">
            <v>773.71847571594435</v>
          </cell>
          <cell r="Q944">
            <v>3</v>
          </cell>
          <cell r="R944">
            <v>879.22554058630021</v>
          </cell>
        </row>
        <row r="945">
          <cell r="A945">
            <v>8510669</v>
          </cell>
          <cell r="D945" t="str">
            <v>VALVE ASSY,PUSHBUTTON,3-WAY</v>
          </cell>
          <cell r="F945">
            <v>45.85</v>
          </cell>
          <cell r="G945">
            <v>61.897500000000008</v>
          </cell>
          <cell r="H945">
            <v>1.1499999999999999</v>
          </cell>
          <cell r="I945">
            <v>71.182124999999999</v>
          </cell>
          <cell r="J945">
            <v>77.232605624999991</v>
          </cell>
          <cell r="K945">
            <v>96.540757031249981</v>
          </cell>
          <cell r="L945">
            <v>1</v>
          </cell>
          <cell r="M945">
            <v>101.62184950657893</v>
          </cell>
          <cell r="N945">
            <v>106.70294198190787</v>
          </cell>
          <cell r="O945">
            <v>119.55511706656344</v>
          </cell>
          <cell r="P945">
            <v>131.51062877321979</v>
          </cell>
          <cell r="Q945">
            <v>3</v>
          </cell>
          <cell r="R945">
            <v>149.44389633320429</v>
          </cell>
        </row>
        <row r="946">
          <cell r="A946">
            <v>8512200</v>
          </cell>
          <cell r="C946" t="str">
            <v>BM</v>
          </cell>
          <cell r="D946" t="str">
            <v>TUBE,SS,.624 X .065 X 3.03,SPL</v>
          </cell>
          <cell r="E946">
            <v>1</v>
          </cell>
          <cell r="F946">
            <v>139.69</v>
          </cell>
          <cell r="G946">
            <v>188.58150000000001</v>
          </cell>
          <cell r="H946">
            <v>1.1499999999999999</v>
          </cell>
          <cell r="I946">
            <v>216.86872499999998</v>
          </cell>
          <cell r="J946">
            <v>235.30256662499997</v>
          </cell>
          <cell r="K946">
            <v>294.12820828124995</v>
          </cell>
          <cell r="L946">
            <v>1</v>
          </cell>
          <cell r="M946">
            <v>309.60864029605261</v>
          </cell>
          <cell r="N946">
            <v>325.08907231085527</v>
          </cell>
          <cell r="O946">
            <v>364.24545917182661</v>
          </cell>
          <cell r="P946">
            <v>400.67000508900929</v>
          </cell>
          <cell r="Q946">
            <v>3</v>
          </cell>
          <cell r="R946">
            <v>455.30682396478323</v>
          </cell>
        </row>
        <row r="947">
          <cell r="A947">
            <v>3557246</v>
          </cell>
          <cell r="C947" t="str">
            <v>BM</v>
          </cell>
          <cell r="D947" t="str">
            <v>POWER SUPPLY ASSY,24VDC,2.7A</v>
          </cell>
          <cell r="E947">
            <v>1</v>
          </cell>
          <cell r="F947">
            <v>191.35</v>
          </cell>
          <cell r="G947">
            <v>258.32249999999999</v>
          </cell>
          <cell r="H947">
            <v>1.1499999999999999</v>
          </cell>
          <cell r="I947">
            <v>297.07087499999994</v>
          </cell>
          <cell r="J947">
            <v>322.32189937499993</v>
          </cell>
          <cell r="K947">
            <v>402.90237421874991</v>
          </cell>
          <cell r="L947">
            <v>2</v>
          </cell>
          <cell r="M947">
            <v>447.6693046874999</v>
          </cell>
          <cell r="N947">
            <v>470.05276992187493</v>
          </cell>
          <cell r="O947">
            <v>526.66977022058813</v>
          </cell>
          <cell r="P947">
            <v>579.33674724264699</v>
          </cell>
          <cell r="Q947">
            <v>3</v>
          </cell>
          <cell r="R947">
            <v>658.33721277573511</v>
          </cell>
        </row>
        <row r="948">
          <cell r="A948">
            <v>8512926</v>
          </cell>
          <cell r="D948" t="str">
            <v>PLUG,WASH,PLSTC,2.50,LG</v>
          </cell>
          <cell r="F948">
            <v>177.29</v>
          </cell>
          <cell r="G948">
            <v>239.3415</v>
          </cell>
          <cell r="H948">
            <v>1.1499999999999999</v>
          </cell>
          <cell r="I948">
            <v>275.24272499999995</v>
          </cell>
          <cell r="J948">
            <v>298.63835662499991</v>
          </cell>
          <cell r="K948">
            <v>373.29794578124989</v>
          </cell>
          <cell r="L948">
            <v>2</v>
          </cell>
          <cell r="M948">
            <v>414.77549531249986</v>
          </cell>
          <cell r="N948">
            <v>435.51427007812487</v>
          </cell>
          <cell r="O948">
            <v>487.9711709558822</v>
          </cell>
          <cell r="P948">
            <v>536.76828805147045</v>
          </cell>
          <cell r="Q948">
            <v>3</v>
          </cell>
          <cell r="R948">
            <v>609.96396369485274</v>
          </cell>
        </row>
        <row r="949">
          <cell r="A949">
            <v>3556251</v>
          </cell>
          <cell r="C949" t="str">
            <v>BM</v>
          </cell>
          <cell r="D949" t="str">
            <v>HOSE,NYL,NAT,5/32 ODX500FT</v>
          </cell>
          <cell r="E949">
            <v>1</v>
          </cell>
          <cell r="F949">
            <v>108.82</v>
          </cell>
          <cell r="G949">
            <v>146.90700000000001</v>
          </cell>
          <cell r="H949">
            <v>1.1499999999999999</v>
          </cell>
          <cell r="I949">
            <v>168.94305</v>
          </cell>
          <cell r="J949">
            <v>183.30320924999998</v>
          </cell>
          <cell r="K949">
            <v>229.12901156249995</v>
          </cell>
          <cell r="L949">
            <v>1</v>
          </cell>
          <cell r="M949">
            <v>241.18843322368417</v>
          </cell>
          <cell r="N949">
            <v>253.24785488486839</v>
          </cell>
          <cell r="O949">
            <v>283.75109791021669</v>
          </cell>
          <cell r="P949">
            <v>312.1262077012384</v>
          </cell>
          <cell r="Q949">
            <v>3</v>
          </cell>
          <cell r="R949">
            <v>354.68887238777086</v>
          </cell>
        </row>
        <row r="950">
          <cell r="A950">
            <v>8510211</v>
          </cell>
          <cell r="C950" t="str">
            <v>BM</v>
          </cell>
          <cell r="D950" t="str">
            <v>Soporte L con abrazadera inox(L-BRACKET ASSY)</v>
          </cell>
          <cell r="E950">
            <v>1</v>
          </cell>
          <cell r="F950">
            <v>22.62</v>
          </cell>
          <cell r="G950">
            <v>30.537000000000003</v>
          </cell>
          <cell r="H950">
            <v>1.1499999999999999</v>
          </cell>
          <cell r="I950">
            <v>35.117550000000001</v>
          </cell>
          <cell r="J950">
            <v>38.10254175</v>
          </cell>
          <cell r="K950">
            <v>47.6281771875</v>
          </cell>
          <cell r="L950">
            <v>3</v>
          </cell>
          <cell r="M950">
            <v>56.033149632352945</v>
          </cell>
          <cell r="N950">
            <v>58.834807113970598</v>
          </cell>
          <cell r="O950">
            <v>65.921352508650529</v>
          </cell>
          <cell r="P950">
            <v>72.513487759515584</v>
          </cell>
          <cell r="Q950">
            <v>3</v>
          </cell>
          <cell r="R950">
            <v>82.401690635813154</v>
          </cell>
        </row>
        <row r="951">
          <cell r="A951">
            <v>8506724</v>
          </cell>
          <cell r="C951" t="str">
            <v>BM</v>
          </cell>
          <cell r="D951" t="str">
            <v>KIT,GASKET,W/VALVE,PK OF 10</v>
          </cell>
          <cell r="E951">
            <v>10</v>
          </cell>
          <cell r="F951">
            <v>233.69</v>
          </cell>
          <cell r="G951">
            <v>315.48150000000004</v>
          </cell>
          <cell r="H951">
            <v>1.1499999999999999</v>
          </cell>
          <cell r="I951">
            <v>362.80372500000004</v>
          </cell>
          <cell r="J951">
            <v>393.64204162500005</v>
          </cell>
          <cell r="K951">
            <v>492.05255203125006</v>
          </cell>
          <cell r="L951">
            <v>1</v>
          </cell>
          <cell r="M951">
            <v>517.95005476973688</v>
          </cell>
          <cell r="N951">
            <v>543.84755750822376</v>
          </cell>
          <cell r="O951">
            <v>609.35300561145516</v>
          </cell>
          <cell r="P951">
            <v>670.28830617260076</v>
          </cell>
          <cell r="Q951">
            <v>3</v>
          </cell>
          <cell r="R951">
            <v>761.69125701431892</v>
          </cell>
        </row>
        <row r="952">
          <cell r="A952">
            <v>8502127</v>
          </cell>
          <cell r="C952" t="str">
            <v>BM</v>
          </cell>
          <cell r="D952" t="str">
            <v>TRANSDUCER ASSY</v>
          </cell>
          <cell r="E952">
            <v>1</v>
          </cell>
          <cell r="F952">
            <v>766.81</v>
          </cell>
          <cell r="G952">
            <v>1035.1935000000001</v>
          </cell>
          <cell r="H952">
            <v>1.1499999999999999</v>
          </cell>
          <cell r="I952">
            <v>1190.4725249999999</v>
          </cell>
          <cell r="J952">
            <v>1291.6626896249998</v>
          </cell>
          <cell r="K952">
            <v>1614.5783620312495</v>
          </cell>
          <cell r="L952">
            <v>1</v>
          </cell>
          <cell r="M952">
            <v>1699.5561705592102</v>
          </cell>
          <cell r="N952">
            <v>1784.5339790871708</v>
          </cell>
          <cell r="O952">
            <v>1999.4778477167179</v>
          </cell>
          <cell r="P952">
            <v>2199.42563248839</v>
          </cell>
          <cell r="Q952">
            <v>3</v>
          </cell>
          <cell r="R952">
            <v>2499.347309645897</v>
          </cell>
        </row>
        <row r="953">
          <cell r="A953">
            <v>3557391</v>
          </cell>
          <cell r="C953" t="str">
            <v>BM</v>
          </cell>
          <cell r="D953" t="str">
            <v>FILTER-FILTER-REGULATOR</v>
          </cell>
          <cell r="E953">
            <v>1</v>
          </cell>
          <cell r="F953">
            <v>494.14</v>
          </cell>
          <cell r="G953">
            <v>667.08900000000006</v>
          </cell>
          <cell r="H953">
            <v>1.1499999999999999</v>
          </cell>
          <cell r="I953">
            <v>767.15234999999996</v>
          </cell>
          <cell r="J953">
            <v>832.36029974999997</v>
          </cell>
          <cell r="K953">
            <v>1040.4503746874998</v>
          </cell>
          <cell r="L953">
            <v>1</v>
          </cell>
          <cell r="M953">
            <v>1095.210920723684</v>
          </cell>
          <cell r="N953">
            <v>1149.9714667598682</v>
          </cell>
          <cell r="O953">
            <v>1288.4834361455107</v>
          </cell>
          <cell r="P953">
            <v>1417.3317797600619</v>
          </cell>
          <cell r="Q953">
            <v>3</v>
          </cell>
          <cell r="R953">
            <v>1610.6042951818883</v>
          </cell>
        </row>
        <row r="954">
          <cell r="A954">
            <v>4020738</v>
          </cell>
          <cell r="C954" t="str">
            <v>BM</v>
          </cell>
          <cell r="D954" t="str">
            <v>VALVE ASSY,EXPANSION,5 TON</v>
          </cell>
          <cell r="E954">
            <v>1</v>
          </cell>
          <cell r="F954">
            <v>324.02999999999997</v>
          </cell>
          <cell r="G954">
            <v>437.44049999999999</v>
          </cell>
          <cell r="H954">
            <v>1.1499999999999999</v>
          </cell>
          <cell r="I954">
            <v>503.05657499999995</v>
          </cell>
          <cell r="J954">
            <v>513.11770649999994</v>
          </cell>
          <cell r="K954">
            <v>603.66788999999994</v>
          </cell>
          <cell r="L954">
            <v>1</v>
          </cell>
          <cell r="M954">
            <v>635.43988421052632</v>
          </cell>
          <cell r="N954">
            <v>667.21187842105269</v>
          </cell>
          <cell r="O954">
            <v>747.57633436532512</v>
          </cell>
          <cell r="P954">
            <v>822.33396780185774</v>
          </cell>
          <cell r="Q954">
            <v>1</v>
          </cell>
          <cell r="R954">
            <v>830.64037151702792</v>
          </cell>
        </row>
        <row r="955">
          <cell r="A955">
            <v>8584199</v>
          </cell>
          <cell r="C955" t="str">
            <v>bm</v>
          </cell>
          <cell r="D955" t="str">
            <v>Kit 5000 (Filtros, diafragmas)</v>
          </cell>
          <cell r="E955">
            <v>1</v>
          </cell>
          <cell r="F955">
            <v>148.26</v>
          </cell>
          <cell r="G955">
            <v>200.15100000000001</v>
          </cell>
          <cell r="H955">
            <v>1.1499999999999999</v>
          </cell>
          <cell r="I955">
            <v>230.17364999999998</v>
          </cell>
          <cell r="J955">
            <v>249.73841024999996</v>
          </cell>
          <cell r="K955">
            <v>312.17301281249991</v>
          </cell>
          <cell r="L955">
            <v>2</v>
          </cell>
          <cell r="M955">
            <v>346.85890312499987</v>
          </cell>
          <cell r="N955">
            <v>364.20184828124985</v>
          </cell>
          <cell r="O955">
            <v>408.06929779411752</v>
          </cell>
          <cell r="P955">
            <v>448.87622757352932</v>
          </cell>
          <cell r="Q955">
            <v>3</v>
          </cell>
          <cell r="R955">
            <v>510.08662224264685</v>
          </cell>
        </row>
        <row r="956">
          <cell r="A956">
            <v>8587717</v>
          </cell>
          <cell r="D956" t="str">
            <v>ROPE,DYNEEMA,1/8"X100'</v>
          </cell>
          <cell r="F956">
            <v>114.94</v>
          </cell>
          <cell r="G956">
            <v>155.16900000000001</v>
          </cell>
          <cell r="H956">
            <v>1.1499999999999999</v>
          </cell>
          <cell r="I956">
            <v>178.44434999999999</v>
          </cell>
          <cell r="J956">
            <v>193.61211974999998</v>
          </cell>
          <cell r="K956">
            <v>242.01514968749996</v>
          </cell>
          <cell r="L956">
            <v>2</v>
          </cell>
          <cell r="M956">
            <v>268.90572187499993</v>
          </cell>
          <cell r="N956">
            <v>282.35100796874991</v>
          </cell>
          <cell r="O956">
            <v>316.35967279411756</v>
          </cell>
          <cell r="P956">
            <v>347.99564007352933</v>
          </cell>
          <cell r="Q956">
            <v>3</v>
          </cell>
          <cell r="R956">
            <v>395.4495909926469</v>
          </cell>
        </row>
        <row r="957">
          <cell r="A957">
            <v>3558009</v>
          </cell>
          <cell r="D957" t="str">
            <v>LED INDICATOR ASSY,YELLOW, 4"</v>
          </cell>
          <cell r="E957" t="str">
            <v>1</v>
          </cell>
          <cell r="F957">
            <v>19.87</v>
          </cell>
          <cell r="G957">
            <v>26.824500000000004</v>
          </cell>
          <cell r="H957">
            <v>1.1499999999999999</v>
          </cell>
          <cell r="I957">
            <v>30.848175000000001</v>
          </cell>
          <cell r="J957">
            <v>33.470269875</v>
          </cell>
          <cell r="K957">
            <v>41.837837343749996</v>
          </cell>
          <cell r="L957">
            <v>1</v>
          </cell>
          <cell r="M957">
            <v>44.039828782894737</v>
          </cell>
          <cell r="N957">
            <v>46.241820222039479</v>
          </cell>
          <cell r="O957">
            <v>51.811563273993812</v>
          </cell>
          <cell r="P957">
            <v>56.992719601393198</v>
          </cell>
          <cell r="Q957">
            <v>3</v>
          </cell>
          <cell r="R957">
            <v>64.764454092492258</v>
          </cell>
        </row>
        <row r="958">
          <cell r="A958">
            <v>8590473</v>
          </cell>
          <cell r="C958" t="str">
            <v>BM</v>
          </cell>
          <cell r="D958" t="str">
            <v>Tapa plastica recibidor con 2 agujeros (LID,PLEXIGLASS,RCVR,2 HOLE)</v>
          </cell>
          <cell r="E958">
            <v>1</v>
          </cell>
          <cell r="F958">
            <v>64.959999999999994</v>
          </cell>
          <cell r="G958">
            <v>87.695999999999998</v>
          </cell>
          <cell r="H958">
            <v>1.1499999999999999</v>
          </cell>
          <cell r="I958">
            <v>100.85039999999999</v>
          </cell>
          <cell r="J958">
            <v>109.42268399999999</v>
          </cell>
          <cell r="K958">
            <v>136.77835499999998</v>
          </cell>
          <cell r="L958">
            <v>1</v>
          </cell>
          <cell r="M958">
            <v>143.97721578947366</v>
          </cell>
          <cell r="N958">
            <v>151.17607657894735</v>
          </cell>
          <cell r="O958">
            <v>169.38495975232195</v>
          </cell>
          <cell r="P958">
            <v>186.32345572755415</v>
          </cell>
          <cell r="Q958">
            <v>3</v>
          </cell>
          <cell r="R958">
            <v>211.73119969040243</v>
          </cell>
        </row>
        <row r="959">
          <cell r="A959">
            <v>8509313</v>
          </cell>
          <cell r="C959" t="str">
            <v>BM</v>
          </cell>
          <cell r="D959" t="str">
            <v>KNOCKOUT PUNCH,PG36</v>
          </cell>
          <cell r="E959">
            <v>1</v>
          </cell>
          <cell r="F959">
            <v>281.85000000000002</v>
          </cell>
          <cell r="G959">
            <v>380.49750000000006</v>
          </cell>
          <cell r="H959">
            <v>1.1499999999999999</v>
          </cell>
          <cell r="I959">
            <v>437.57212500000003</v>
          </cell>
          <cell r="J959">
            <v>474.765755625</v>
          </cell>
          <cell r="K959">
            <v>593.45719453124991</v>
          </cell>
          <cell r="L959">
            <v>1</v>
          </cell>
          <cell r="M959">
            <v>624.69178371710518</v>
          </cell>
          <cell r="N959">
            <v>655.92637290296045</v>
          </cell>
          <cell r="O959">
            <v>734.93151025541783</v>
          </cell>
          <cell r="P959">
            <v>808.42466128095964</v>
          </cell>
          <cell r="Q959">
            <v>3</v>
          </cell>
          <cell r="R959">
            <v>918.66438781927229</v>
          </cell>
        </row>
        <row r="960">
          <cell r="A960">
            <v>3554142</v>
          </cell>
          <cell r="C960" t="str">
            <v>BM</v>
          </cell>
          <cell r="D960" t="str">
            <v>POWER SUPPLY,12 UNIT</v>
          </cell>
          <cell r="E960">
            <v>1</v>
          </cell>
          <cell r="F960">
            <v>896.3</v>
          </cell>
          <cell r="G960">
            <v>1210.0050000000001</v>
          </cell>
          <cell r="H960">
            <v>1.1499999999999999</v>
          </cell>
          <cell r="I960">
            <v>1391.50575</v>
          </cell>
          <cell r="J960">
            <v>1509.7837387499999</v>
          </cell>
          <cell r="K960">
            <v>1887.2296734374997</v>
          </cell>
          <cell r="L960">
            <v>1</v>
          </cell>
          <cell r="M960">
            <v>1986.557550986842</v>
          </cell>
          <cell r="N960">
            <v>2085.885428536184</v>
          </cell>
          <cell r="O960">
            <v>2337.1265305727552</v>
          </cell>
          <cell r="P960">
            <v>2570.8391836300311</v>
          </cell>
          <cell r="Q960">
            <v>3</v>
          </cell>
          <cell r="R960">
            <v>2921.4081632159437</v>
          </cell>
        </row>
        <row r="961">
          <cell r="A961">
            <v>8583066</v>
          </cell>
          <cell r="C961" t="str">
            <v>BM</v>
          </cell>
          <cell r="D961" t="str">
            <v>WASHER,GUARDIAN SUPREME,230V</v>
          </cell>
          <cell r="E961">
            <v>1</v>
          </cell>
          <cell r="F961">
            <v>2469.61</v>
          </cell>
          <cell r="G961">
            <v>3333.9735000000005</v>
          </cell>
          <cell r="H961">
            <v>1.1499999999999999</v>
          </cell>
          <cell r="I961">
            <v>3834.0695250000003</v>
          </cell>
          <cell r="J961">
            <v>4159.9654346249999</v>
          </cell>
          <cell r="K961">
            <v>5199.9567932812497</v>
          </cell>
          <cell r="L961">
            <v>1</v>
          </cell>
          <cell r="M961">
            <v>5473.6387297697365</v>
          </cell>
          <cell r="N961">
            <v>5747.3206662582234</v>
          </cell>
          <cell r="O961">
            <v>6439.5749761996904</v>
          </cell>
          <cell r="P961">
            <v>7083.5324738196596</v>
          </cell>
          <cell r="Q961">
            <v>3</v>
          </cell>
          <cell r="R961">
            <v>8049.4687202496125</v>
          </cell>
        </row>
        <row r="962">
          <cell r="A962">
            <v>3554066</v>
          </cell>
          <cell r="D962" t="str">
            <v>VALVE,SOL,N/C,1/8 NPT,24 DC</v>
          </cell>
          <cell r="F962">
            <v>68.63</v>
          </cell>
          <cell r="G962">
            <v>92.650499999999994</v>
          </cell>
          <cell r="H962">
            <v>1.1499999999999999</v>
          </cell>
          <cell r="I962">
            <v>106.54807499999998</v>
          </cell>
          <cell r="J962">
            <v>115.60466137499998</v>
          </cell>
          <cell r="K962">
            <v>144.50582671874997</v>
          </cell>
          <cell r="L962">
            <v>1</v>
          </cell>
          <cell r="M962">
            <v>152.11139654605262</v>
          </cell>
          <cell r="N962">
            <v>159.71696637335526</v>
          </cell>
          <cell r="O962">
            <v>178.95458417182661</v>
          </cell>
          <cell r="P962">
            <v>196.85004258900929</v>
          </cell>
          <cell r="Q962">
            <v>3</v>
          </cell>
          <cell r="R962">
            <v>223.69323021478326</v>
          </cell>
        </row>
        <row r="963">
          <cell r="A963">
            <v>5100355</v>
          </cell>
          <cell r="D963" t="str">
            <v>VANE SET,MASPORT,M5,4/PK</v>
          </cell>
          <cell r="F963">
            <v>288.43</v>
          </cell>
          <cell r="G963">
            <v>389.38050000000004</v>
          </cell>
          <cell r="H963">
            <v>1.1499999999999999</v>
          </cell>
          <cell r="I963">
            <v>447.787575</v>
          </cell>
          <cell r="J963">
            <v>485.849518875</v>
          </cell>
          <cell r="K963">
            <v>607.31189859375002</v>
          </cell>
          <cell r="L963">
            <v>2</v>
          </cell>
          <cell r="M963">
            <v>674.79099843749998</v>
          </cell>
          <cell r="N963">
            <v>708.53054835937496</v>
          </cell>
          <cell r="O963">
            <v>793.87176286764702</v>
          </cell>
          <cell r="P963">
            <v>873.25893915441179</v>
          </cell>
          <cell r="Q963">
            <v>3</v>
          </cell>
          <cell r="R963">
            <v>992.33970358455872</v>
          </cell>
        </row>
        <row r="964">
          <cell r="A964">
            <v>8504002</v>
          </cell>
          <cell r="C964" t="str">
            <v>BM</v>
          </cell>
          <cell r="D964" t="str">
            <v>Adaptador injector de aire(ADAPTER,MOUNTING,AIR INJECTOR)</v>
          </cell>
          <cell r="E964">
            <v>1</v>
          </cell>
          <cell r="F964">
            <v>140.93</v>
          </cell>
          <cell r="G964">
            <v>190.25550000000001</v>
          </cell>
          <cell r="H964">
            <v>1.1499999999999999</v>
          </cell>
          <cell r="I964">
            <v>218.793825</v>
          </cell>
          <cell r="J964">
            <v>237.39130012499999</v>
          </cell>
          <cell r="K964">
            <v>296.73912515624994</v>
          </cell>
          <cell r="L964">
            <v>1</v>
          </cell>
          <cell r="M964">
            <v>312.35697384868416</v>
          </cell>
          <cell r="N964">
            <v>327.97482254111839</v>
          </cell>
          <cell r="O964">
            <v>367.47879276315786</v>
          </cell>
          <cell r="P964">
            <v>404.22667203947367</v>
          </cell>
          <cell r="Q964">
            <v>3</v>
          </cell>
          <cell r="R964">
            <v>459.34849095394731</v>
          </cell>
        </row>
        <row r="965">
          <cell r="A965">
            <v>8591560</v>
          </cell>
          <cell r="D965" t="str">
            <v>VALVE,CONTROL,SMARTLITE,2X NO</v>
          </cell>
          <cell r="F965">
            <v>265.66000000000003</v>
          </cell>
          <cell r="G965">
            <v>358.64100000000008</v>
          </cell>
          <cell r="H965">
            <v>1</v>
          </cell>
          <cell r="I965">
            <v>358.64100000000008</v>
          </cell>
          <cell r="J965">
            <v>358.64100000000008</v>
          </cell>
          <cell r="K965">
            <v>448.3012500000001</v>
          </cell>
          <cell r="L965">
            <v>1</v>
          </cell>
          <cell r="M965">
            <v>471.8960526315791</v>
          </cell>
          <cell r="N965">
            <v>495.4908552631581</v>
          </cell>
          <cell r="O965">
            <v>555.17182662538721</v>
          </cell>
          <cell r="P965">
            <v>610.68900928792596</v>
          </cell>
          <cell r="Q965">
            <v>3</v>
          </cell>
          <cell r="R965">
            <v>693.96478328173396</v>
          </cell>
        </row>
        <row r="966">
          <cell r="A966">
            <v>8507720</v>
          </cell>
          <cell r="D966" t="str">
            <v>PUMP,CHEMICAL,GUARDIAN</v>
          </cell>
          <cell r="F966">
            <v>255.88</v>
          </cell>
          <cell r="G966">
            <v>345.43799999999999</v>
          </cell>
          <cell r="H966">
            <v>1.1499999999999999</v>
          </cell>
          <cell r="I966">
            <v>397.25369999999998</v>
          </cell>
          <cell r="J966">
            <v>431.02026449999994</v>
          </cell>
          <cell r="K966">
            <v>538.77533062499992</v>
          </cell>
          <cell r="L966">
            <v>1</v>
          </cell>
          <cell r="M966">
            <v>567.13192697368413</v>
          </cell>
          <cell r="N966">
            <v>595.48852332236834</v>
          </cell>
          <cell r="O966">
            <v>667.21403173374608</v>
          </cell>
          <cell r="P966">
            <v>733.93543490712079</v>
          </cell>
          <cell r="Q966">
            <v>3</v>
          </cell>
          <cell r="R966">
            <v>834.01753966718252</v>
          </cell>
        </row>
        <row r="967">
          <cell r="A967">
            <v>8507139</v>
          </cell>
          <cell r="C967" t="str">
            <v>BM</v>
          </cell>
          <cell r="D967" t="str">
            <v>Trampa con filtro inox, para bomba a lobulos (Bou-matic- Vac. Filter)</v>
          </cell>
          <cell r="E967">
            <v>1</v>
          </cell>
          <cell r="F967">
            <v>706.2</v>
          </cell>
          <cell r="G967">
            <v>953.37000000000012</v>
          </cell>
          <cell r="H967">
            <v>1</v>
          </cell>
          <cell r="I967">
            <v>953.37000000000012</v>
          </cell>
          <cell r="J967">
            <v>1034.4064500000002</v>
          </cell>
          <cell r="K967">
            <v>1293.0080625000001</v>
          </cell>
          <cell r="L967">
            <v>1</v>
          </cell>
          <cell r="M967">
            <v>1361.0611184210527</v>
          </cell>
          <cell r="N967">
            <v>1429.1141743421053</v>
          </cell>
          <cell r="O967">
            <v>1429.1141743421053</v>
          </cell>
          <cell r="P967">
            <v>1572.0255917763161</v>
          </cell>
          <cell r="Q967">
            <v>3</v>
          </cell>
          <cell r="R967">
            <v>1786.3927179276316</v>
          </cell>
        </row>
        <row r="968">
          <cell r="A968">
            <v>8507236</v>
          </cell>
          <cell r="D968" t="str">
            <v>BUSHING,NYLON,1.25X.50X.88 LG</v>
          </cell>
          <cell r="F968">
            <v>26.75</v>
          </cell>
          <cell r="G968">
            <v>36.112500000000004</v>
          </cell>
          <cell r="H968">
            <v>1.1499999999999999</v>
          </cell>
          <cell r="I968">
            <v>41.529375000000002</v>
          </cell>
          <cell r="J968">
            <v>45.059371875000004</v>
          </cell>
          <cell r="K968">
            <v>56.324214843749999</v>
          </cell>
          <cell r="L968">
            <v>1</v>
          </cell>
          <cell r="M968">
            <v>59.28864720394737</v>
          </cell>
          <cell r="N968">
            <v>62.253079564144741</v>
          </cell>
          <cell r="O968">
            <v>69.751349651702796</v>
          </cell>
          <cell r="P968">
            <v>76.72648461687308</v>
          </cell>
          <cell r="Q968">
            <v>3</v>
          </cell>
          <cell r="R968">
            <v>87.189187064628484</v>
          </cell>
        </row>
        <row r="969">
          <cell r="A969">
            <v>8518782</v>
          </cell>
          <cell r="D969" t="str">
            <v>GASKET,LID,10</v>
          </cell>
          <cell r="F969">
            <v>20.329999999999998</v>
          </cell>
          <cell r="G969">
            <v>27.445499999999999</v>
          </cell>
          <cell r="H969">
            <v>1.1499999999999999</v>
          </cell>
          <cell r="I969">
            <v>31.562324999999998</v>
          </cell>
          <cell r="J969">
            <v>34.245122624999993</v>
          </cell>
          <cell r="K969">
            <v>42.806403281249992</v>
          </cell>
          <cell r="L969">
            <v>1</v>
          </cell>
          <cell r="M969">
            <v>45.059371874999997</v>
          </cell>
          <cell r="N969">
            <v>47.312340468750001</v>
          </cell>
          <cell r="O969">
            <v>53.011025735294112</v>
          </cell>
          <cell r="P969">
            <v>58.312128308823524</v>
          </cell>
          <cell r="Q969">
            <v>3</v>
          </cell>
          <cell r="R969">
            <v>66.263782169117633</v>
          </cell>
        </row>
        <row r="970">
          <cell r="A970">
            <v>1997548</v>
          </cell>
          <cell r="C970" t="str">
            <v>BM</v>
          </cell>
          <cell r="D970" t="str">
            <v>CABLE,4-COND,22GA,WYGBRN,328ft</v>
          </cell>
          <cell r="E970">
            <v>1</v>
          </cell>
          <cell r="F970">
            <v>537.6</v>
          </cell>
          <cell r="G970">
            <v>725.7600000000001</v>
          </cell>
          <cell r="H970">
            <v>1.1499999999999999</v>
          </cell>
          <cell r="I970">
            <v>834.62400000000002</v>
          </cell>
          <cell r="J970">
            <v>905.56704000000002</v>
          </cell>
          <cell r="K970">
            <v>1131.9587999999999</v>
          </cell>
          <cell r="L970">
            <v>1</v>
          </cell>
          <cell r="M970">
            <v>1191.5355789473683</v>
          </cell>
          <cell r="N970">
            <v>1251.1123578947368</v>
          </cell>
          <cell r="O970">
            <v>1401.8065634674922</v>
          </cell>
          <cell r="P970">
            <v>1541.9872198142416</v>
          </cell>
          <cell r="Q970">
            <v>3</v>
          </cell>
          <cell r="R970">
            <v>1752.2582043343652</v>
          </cell>
        </row>
        <row r="971">
          <cell r="A971">
            <v>4020732</v>
          </cell>
          <cell r="D971" t="str">
            <v>GEARMOTOR,AGIT,NORD,220V,50HZ</v>
          </cell>
          <cell r="F971">
            <v>941.15</v>
          </cell>
          <cell r="G971">
            <v>1270.5525</v>
          </cell>
          <cell r="H971">
            <v>1.1499999999999999</v>
          </cell>
          <cell r="I971">
            <v>1461.1353749999998</v>
          </cell>
          <cell r="J971">
            <v>1585.3318818749997</v>
          </cell>
          <cell r="K971">
            <v>1981.6648523437495</v>
          </cell>
          <cell r="L971">
            <v>2</v>
          </cell>
          <cell r="M971">
            <v>2201.8498359374994</v>
          </cell>
          <cell r="N971">
            <v>2311.9423277343744</v>
          </cell>
          <cell r="O971">
            <v>2590.4115716911761</v>
          </cell>
          <cell r="P971">
            <v>2849.452728860294</v>
          </cell>
          <cell r="Q971">
            <v>3</v>
          </cell>
          <cell r="R971">
            <v>3238.0144646139697</v>
          </cell>
        </row>
        <row r="972">
          <cell r="A972">
            <v>4029966</v>
          </cell>
          <cell r="D972" t="str">
            <v>VALVE,EEV,7.5 TO 20HP,CAREL</v>
          </cell>
          <cell r="F972">
            <v>351.27</v>
          </cell>
          <cell r="G972">
            <v>474.21449999999999</v>
          </cell>
          <cell r="H972">
            <v>1.1499999999999999</v>
          </cell>
          <cell r="I972">
            <v>545.34667499999989</v>
          </cell>
          <cell r="J972">
            <v>591.7011423749999</v>
          </cell>
          <cell r="K972">
            <v>739.62642796874979</v>
          </cell>
          <cell r="L972">
            <v>1</v>
          </cell>
          <cell r="M972">
            <v>778.55413470394717</v>
          </cell>
          <cell r="N972">
            <v>817.48184143914455</v>
          </cell>
          <cell r="O972">
            <v>915.94604082817318</v>
          </cell>
          <cell r="P972">
            <v>1007.5406449109906</v>
          </cell>
          <cell r="Q972">
            <v>3</v>
          </cell>
          <cell r="R972">
            <v>1144.9325510352164</v>
          </cell>
        </row>
        <row r="973">
          <cell r="A973">
            <v>8513986</v>
          </cell>
          <cell r="C973" t="str">
            <v>BM</v>
          </cell>
          <cell r="D973" t="str">
            <v>PWB ASSY,AIR INJ.TIMER</v>
          </cell>
          <cell r="E973">
            <v>1</v>
          </cell>
          <cell r="F973">
            <v>211.71</v>
          </cell>
          <cell r="G973">
            <v>285.80850000000004</v>
          </cell>
          <cell r="H973">
            <v>1.1499999999999999</v>
          </cell>
          <cell r="I973">
            <v>328.67977500000001</v>
          </cell>
          <cell r="J973">
            <v>356.61755587499999</v>
          </cell>
          <cell r="K973">
            <v>445.77194484374996</v>
          </cell>
          <cell r="L973">
            <v>1</v>
          </cell>
          <cell r="M973">
            <v>469.23362615131578</v>
          </cell>
          <cell r="N973">
            <v>492.69530745888159</v>
          </cell>
          <cell r="O973">
            <v>552.03956017801852</v>
          </cell>
          <cell r="P973">
            <v>607.24351619582046</v>
          </cell>
          <cell r="Q973">
            <v>3</v>
          </cell>
          <cell r="R973">
            <v>690.04945022252309</v>
          </cell>
        </row>
        <row r="974">
          <cell r="A974">
            <v>3557976</v>
          </cell>
          <cell r="D974" t="str">
            <v>POWER SUPPLY,24VDC,4.0A,DIN</v>
          </cell>
          <cell r="F974">
            <v>310.61</v>
          </cell>
          <cell r="G974">
            <v>419.32350000000002</v>
          </cell>
          <cell r="H974">
            <v>1.1499999999999999</v>
          </cell>
          <cell r="I974">
            <v>482.22202499999997</v>
          </cell>
          <cell r="J974">
            <v>523.21089712499997</v>
          </cell>
          <cell r="K974">
            <v>654.01362140624997</v>
          </cell>
          <cell r="L974">
            <v>1</v>
          </cell>
          <cell r="M974">
            <v>688.43539095394738</v>
          </cell>
          <cell r="N974">
            <v>722.85716050164478</v>
          </cell>
          <cell r="O974">
            <v>809.92398935758513</v>
          </cell>
          <cell r="P974">
            <v>890.91638829334374</v>
          </cell>
          <cell r="Q974">
            <v>3</v>
          </cell>
          <cell r="R974">
            <v>1012.4049866969814</v>
          </cell>
        </row>
        <row r="975">
          <cell r="A975">
            <v>8512923</v>
          </cell>
          <cell r="C975" t="str">
            <v>BM</v>
          </cell>
          <cell r="D975" t="str">
            <v>PLUG,WASH,PLSTC,3.00,PLSTC T</v>
          </cell>
          <cell r="E975">
            <v>1</v>
          </cell>
          <cell r="F975">
            <v>83.92</v>
          </cell>
          <cell r="G975">
            <v>113.29200000000002</v>
          </cell>
          <cell r="H975">
            <v>1.1499999999999999</v>
          </cell>
          <cell r="I975">
            <v>130.28579999999999</v>
          </cell>
          <cell r="J975">
            <v>141.36009299999998</v>
          </cell>
          <cell r="K975">
            <v>176.70011624999995</v>
          </cell>
          <cell r="L975">
            <v>1</v>
          </cell>
          <cell r="M975">
            <v>186.00012236842102</v>
          </cell>
          <cell r="N975">
            <v>195.30012848684208</v>
          </cell>
          <cell r="O975">
            <v>218.82367337461298</v>
          </cell>
          <cell r="P975">
            <v>240.7060407120743</v>
          </cell>
          <cell r="Q975">
            <v>3</v>
          </cell>
          <cell r="R975">
            <v>273.5295917182662</v>
          </cell>
        </row>
        <row r="976">
          <cell r="A976">
            <v>4022871</v>
          </cell>
          <cell r="D976" t="str">
            <v>THERMOSTAT ASSY,W/O CORD</v>
          </cell>
          <cell r="F976">
            <v>287.52999999999997</v>
          </cell>
          <cell r="G976">
            <v>388.16550000000001</v>
          </cell>
          <cell r="H976">
            <v>1.1499999999999999</v>
          </cell>
          <cell r="I976">
            <v>446.39032499999996</v>
          </cell>
          <cell r="J976">
            <v>484.33350262499994</v>
          </cell>
          <cell r="K976">
            <v>605.41687828124986</v>
          </cell>
          <cell r="L976">
            <v>2</v>
          </cell>
          <cell r="M976">
            <v>672.68542031249979</v>
          </cell>
          <cell r="N976">
            <v>706.3196913281248</v>
          </cell>
          <cell r="O976">
            <v>791.39461213235268</v>
          </cell>
          <cell r="P976">
            <v>870.53407334558801</v>
          </cell>
          <cell r="Q976">
            <v>3</v>
          </cell>
          <cell r="R976">
            <v>989.24326516544079</v>
          </cell>
        </row>
        <row r="977">
          <cell r="A977">
            <v>3557107</v>
          </cell>
          <cell r="C977" t="str">
            <v>BM</v>
          </cell>
          <cell r="D977" t="str">
            <v>VALVE ASSY,DUAL,AIR</v>
          </cell>
          <cell r="E977">
            <v>1</v>
          </cell>
          <cell r="F977">
            <v>259.10000000000002</v>
          </cell>
          <cell r="G977">
            <v>349.78500000000008</v>
          </cell>
          <cell r="H977">
            <v>1.1499999999999999</v>
          </cell>
          <cell r="I977">
            <v>402.25275000000005</v>
          </cell>
          <cell r="J977">
            <v>436.44423375000002</v>
          </cell>
          <cell r="K977">
            <v>545.55529218749996</v>
          </cell>
          <cell r="L977">
            <v>1</v>
          </cell>
          <cell r="M977">
            <v>574.26872861842105</v>
          </cell>
          <cell r="N977">
            <v>602.98216504934214</v>
          </cell>
          <cell r="O977">
            <v>675.61026896284829</v>
          </cell>
          <cell r="P977">
            <v>743.17129585913324</v>
          </cell>
          <cell r="Q977">
            <v>3</v>
          </cell>
          <cell r="R977">
            <v>844.51283620356037</v>
          </cell>
        </row>
        <row r="978">
          <cell r="A978">
            <v>3559265</v>
          </cell>
          <cell r="D978" t="str">
            <v>CABLE,2-COND,16GA,500'</v>
          </cell>
          <cell r="F978">
            <v>329.27</v>
          </cell>
          <cell r="G978">
            <v>444.5145</v>
          </cell>
          <cell r="H978">
            <v>1.1499999999999999</v>
          </cell>
          <cell r="I978">
            <v>511.19167499999998</v>
          </cell>
          <cell r="J978">
            <v>554.6429673749999</v>
          </cell>
          <cell r="K978">
            <v>693.30370921874987</v>
          </cell>
          <cell r="L978">
            <v>1</v>
          </cell>
          <cell r="M978">
            <v>729.79337812499989</v>
          </cell>
          <cell r="N978">
            <v>766.28304703124991</v>
          </cell>
          <cell r="O978">
            <v>858.58044485294101</v>
          </cell>
          <cell r="P978">
            <v>944.43848933823517</v>
          </cell>
          <cell r="Q978">
            <v>3</v>
          </cell>
          <cell r="R978">
            <v>1073.2255560661763</v>
          </cell>
        </row>
        <row r="979">
          <cell r="A979">
            <v>4022784</v>
          </cell>
          <cell r="C979" t="str">
            <v>BM</v>
          </cell>
          <cell r="D979" t="str">
            <v>KIT,PUMP MOD,COOLER</v>
          </cell>
          <cell r="E979">
            <v>1</v>
          </cell>
          <cell r="F979">
            <v>2052.52</v>
          </cell>
          <cell r="G979">
            <v>2770.902</v>
          </cell>
          <cell r="H979">
            <v>1.1499999999999999</v>
          </cell>
          <cell r="I979">
            <v>3186.5373</v>
          </cell>
          <cell r="J979">
            <v>3250.2680460000001</v>
          </cell>
          <cell r="K979">
            <v>3823.8447600000004</v>
          </cell>
          <cell r="L979">
            <v>1</v>
          </cell>
          <cell r="M979">
            <v>4025.0997473684215</v>
          </cell>
          <cell r="N979">
            <v>4226.3547347368431</v>
          </cell>
          <cell r="O979">
            <v>4735.4114674922603</v>
          </cell>
          <cell r="P979">
            <v>5208.952614241487</v>
          </cell>
          <cell r="Q979">
            <v>1</v>
          </cell>
          <cell r="R979">
            <v>5261.5682972136228</v>
          </cell>
        </row>
        <row r="980">
          <cell r="A980">
            <v>5100353</v>
          </cell>
          <cell r="D980" t="e">
            <v>#N/A</v>
          </cell>
          <cell r="F980">
            <v>252.69</v>
          </cell>
          <cell r="G980">
            <v>341.13150000000002</v>
          </cell>
          <cell r="H980">
            <v>1.1499999999999999</v>
          </cell>
          <cell r="I980">
            <v>392.30122499999999</v>
          </cell>
          <cell r="J980">
            <v>425.64682912499995</v>
          </cell>
          <cell r="K980">
            <v>532.05853640624991</v>
          </cell>
          <cell r="L980">
            <v>2</v>
          </cell>
          <cell r="M980">
            <v>591.17615156249985</v>
          </cell>
          <cell r="N980">
            <v>620.73495914062482</v>
          </cell>
          <cell r="O980">
            <v>695.5013547794116</v>
          </cell>
          <cell r="P980">
            <v>765.05149025735284</v>
          </cell>
          <cell r="Q980">
            <v>3</v>
          </cell>
          <cell r="R980">
            <v>869.37669347426447</v>
          </cell>
        </row>
        <row r="981">
          <cell r="A981">
            <v>8513957</v>
          </cell>
          <cell r="C981" t="str">
            <v>BM</v>
          </cell>
          <cell r="D981" t="str">
            <v>XFMR,230V,24/52V,50/60HZ</v>
          </cell>
          <cell r="E981">
            <v>1</v>
          </cell>
          <cell r="F981">
            <v>468.39</v>
          </cell>
          <cell r="G981">
            <v>632.32650000000001</v>
          </cell>
          <cell r="H981">
            <v>1.1499999999999999</v>
          </cell>
          <cell r="I981">
            <v>727.17547500000001</v>
          </cell>
          <cell r="J981">
            <v>788.98539037499995</v>
          </cell>
          <cell r="K981">
            <v>986.23173796874994</v>
          </cell>
          <cell r="L981">
            <v>1</v>
          </cell>
          <cell r="M981">
            <v>1038.1386715460526</v>
          </cell>
          <cell r="N981">
            <v>1090.0456051233552</v>
          </cell>
          <cell r="O981">
            <v>1221.3396135835912</v>
          </cell>
          <cell r="P981">
            <v>1343.4735749419506</v>
          </cell>
          <cell r="Q981">
            <v>3</v>
          </cell>
          <cell r="R981">
            <v>1526.674516979489</v>
          </cell>
        </row>
        <row r="982">
          <cell r="A982">
            <v>8502464</v>
          </cell>
          <cell r="C982" t="str">
            <v>BM</v>
          </cell>
          <cell r="D982" t="str">
            <v>PULLEY,TPL-GRV,8.0 PD</v>
          </cell>
          <cell r="E982">
            <v>1</v>
          </cell>
          <cell r="F982">
            <v>107.01</v>
          </cell>
          <cell r="G982">
            <v>144.46350000000001</v>
          </cell>
          <cell r="H982">
            <v>1.1499999999999999</v>
          </cell>
          <cell r="I982">
            <v>166.133025</v>
          </cell>
          <cell r="J982">
            <v>180.25433212499999</v>
          </cell>
          <cell r="K982">
            <v>225.31791515624997</v>
          </cell>
          <cell r="L982">
            <v>2</v>
          </cell>
          <cell r="M982">
            <v>250.35323906249997</v>
          </cell>
          <cell r="N982">
            <v>262.87090101562495</v>
          </cell>
          <cell r="O982">
            <v>294.53322242647056</v>
          </cell>
          <cell r="P982">
            <v>323.98654466911762</v>
          </cell>
          <cell r="Q982">
            <v>3</v>
          </cell>
          <cell r="R982">
            <v>368.16652803308818</v>
          </cell>
        </row>
        <row r="983">
          <cell r="A983">
            <v>3558754</v>
          </cell>
          <cell r="D983" t="str">
            <v>CABLE,2-COND,18GA,BLU/WHT,500'</v>
          </cell>
          <cell r="F983">
            <v>334.64</v>
          </cell>
          <cell r="G983">
            <v>451.76400000000001</v>
          </cell>
          <cell r="H983">
            <v>1.1499999999999999</v>
          </cell>
          <cell r="I983">
            <v>519.52859999999998</v>
          </cell>
          <cell r="J983">
            <v>563.68853100000001</v>
          </cell>
          <cell r="K983">
            <v>704.61066374999996</v>
          </cell>
          <cell r="L983">
            <v>1</v>
          </cell>
          <cell r="M983">
            <v>741.6954355263158</v>
          </cell>
          <cell r="N983">
            <v>778.78020730263165</v>
          </cell>
          <cell r="O983">
            <v>872.58286532507748</v>
          </cell>
          <cell r="P983">
            <v>959.84115185758526</v>
          </cell>
          <cell r="Q983">
            <v>3</v>
          </cell>
          <cell r="R983">
            <v>1090.7285816563467</v>
          </cell>
        </row>
        <row r="984">
          <cell r="A984">
            <v>8510273</v>
          </cell>
          <cell r="C984" t="str">
            <v>BM</v>
          </cell>
          <cell r="D984" t="str">
            <v>KIT,FILL,GUARDIAN,NORTH AMER</v>
          </cell>
          <cell r="E984">
            <v>1</v>
          </cell>
          <cell r="F984">
            <v>314.16000000000003</v>
          </cell>
          <cell r="G984">
            <v>424.11600000000004</v>
          </cell>
          <cell r="H984">
            <v>1.1499999999999999</v>
          </cell>
          <cell r="I984">
            <v>487.73340000000002</v>
          </cell>
          <cell r="J984">
            <v>529.19073900000001</v>
          </cell>
          <cell r="K984">
            <v>661.48842374999992</v>
          </cell>
          <cell r="L984">
            <v>2</v>
          </cell>
          <cell r="M984">
            <v>734.9871374999999</v>
          </cell>
          <cell r="N984">
            <v>771.73649437499989</v>
          </cell>
          <cell r="O984">
            <v>864.69074999999987</v>
          </cell>
          <cell r="P984">
            <v>951.15982499999996</v>
          </cell>
          <cell r="Q984">
            <v>3</v>
          </cell>
          <cell r="R984">
            <v>1080.8634374999997</v>
          </cell>
        </row>
        <row r="985">
          <cell r="A985">
            <v>3559316</v>
          </cell>
          <cell r="D985" t="str">
            <v>Valve solenoid meter</v>
          </cell>
          <cell r="F985">
            <v>95.09</v>
          </cell>
          <cell r="G985">
            <v>128.37150000000003</v>
          </cell>
          <cell r="H985">
            <v>1.1499999999999999</v>
          </cell>
          <cell r="I985">
            <v>147.62722500000001</v>
          </cell>
          <cell r="J985">
            <v>160.175539125</v>
          </cell>
          <cell r="K985">
            <v>200.21942390625</v>
          </cell>
          <cell r="L985">
            <v>1</v>
          </cell>
          <cell r="M985">
            <v>210.75728832236842</v>
          </cell>
          <cell r="N985">
            <v>221.29515273848685</v>
          </cell>
          <cell r="O985">
            <v>247.94975096749226</v>
          </cell>
          <cell r="P985">
            <v>272.74472606424149</v>
          </cell>
          <cell r="Q985">
            <v>3</v>
          </cell>
          <cell r="R985">
            <v>309.93718870936533</v>
          </cell>
        </row>
        <row r="986">
          <cell r="A986">
            <v>3559405</v>
          </cell>
          <cell r="D986" t="str">
            <v>SWITCH ASSY,VACUUM,5" HG</v>
          </cell>
          <cell r="F986">
            <v>247.97</v>
          </cell>
          <cell r="G986">
            <v>334.7595</v>
          </cell>
          <cell r="H986">
            <v>1.1499999999999999</v>
          </cell>
          <cell r="I986">
            <v>384.97342499999996</v>
          </cell>
          <cell r="J986">
            <v>417.69616612499993</v>
          </cell>
          <cell r="K986">
            <v>522.12020765624993</v>
          </cell>
          <cell r="L986">
            <v>2</v>
          </cell>
          <cell r="M986">
            <v>580.13356406249989</v>
          </cell>
          <cell r="N986">
            <v>609.14024226562492</v>
          </cell>
          <cell r="O986">
            <v>682.51007536764689</v>
          </cell>
          <cell r="P986">
            <v>750.76108290441164</v>
          </cell>
          <cell r="Q986">
            <v>3</v>
          </cell>
          <cell r="R986">
            <v>853.13759420955853</v>
          </cell>
        </row>
        <row r="987">
          <cell r="A987">
            <v>8500946</v>
          </cell>
          <cell r="D987" t="str">
            <v>SENSOR,IR,16</v>
          </cell>
          <cell r="F987">
            <v>333.89</v>
          </cell>
          <cell r="G987">
            <v>450.75150000000002</v>
          </cell>
          <cell r="H987">
            <v>1.1499999999999999</v>
          </cell>
          <cell r="I987">
            <v>518.36422500000003</v>
          </cell>
          <cell r="J987">
            <v>562.42518412499999</v>
          </cell>
          <cell r="K987">
            <v>703.03148015624993</v>
          </cell>
          <cell r="L987">
            <v>1</v>
          </cell>
          <cell r="M987">
            <v>740.03313700657895</v>
          </cell>
          <cell r="N987">
            <v>777.03479385690798</v>
          </cell>
          <cell r="O987">
            <v>870.62722000773999</v>
          </cell>
          <cell r="P987">
            <v>957.68994200851409</v>
          </cell>
          <cell r="Q987">
            <v>3</v>
          </cell>
          <cell r="R987">
            <v>1088.2840250096749</v>
          </cell>
        </row>
        <row r="988">
          <cell r="A988">
            <v>4015908</v>
          </cell>
          <cell r="D988" t="str">
            <v>TIMER,7-CAM,230/60</v>
          </cell>
          <cell r="F988">
            <v>381.13</v>
          </cell>
          <cell r="G988">
            <v>514.52550000000008</v>
          </cell>
          <cell r="H988">
            <v>1.1499999999999999</v>
          </cell>
          <cell r="I988">
            <v>591.70432500000004</v>
          </cell>
          <cell r="J988">
            <v>641.99919262499998</v>
          </cell>
          <cell r="K988">
            <v>802.49899078124997</v>
          </cell>
          <cell r="L988">
            <v>1</v>
          </cell>
          <cell r="M988">
            <v>844.73577976973684</v>
          </cell>
          <cell r="N988">
            <v>886.9725687582237</v>
          </cell>
          <cell r="O988">
            <v>993.80679972910218</v>
          </cell>
          <cell r="P988">
            <v>1093.1874797020125</v>
          </cell>
          <cell r="Q988">
            <v>3</v>
          </cell>
          <cell r="R988">
            <v>1242.2584996613778</v>
          </cell>
        </row>
        <row r="989">
          <cell r="A989">
            <v>8511967</v>
          </cell>
          <cell r="D989" t="str">
            <v>VALVE ASSY,DRAIN</v>
          </cell>
          <cell r="F989">
            <v>415.53</v>
          </cell>
          <cell r="G989">
            <v>560.96550000000002</v>
          </cell>
          <cell r="H989">
            <v>1.1499999999999999</v>
          </cell>
          <cell r="I989">
            <v>645.11032499999999</v>
          </cell>
          <cell r="J989">
            <v>699.94470262499999</v>
          </cell>
          <cell r="K989">
            <v>874.93087828124999</v>
          </cell>
          <cell r="L989">
            <v>1</v>
          </cell>
          <cell r="M989">
            <v>920.97987187500007</v>
          </cell>
          <cell r="N989">
            <v>967.02886546875015</v>
          </cell>
          <cell r="O989">
            <v>1083.5057316176471</v>
          </cell>
          <cell r="P989">
            <v>1191.8563047794119</v>
          </cell>
          <cell r="Q989">
            <v>3</v>
          </cell>
          <cell r="R989">
            <v>1354.3821645220589</v>
          </cell>
        </row>
        <row r="990">
          <cell r="A990">
            <v>8508266</v>
          </cell>
          <cell r="C990" t="str">
            <v>BM</v>
          </cell>
          <cell r="D990" t="str">
            <v>SUPPORT ASSY,RCVR,13.75 ID</v>
          </cell>
          <cell r="E990">
            <v>1</v>
          </cell>
          <cell r="F990">
            <v>127.81</v>
          </cell>
          <cell r="G990">
            <v>172.54350000000002</v>
          </cell>
          <cell r="H990">
            <v>1.1499999999999999</v>
          </cell>
          <cell r="I990">
            <v>198.42502500000001</v>
          </cell>
          <cell r="J990">
            <v>215.291152125</v>
          </cell>
          <cell r="K990">
            <v>269.11394015624995</v>
          </cell>
          <cell r="L990">
            <v>1</v>
          </cell>
          <cell r="M990">
            <v>283.27783174342102</v>
          </cell>
          <cell r="N990">
            <v>297.44172333059208</v>
          </cell>
          <cell r="O990">
            <v>333.26803734520121</v>
          </cell>
          <cell r="P990">
            <v>366.59484107972133</v>
          </cell>
          <cell r="Q990">
            <v>3</v>
          </cell>
          <cell r="R990">
            <v>416.58504668150147</v>
          </cell>
        </row>
        <row r="991">
          <cell r="A991">
            <v>3556113</v>
          </cell>
          <cell r="C991" t="str">
            <v>BM</v>
          </cell>
          <cell r="D991" t="str">
            <v>JAR,SAMPLER</v>
          </cell>
          <cell r="E991">
            <v>1</v>
          </cell>
          <cell r="F991">
            <v>41.89</v>
          </cell>
          <cell r="G991">
            <v>56.551500000000004</v>
          </cell>
          <cell r="H991">
            <v>1.1499999999999999</v>
          </cell>
          <cell r="I991">
            <v>65.034225000000006</v>
          </cell>
          <cell r="J991">
            <v>70.562134125</v>
          </cell>
          <cell r="K991">
            <v>88.20266765625</v>
          </cell>
          <cell r="L991">
            <v>1</v>
          </cell>
          <cell r="M991">
            <v>92.844913322368427</v>
          </cell>
          <cell r="N991">
            <v>97.487158988486854</v>
          </cell>
          <cell r="O991">
            <v>109.22930979102168</v>
          </cell>
          <cell r="P991">
            <v>120.15224077012385</v>
          </cell>
          <cell r="Q991">
            <v>3</v>
          </cell>
          <cell r="R991">
            <v>136.53663723877708</v>
          </cell>
        </row>
        <row r="992">
          <cell r="A992">
            <v>4024327</v>
          </cell>
          <cell r="D992" t="str">
            <v>THERMOWELL,CLAMP,2 IN.</v>
          </cell>
          <cell r="F992">
            <v>291.39999999999998</v>
          </cell>
          <cell r="G992">
            <v>393.39</v>
          </cell>
          <cell r="H992">
            <v>1.1499999999999999</v>
          </cell>
          <cell r="I992">
            <v>452.39849999999996</v>
          </cell>
          <cell r="J992">
            <v>490.85237249999994</v>
          </cell>
          <cell r="K992">
            <v>613.56546562499989</v>
          </cell>
          <cell r="L992">
            <v>1</v>
          </cell>
          <cell r="M992">
            <v>645.85838486842101</v>
          </cell>
          <cell r="N992">
            <v>678.15130411184214</v>
          </cell>
          <cell r="O992">
            <v>759.83339396284828</v>
          </cell>
          <cell r="P992">
            <v>835.8167333591332</v>
          </cell>
          <cell r="Q992">
            <v>3</v>
          </cell>
          <cell r="R992">
            <v>949.79174245356035</v>
          </cell>
        </row>
        <row r="993">
          <cell r="A993">
            <v>3556099</v>
          </cell>
          <cell r="C993" t="str">
            <v>BM</v>
          </cell>
          <cell r="D993" t="str">
            <v>ARRESTOR,SECONDARY SURGE</v>
          </cell>
          <cell r="E993">
            <v>1</v>
          </cell>
          <cell r="F993">
            <v>289.26</v>
          </cell>
          <cell r="G993">
            <v>390.50100000000003</v>
          </cell>
          <cell r="H993">
            <v>1.1499999999999999</v>
          </cell>
          <cell r="I993">
            <v>449.07614999999998</v>
          </cell>
          <cell r="J993">
            <v>487.24762274999995</v>
          </cell>
          <cell r="K993">
            <v>609.05952843749992</v>
          </cell>
          <cell r="L993">
            <v>2</v>
          </cell>
          <cell r="M993">
            <v>676.73280937499987</v>
          </cell>
          <cell r="N993">
            <v>710.56944984374991</v>
          </cell>
          <cell r="O993">
            <v>796.15624632352933</v>
          </cell>
          <cell r="P993">
            <v>875.77187095588238</v>
          </cell>
          <cell r="Q993">
            <v>3</v>
          </cell>
          <cell r="R993">
            <v>995.19530790441161</v>
          </cell>
        </row>
        <row r="994">
          <cell r="A994">
            <v>8511687</v>
          </cell>
          <cell r="D994" t="str">
            <v>PLUG ASSY,W/PULLEY,ROPE DETR</v>
          </cell>
          <cell r="F994">
            <v>70.94</v>
          </cell>
          <cell r="G994">
            <v>95.769000000000005</v>
          </cell>
          <cell r="H994">
            <v>1.1499999999999999</v>
          </cell>
          <cell r="I994">
            <v>110.13435</v>
          </cell>
          <cell r="J994">
            <v>119.49576974999999</v>
          </cell>
          <cell r="K994">
            <v>149.36971218749997</v>
          </cell>
          <cell r="L994">
            <v>1</v>
          </cell>
          <cell r="M994">
            <v>157.23127598684209</v>
          </cell>
          <cell r="N994">
            <v>165.09283978618421</v>
          </cell>
          <cell r="O994">
            <v>184.97797174922599</v>
          </cell>
          <cell r="P994">
            <v>203.47576892414861</v>
          </cell>
          <cell r="Q994">
            <v>3</v>
          </cell>
          <cell r="R994">
            <v>231.22246468653248</v>
          </cell>
        </row>
        <row r="995">
          <cell r="A995">
            <v>8515262</v>
          </cell>
          <cell r="D995" t="str">
            <v>PUMP,CHEMICAL</v>
          </cell>
          <cell r="F995">
            <v>276.73</v>
          </cell>
          <cell r="G995">
            <v>373.58550000000002</v>
          </cell>
          <cell r="H995">
            <v>1.1499999999999999</v>
          </cell>
          <cell r="I995">
            <v>429.62332500000002</v>
          </cell>
          <cell r="J995">
            <v>466.14130762500002</v>
          </cell>
          <cell r="K995">
            <v>582.67663453124999</v>
          </cell>
          <cell r="L995">
            <v>1</v>
          </cell>
          <cell r="M995">
            <v>613.34382582236844</v>
          </cell>
          <cell r="N995">
            <v>644.0110171134869</v>
          </cell>
          <cell r="O995">
            <v>721.58097155572761</v>
          </cell>
          <cell r="P995">
            <v>793.73906871130043</v>
          </cell>
          <cell r="Q995">
            <v>3</v>
          </cell>
          <cell r="R995">
            <v>901.97621444465949</v>
          </cell>
        </row>
        <row r="996">
          <cell r="A996">
            <v>8513985</v>
          </cell>
          <cell r="C996" t="str">
            <v>BM</v>
          </cell>
          <cell r="D996" t="str">
            <v>PWB ASSY,LIQ LEVEL TIMER</v>
          </cell>
          <cell r="E996">
            <v>1</v>
          </cell>
          <cell r="F996">
            <v>152.88999999999999</v>
          </cell>
          <cell r="G996">
            <v>206.4015</v>
          </cell>
          <cell r="H996">
            <v>1.1499999999999999</v>
          </cell>
          <cell r="I996">
            <v>237.36172499999998</v>
          </cell>
          <cell r="J996">
            <v>257.53747162499997</v>
          </cell>
          <cell r="K996">
            <v>321.92183953124993</v>
          </cell>
          <cell r="L996">
            <v>1</v>
          </cell>
          <cell r="M996">
            <v>338.86509424342097</v>
          </cell>
          <cell r="N996">
            <v>355.80834895559201</v>
          </cell>
          <cell r="O996">
            <v>398.66481675696588</v>
          </cell>
          <cell r="P996">
            <v>438.53129843266248</v>
          </cell>
          <cell r="Q996">
            <v>3</v>
          </cell>
          <cell r="R996">
            <v>498.33102094620733</v>
          </cell>
        </row>
        <row r="997">
          <cell r="A997">
            <v>4026127</v>
          </cell>
          <cell r="C997" t="str">
            <v>BM</v>
          </cell>
          <cell r="D997" t="str">
            <v>GASKET,N 1,SPECIAL,END</v>
          </cell>
          <cell r="E997">
            <v>1</v>
          </cell>
          <cell r="F997">
            <v>20.03</v>
          </cell>
          <cell r="G997">
            <v>27.040500000000005</v>
          </cell>
          <cell r="H997">
            <v>1.1499999999999999</v>
          </cell>
          <cell r="I997">
            <v>31.096575000000005</v>
          </cell>
          <cell r="J997">
            <v>33.739783875000008</v>
          </cell>
          <cell r="K997">
            <v>42.174729843750008</v>
          </cell>
          <cell r="L997">
            <v>1</v>
          </cell>
          <cell r="M997">
            <v>44.394452467105275</v>
          </cell>
          <cell r="N997">
            <v>46.614175090460542</v>
          </cell>
          <cell r="O997">
            <v>52.228767608359149</v>
          </cell>
          <cell r="P997">
            <v>57.451644369195066</v>
          </cell>
          <cell r="Q997">
            <v>3</v>
          </cell>
          <cell r="R997">
            <v>65.285959510448933</v>
          </cell>
        </row>
        <row r="998">
          <cell r="A998">
            <v>8516815</v>
          </cell>
          <cell r="C998" t="str">
            <v>BM</v>
          </cell>
          <cell r="D998" t="str">
            <v>VALVE,RELIEF,250 CFM</v>
          </cell>
          <cell r="E998">
            <v>1</v>
          </cell>
          <cell r="F998">
            <v>159.02000000000001</v>
          </cell>
          <cell r="G998">
            <v>214.67700000000002</v>
          </cell>
          <cell r="H998">
            <v>1.1499999999999999</v>
          </cell>
          <cell r="I998">
            <v>246.87855000000002</v>
          </cell>
          <cell r="J998">
            <v>267.86322675000002</v>
          </cell>
          <cell r="K998">
            <v>334.82903343750002</v>
          </cell>
          <cell r="L998">
            <v>1</v>
          </cell>
          <cell r="M998">
            <v>352.45161414473688</v>
          </cell>
          <cell r="N998">
            <v>370.07419485197374</v>
          </cell>
          <cell r="O998">
            <v>414.64895781733753</v>
          </cell>
          <cell r="P998">
            <v>456.11385359907132</v>
          </cell>
          <cell r="Q998">
            <v>3</v>
          </cell>
          <cell r="R998">
            <v>518.31119727167186</v>
          </cell>
        </row>
        <row r="999">
          <cell r="A999">
            <v>8518158</v>
          </cell>
          <cell r="C999" t="str">
            <v>BM</v>
          </cell>
          <cell r="D999" t="str">
            <v>PLUG,MILK,PLSTC,4.00,SHRT</v>
          </cell>
          <cell r="E999">
            <v>1</v>
          </cell>
          <cell r="F999">
            <v>116.82</v>
          </cell>
          <cell r="G999">
            <v>157.70699999999999</v>
          </cell>
          <cell r="H999">
            <v>1.1499999999999999</v>
          </cell>
          <cell r="I999">
            <v>181.36304999999999</v>
          </cell>
          <cell r="J999">
            <v>196.77890924999997</v>
          </cell>
          <cell r="K999">
            <v>245.97363656249996</v>
          </cell>
          <cell r="L999">
            <v>2</v>
          </cell>
          <cell r="M999">
            <v>273.30404062499997</v>
          </cell>
          <cell r="N999">
            <v>286.96924265625</v>
          </cell>
          <cell r="O999">
            <v>321.53416544117647</v>
          </cell>
          <cell r="P999">
            <v>353.68758198529417</v>
          </cell>
          <cell r="Q999">
            <v>3</v>
          </cell>
          <cell r="R999">
            <v>401.91770680147056</v>
          </cell>
        </row>
        <row r="1000">
          <cell r="A1000">
            <v>8509330</v>
          </cell>
          <cell r="C1000" t="str">
            <v>BM</v>
          </cell>
          <cell r="D1000" t="str">
            <v>PWB&amp;BKT ASSY,MODULE,PRISM</v>
          </cell>
          <cell r="E1000">
            <v>1</v>
          </cell>
          <cell r="F1000">
            <v>327.83</v>
          </cell>
          <cell r="G1000">
            <v>442.57049999999998</v>
          </cell>
          <cell r="H1000">
            <v>1.1499999999999999</v>
          </cell>
          <cell r="I1000">
            <v>508.95607499999994</v>
          </cell>
          <cell r="J1000">
            <v>552.21734137499993</v>
          </cell>
          <cell r="K1000">
            <v>690.27167671874986</v>
          </cell>
          <cell r="L1000">
            <v>1</v>
          </cell>
          <cell r="M1000">
            <v>726.60176496710517</v>
          </cell>
          <cell r="N1000">
            <v>762.93185321546048</v>
          </cell>
          <cell r="O1000">
            <v>854.82560584365319</v>
          </cell>
          <cell r="P1000">
            <v>940.30816642801858</v>
          </cell>
          <cell r="Q1000">
            <v>3</v>
          </cell>
          <cell r="R1000">
            <v>1068.5320073045664</v>
          </cell>
        </row>
        <row r="1001">
          <cell r="A1001">
            <v>8509312</v>
          </cell>
          <cell r="D1001" t="str">
            <v>KNOCKOUT PUNCH,PG29</v>
          </cell>
          <cell r="F1001">
            <v>176.61</v>
          </cell>
          <cell r="G1001">
            <v>238.42350000000005</v>
          </cell>
          <cell r="H1001">
            <v>1.1499999999999999</v>
          </cell>
          <cell r="I1001">
            <v>274.18702500000001</v>
          </cell>
          <cell r="J1001">
            <v>297.49292212500001</v>
          </cell>
          <cell r="K1001">
            <v>371.86615265624999</v>
          </cell>
          <cell r="L1001">
            <v>2</v>
          </cell>
          <cell r="M1001">
            <v>413.18461406249997</v>
          </cell>
          <cell r="N1001">
            <v>433.84384476562497</v>
          </cell>
          <cell r="O1001">
            <v>486.09954595588232</v>
          </cell>
          <cell r="P1001">
            <v>534.70950055147057</v>
          </cell>
          <cell r="Q1001">
            <v>3</v>
          </cell>
          <cell r="R1001">
            <v>607.62443244485291</v>
          </cell>
        </row>
        <row r="1002">
          <cell r="A1002">
            <v>8512528</v>
          </cell>
          <cell r="D1002" t="str">
            <v>BOTTOM,CLAW,62,FLO-STAR X</v>
          </cell>
          <cell r="F1002">
            <v>125.08</v>
          </cell>
          <cell r="G1002">
            <v>168.858</v>
          </cell>
          <cell r="H1002">
            <v>1.1499999999999999</v>
          </cell>
          <cell r="I1002">
            <v>194.1867</v>
          </cell>
          <cell r="J1002">
            <v>210.69256949999999</v>
          </cell>
          <cell r="K1002">
            <v>263.36571187499999</v>
          </cell>
          <cell r="L1002">
            <v>1</v>
          </cell>
          <cell r="M1002">
            <v>277.22706513157897</v>
          </cell>
          <cell r="N1002">
            <v>291.08841838815795</v>
          </cell>
          <cell r="O1002">
            <v>326.14948839009293</v>
          </cell>
          <cell r="P1002">
            <v>358.76443722910227</v>
          </cell>
          <cell r="Q1002">
            <v>3</v>
          </cell>
          <cell r="R1002">
            <v>407.68686048761612</v>
          </cell>
        </row>
        <row r="1003">
          <cell r="A1003">
            <v>8504136</v>
          </cell>
          <cell r="D1003" t="str">
            <v>PULLEY,DBL-GRV, 7.0 PD</v>
          </cell>
          <cell r="F1003">
            <v>107.19</v>
          </cell>
          <cell r="G1003">
            <v>144.70650000000001</v>
          </cell>
          <cell r="H1003">
            <v>1.1499999999999999</v>
          </cell>
          <cell r="I1003">
            <v>166.412475</v>
          </cell>
          <cell r="J1003">
            <v>180.55753537499999</v>
          </cell>
          <cell r="K1003">
            <v>225.69691921874997</v>
          </cell>
          <cell r="L1003">
            <v>1</v>
          </cell>
          <cell r="M1003">
            <v>237.57570444078945</v>
          </cell>
          <cell r="N1003">
            <v>249.45448966282893</v>
          </cell>
          <cell r="O1003">
            <v>279.50082875386994</v>
          </cell>
          <cell r="P1003">
            <v>307.45091162925695</v>
          </cell>
          <cell r="Q1003">
            <v>3</v>
          </cell>
          <cell r="R1003">
            <v>349.37603594233741</v>
          </cell>
        </row>
        <row r="1004">
          <cell r="A1004">
            <v>3555933</v>
          </cell>
          <cell r="C1004" t="str">
            <v>BM</v>
          </cell>
          <cell r="D1004" t="str">
            <v>VALVE,SOLENOID,24 VDC</v>
          </cell>
          <cell r="E1004">
            <v>1</v>
          </cell>
          <cell r="F1004">
            <v>121.26</v>
          </cell>
          <cell r="G1004">
            <v>163.70100000000002</v>
          </cell>
          <cell r="H1004">
            <v>1.1499999999999999</v>
          </cell>
          <cell r="I1004">
            <v>188.25615000000002</v>
          </cell>
          <cell r="J1004">
            <v>204.25792275000001</v>
          </cell>
          <cell r="K1004">
            <v>255.32240343749999</v>
          </cell>
          <cell r="L1004">
            <v>1</v>
          </cell>
          <cell r="M1004">
            <v>268.76042467105265</v>
          </cell>
          <cell r="N1004">
            <v>282.19844590460531</v>
          </cell>
          <cell r="O1004">
            <v>316.18873490712076</v>
          </cell>
          <cell r="P1004">
            <v>347.80760839783284</v>
          </cell>
          <cell r="Q1004">
            <v>3</v>
          </cell>
          <cell r="R1004">
            <v>395.23591863390095</v>
          </cell>
        </row>
        <row r="1005">
          <cell r="A1005">
            <v>8507719</v>
          </cell>
          <cell r="D1005" t="str">
            <v>HOSE,U,GUARDIAN PUMP</v>
          </cell>
          <cell r="F1005">
            <v>25.69</v>
          </cell>
          <cell r="G1005">
            <v>34.681500000000007</v>
          </cell>
          <cell r="H1005">
            <v>1.1499999999999999</v>
          </cell>
          <cell r="I1005">
            <v>39.883725000000005</v>
          </cell>
          <cell r="J1005">
            <v>43.273841625000003</v>
          </cell>
          <cell r="K1005">
            <v>54.09230203125</v>
          </cell>
          <cell r="L1005">
            <v>1</v>
          </cell>
          <cell r="M1005">
            <v>56.939265296052632</v>
          </cell>
          <cell r="N1005">
            <v>59.786228560855264</v>
          </cell>
          <cell r="O1005">
            <v>66.987370936532514</v>
          </cell>
          <cell r="P1005">
            <v>73.686108030185778</v>
          </cell>
          <cell r="Q1005">
            <v>3</v>
          </cell>
          <cell r="R1005">
            <v>83.734213670665639</v>
          </cell>
        </row>
        <row r="1006">
          <cell r="A1006" t="str">
            <v>24MT25A</v>
          </cell>
          <cell r="D1006" t="str">
            <v>VACUUM GAUGE, 2-1/2", GLYCERIN</v>
          </cell>
          <cell r="F1006">
            <v>37.619999999999997</v>
          </cell>
          <cell r="G1006">
            <v>50.786999999999999</v>
          </cell>
          <cell r="H1006">
            <v>1.1499999999999999</v>
          </cell>
          <cell r="I1006">
            <v>58.405049999999996</v>
          </cell>
          <cell r="J1006">
            <v>63.369479249999991</v>
          </cell>
          <cell r="K1006">
            <v>79.211849062499979</v>
          </cell>
          <cell r="L1006">
            <v>1</v>
          </cell>
          <cell r="M1006">
            <v>83.380893749999984</v>
          </cell>
          <cell r="N1006">
            <v>87.549938437499989</v>
          </cell>
          <cell r="O1006">
            <v>98.095169117647046</v>
          </cell>
          <cell r="P1006">
            <v>107.90468602941176</v>
          </cell>
          <cell r="Q1006">
            <v>3</v>
          </cell>
          <cell r="R1006">
            <v>122.6189613970588</v>
          </cell>
        </row>
        <row r="1007">
          <cell r="A1007">
            <v>3554530</v>
          </cell>
          <cell r="C1007" t="str">
            <v>BM</v>
          </cell>
          <cell r="D1007" t="str">
            <v>HOSE,NYL,YEL,5/32 ODX100FT</v>
          </cell>
          <cell r="E1007">
            <v>1</v>
          </cell>
          <cell r="F1007">
            <v>52.15</v>
          </cell>
          <cell r="G1007">
            <v>70.402500000000003</v>
          </cell>
          <cell r="H1007">
            <v>1.1499999999999999</v>
          </cell>
          <cell r="I1007">
            <v>80.962874999999997</v>
          </cell>
          <cell r="J1007">
            <v>87.844719374999997</v>
          </cell>
          <cell r="K1007">
            <v>109.80589921874999</v>
          </cell>
          <cell r="L1007">
            <v>2</v>
          </cell>
          <cell r="M1007">
            <v>122.00655468749999</v>
          </cell>
          <cell r="N1007">
            <v>128.10688242187499</v>
          </cell>
          <cell r="O1007">
            <v>143.5371231617647</v>
          </cell>
          <cell r="P1007">
            <v>157.89083547794118</v>
          </cell>
          <cell r="Q1007">
            <v>3</v>
          </cell>
          <cell r="R1007">
            <v>179.42140395220585</v>
          </cell>
        </row>
        <row r="1008">
          <cell r="A1008">
            <v>8518190</v>
          </cell>
          <cell r="D1008" t="str">
            <v>SWITCH,PRES,FILL</v>
          </cell>
          <cell r="F1008">
            <v>32.270000000000003</v>
          </cell>
          <cell r="G1008">
            <v>43.56450000000001</v>
          </cell>
          <cell r="H1008">
            <v>1.1499999999999999</v>
          </cell>
          <cell r="I1008">
            <v>50.09917500000001</v>
          </cell>
          <cell r="J1008">
            <v>54.357604875000007</v>
          </cell>
          <cell r="K1008">
            <v>67.947006093750005</v>
          </cell>
          <cell r="L1008">
            <v>1</v>
          </cell>
          <cell r="M1008">
            <v>71.523164309210529</v>
          </cell>
          <cell r="N1008">
            <v>75.099322524671052</v>
          </cell>
          <cell r="O1008">
            <v>84.144899187306507</v>
          </cell>
          <cell r="P1008">
            <v>92.559389106037159</v>
          </cell>
          <cell r="Q1008">
            <v>3</v>
          </cell>
          <cell r="R1008">
            <v>105.18112398413312</v>
          </cell>
        </row>
        <row r="1009">
          <cell r="A1009">
            <v>8512566</v>
          </cell>
          <cell r="D1009" t="str">
            <v>COIL KIT,PULS,HIGH FLOW</v>
          </cell>
          <cell r="F1009">
            <v>72.8</v>
          </cell>
          <cell r="G1009">
            <v>98.28</v>
          </cell>
          <cell r="H1009">
            <v>1.1499999999999999</v>
          </cell>
          <cell r="I1009">
            <v>113.02199999999999</v>
          </cell>
          <cell r="J1009">
            <v>122.62886999999999</v>
          </cell>
          <cell r="K1009">
            <v>153.28608749999998</v>
          </cell>
          <cell r="L1009">
            <v>1</v>
          </cell>
          <cell r="M1009">
            <v>161.35377631578945</v>
          </cell>
          <cell r="N1009">
            <v>169.42146513157891</v>
          </cell>
          <cell r="O1009">
            <v>189.82797213622288</v>
          </cell>
          <cell r="P1009">
            <v>208.81076934984517</v>
          </cell>
          <cell r="Q1009">
            <v>3</v>
          </cell>
          <cell r="R1009">
            <v>237.28496517027858</v>
          </cell>
        </row>
        <row r="1010">
          <cell r="A1010">
            <v>3559256</v>
          </cell>
          <cell r="D1010" t="str">
            <v>COIL, 24VDC</v>
          </cell>
          <cell r="F1010">
            <v>12.39</v>
          </cell>
          <cell r="G1010">
            <v>16.726500000000001</v>
          </cell>
          <cell r="H1010">
            <v>1.1499999999999999</v>
          </cell>
          <cell r="I1010">
            <v>19.235475000000001</v>
          </cell>
          <cell r="J1010">
            <v>20.870490374999999</v>
          </cell>
          <cell r="K1010">
            <v>26.088112968749996</v>
          </cell>
          <cell r="L1010">
            <v>1</v>
          </cell>
          <cell r="M1010">
            <v>27.461171546052629</v>
          </cell>
          <cell r="N1010">
            <v>28.834230123355262</v>
          </cell>
          <cell r="O1010">
            <v>32.30726064241486</v>
          </cell>
          <cell r="P1010">
            <v>35.537986706656348</v>
          </cell>
          <cell r="Q1010">
            <v>3</v>
          </cell>
          <cell r="R1010">
            <v>40.384075803018575</v>
          </cell>
        </row>
        <row r="1011">
          <cell r="A1011">
            <v>8503894</v>
          </cell>
          <cell r="D1011" t="str">
            <v>VALVE,DRAIN,VACUUM,3/8 HOSE</v>
          </cell>
          <cell r="F1011">
            <v>178.05</v>
          </cell>
          <cell r="G1011">
            <v>240.36750000000004</v>
          </cell>
          <cell r="H1011">
            <v>1.1499999999999999</v>
          </cell>
          <cell r="I1011">
            <v>276.42262500000004</v>
          </cell>
          <cell r="J1011">
            <v>299.91854812500003</v>
          </cell>
          <cell r="K1011">
            <v>374.89818515625001</v>
          </cell>
          <cell r="L1011">
            <v>1</v>
          </cell>
          <cell r="M1011">
            <v>394.62966858552636</v>
          </cell>
          <cell r="N1011">
            <v>414.36115201480271</v>
          </cell>
          <cell r="O1011">
            <v>464.27019833591339</v>
          </cell>
          <cell r="P1011">
            <v>510.69721816950477</v>
          </cell>
          <cell r="Q1011">
            <v>3</v>
          </cell>
          <cell r="R1011">
            <v>580.33774791989174</v>
          </cell>
        </row>
        <row r="1012">
          <cell r="A1012">
            <v>8515851</v>
          </cell>
          <cell r="D1012" t="str">
            <v>KIT,BOU-VAC FILTER</v>
          </cell>
          <cell r="F1012">
            <v>109.37</v>
          </cell>
          <cell r="G1012">
            <v>147.64950000000002</v>
          </cell>
          <cell r="H1012">
            <v>1.1499999999999999</v>
          </cell>
          <cell r="I1012">
            <v>169.79692500000002</v>
          </cell>
          <cell r="J1012">
            <v>184.229663625</v>
          </cell>
          <cell r="K1012">
            <v>230.28707953124999</v>
          </cell>
          <cell r="L1012">
            <v>1</v>
          </cell>
          <cell r="M1012">
            <v>242.40745213815788</v>
          </cell>
          <cell r="N1012">
            <v>254.52782474506577</v>
          </cell>
          <cell r="O1012">
            <v>285.18523780959754</v>
          </cell>
          <cell r="P1012">
            <v>313.70376159055729</v>
          </cell>
          <cell r="Q1012">
            <v>3</v>
          </cell>
          <cell r="R1012">
            <v>356.48154726199692</v>
          </cell>
        </row>
        <row r="1013">
          <cell r="A1013">
            <v>8504278</v>
          </cell>
          <cell r="D1013" t="str">
            <v>SLEEVE,RBR,3.53/4.00,PVC VAC</v>
          </cell>
          <cell r="F1013">
            <v>15.91</v>
          </cell>
          <cell r="G1013">
            <v>21.4785</v>
          </cell>
          <cell r="H1013">
            <v>1.1499999999999999</v>
          </cell>
          <cell r="I1013">
            <v>24.700274999999998</v>
          </cell>
          <cell r="J1013">
            <v>26.799798374999998</v>
          </cell>
          <cell r="K1013">
            <v>33.499747968749993</v>
          </cell>
          <cell r="L1013">
            <v>1</v>
          </cell>
          <cell r="M1013">
            <v>35.262892598684203</v>
          </cell>
          <cell r="N1013">
            <v>37.026037228618414</v>
          </cell>
          <cell r="O1013">
            <v>41.485755998452007</v>
          </cell>
          <cell r="P1013">
            <v>45.634331598297209</v>
          </cell>
          <cell r="Q1013">
            <v>3</v>
          </cell>
          <cell r="R1013">
            <v>51.857194998065005</v>
          </cell>
        </row>
        <row r="1014">
          <cell r="A1014">
            <v>8570630</v>
          </cell>
          <cell r="D1014" t="str">
            <v>VALVE,EXHAUST</v>
          </cell>
          <cell r="F1014">
            <v>30.75</v>
          </cell>
          <cell r="G1014">
            <v>41.512500000000003</v>
          </cell>
          <cell r="H1014">
            <v>1.1499999999999999</v>
          </cell>
          <cell r="I1014">
            <v>47.739375000000003</v>
          </cell>
          <cell r="J1014">
            <v>51.797221874999998</v>
          </cell>
          <cell r="K1014">
            <v>64.746527343749989</v>
          </cell>
          <cell r="L1014">
            <v>1</v>
          </cell>
          <cell r="M1014">
            <v>68.154239309210524</v>
          </cell>
          <cell r="N1014">
            <v>71.56195127467106</v>
          </cell>
          <cell r="O1014">
            <v>80.181458010835911</v>
          </cell>
          <cell r="P1014">
            <v>88.199603811919516</v>
          </cell>
          <cell r="Q1014">
            <v>3</v>
          </cell>
          <cell r="R1014">
            <v>100.22682251354489</v>
          </cell>
        </row>
        <row r="1015">
          <cell r="A1015">
            <v>8510210</v>
          </cell>
          <cell r="C1015" t="str">
            <v>Boumatic</v>
          </cell>
          <cell r="D1015" t="str">
            <v>Soporte U con abrazaderas inox(U-BRACKET ASSY)</v>
          </cell>
          <cell r="E1015">
            <v>1</v>
          </cell>
          <cell r="F1015">
            <v>26.62</v>
          </cell>
          <cell r="G1015">
            <v>35.937000000000005</v>
          </cell>
          <cell r="H1015">
            <v>1.1499999999999999</v>
          </cell>
          <cell r="I1015">
            <v>41.327550000000002</v>
          </cell>
          <cell r="J1015">
            <v>44.840391750000002</v>
          </cell>
          <cell r="K1015">
            <v>56.050489687499997</v>
          </cell>
          <cell r="L1015">
            <v>3</v>
          </cell>
          <cell r="M1015">
            <v>65.941752573529413</v>
          </cell>
          <cell r="N1015">
            <v>69.238840202205893</v>
          </cell>
          <cell r="O1015">
            <v>77.578532439446377</v>
          </cell>
          <cell r="P1015">
            <v>85.336385683391015</v>
          </cell>
          <cell r="Q1015">
            <v>3</v>
          </cell>
          <cell r="R1015">
            <v>96.973165549307964</v>
          </cell>
        </row>
        <row r="1016">
          <cell r="A1016">
            <v>3558008</v>
          </cell>
          <cell r="D1016" t="str">
            <v>LED INDICATOR ASSY,RED, 4"</v>
          </cell>
          <cell r="E1016" t="str">
            <v>1</v>
          </cell>
          <cell r="F1016">
            <v>19.89</v>
          </cell>
          <cell r="G1016">
            <v>26.851500000000001</v>
          </cell>
          <cell r="H1016">
            <v>1.1499999999999999</v>
          </cell>
          <cell r="I1016">
            <v>30.879224999999998</v>
          </cell>
          <cell r="J1016">
            <v>33.503959124999994</v>
          </cell>
          <cell r="K1016">
            <v>41.879948906249993</v>
          </cell>
          <cell r="L1016">
            <v>1</v>
          </cell>
          <cell r="M1016">
            <v>44.084156743421048</v>
          </cell>
          <cell r="N1016">
            <v>46.288364580592102</v>
          </cell>
          <cell r="O1016">
            <v>51.863713815789467</v>
          </cell>
          <cell r="P1016">
            <v>57.050085197368418</v>
          </cell>
          <cell r="Q1016">
            <v>3</v>
          </cell>
          <cell r="R1016">
            <v>64.829642269736823</v>
          </cell>
        </row>
        <row r="1017">
          <cell r="A1017">
            <v>8516827</v>
          </cell>
          <cell r="D1017" t="str">
            <v>SWITCH,PB,SPST,MOM</v>
          </cell>
          <cell r="F1017">
            <v>24.94</v>
          </cell>
          <cell r="G1017">
            <v>33.669000000000004</v>
          </cell>
          <cell r="H1017">
            <v>1.1499999999999999</v>
          </cell>
          <cell r="I1017">
            <v>38.719349999999999</v>
          </cell>
          <cell r="J1017">
            <v>42.010494749999999</v>
          </cell>
          <cell r="K1017">
            <v>52.513118437499998</v>
          </cell>
          <cell r="L1017">
            <v>1</v>
          </cell>
          <cell r="M1017">
            <v>55.276966776315788</v>
          </cell>
          <cell r="N1017">
            <v>58.040815115131579</v>
          </cell>
          <cell r="O1017">
            <v>65.031725619195043</v>
          </cell>
          <cell r="P1017">
            <v>71.534898181114556</v>
          </cell>
          <cell r="Q1017">
            <v>3</v>
          </cell>
          <cell r="R1017">
            <v>81.289657023993797</v>
          </cell>
        </row>
        <row r="1018">
          <cell r="A1018">
            <v>8517737</v>
          </cell>
          <cell r="C1018" t="str">
            <v>BM</v>
          </cell>
          <cell r="D1018" t="str">
            <v>COUPLING,DRAIN,RUBBER</v>
          </cell>
          <cell r="E1018">
            <v>1</v>
          </cell>
          <cell r="F1018">
            <v>20.2</v>
          </cell>
          <cell r="G1018">
            <v>27.27</v>
          </cell>
          <cell r="H1018">
            <v>1.1499999999999999</v>
          </cell>
          <cell r="I1018">
            <v>31.360499999999998</v>
          </cell>
          <cell r="J1018">
            <v>34.026142499999999</v>
          </cell>
          <cell r="K1018">
            <v>42.532678124999997</v>
          </cell>
          <cell r="L1018">
            <v>1</v>
          </cell>
          <cell r="M1018">
            <v>44.771240131578949</v>
          </cell>
          <cell r="N1018">
            <v>47.009802138157902</v>
          </cell>
          <cell r="O1018">
            <v>52.672047213622292</v>
          </cell>
          <cell r="P1018">
            <v>57.939251934984526</v>
          </cell>
          <cell r="Q1018">
            <v>3</v>
          </cell>
          <cell r="R1018">
            <v>65.840059017027855</v>
          </cell>
        </row>
        <row r="1019">
          <cell r="A1019">
            <v>8553787</v>
          </cell>
          <cell r="C1019" t="str">
            <v>BM</v>
          </cell>
          <cell r="D1019" t="str">
            <v>OIL,VAC-PUMP, 1 GAL,AIR-STAR</v>
          </cell>
          <cell r="E1019">
            <v>1</v>
          </cell>
          <cell r="F1019">
            <v>38.57</v>
          </cell>
          <cell r="G1019">
            <v>52.069500000000005</v>
          </cell>
          <cell r="H1019">
            <v>1.1499999999999999</v>
          </cell>
          <cell r="I1019">
            <v>59.879925</v>
          </cell>
          <cell r="J1019">
            <v>64.969718624999999</v>
          </cell>
          <cell r="K1019">
            <v>81.212148281249995</v>
          </cell>
          <cell r="L1019">
            <v>2</v>
          </cell>
          <cell r="M1019">
            <v>90.235720312499993</v>
          </cell>
          <cell r="N1019">
            <v>94.747506328124999</v>
          </cell>
          <cell r="O1019">
            <v>106.15967095588235</v>
          </cell>
          <cell r="P1019">
            <v>116.77563805147059</v>
          </cell>
          <cell r="Q1019">
            <v>3</v>
          </cell>
          <cell r="R1019">
            <v>132.69958869485293</v>
          </cell>
        </row>
        <row r="1020">
          <cell r="A1020">
            <v>8580119</v>
          </cell>
          <cell r="D1020" t="str">
            <v>BRACKET,DETACHER, CYL MOUNT</v>
          </cell>
          <cell r="F1020">
            <v>33.06</v>
          </cell>
          <cell r="G1020">
            <v>44.631000000000007</v>
          </cell>
          <cell r="H1020">
            <v>1</v>
          </cell>
          <cell r="I1020">
            <v>44.631000000000007</v>
          </cell>
          <cell r="J1020">
            <v>44.631000000000007</v>
          </cell>
          <cell r="K1020">
            <v>55.788750000000007</v>
          </cell>
          <cell r="L1020">
            <v>1</v>
          </cell>
          <cell r="M1020">
            <v>58.725000000000009</v>
          </cell>
          <cell r="N1020">
            <v>61.66125000000001</v>
          </cell>
          <cell r="O1020">
            <v>69.088235294117652</v>
          </cell>
          <cell r="P1020">
            <v>75.997058823529429</v>
          </cell>
          <cell r="Q1020">
            <v>3</v>
          </cell>
          <cell r="R1020">
            <v>86.360294117647058</v>
          </cell>
        </row>
        <row r="1021">
          <cell r="A1021">
            <v>8508265</v>
          </cell>
          <cell r="C1021" t="str">
            <v>BM</v>
          </cell>
          <cell r="D1021" t="str">
            <v>BRACE,RECEIVER SUPPORT</v>
          </cell>
          <cell r="E1021">
            <v>1</v>
          </cell>
          <cell r="F1021">
            <v>33.06</v>
          </cell>
          <cell r="G1021">
            <v>44.631000000000007</v>
          </cell>
          <cell r="H1021">
            <v>1</v>
          </cell>
          <cell r="I1021">
            <v>44.631000000000007</v>
          </cell>
          <cell r="J1021">
            <v>48.424635000000009</v>
          </cell>
          <cell r="K1021">
            <v>60.530793750000008</v>
          </cell>
          <cell r="L1021">
            <v>1</v>
          </cell>
          <cell r="M1021">
            <v>63.716625000000015</v>
          </cell>
          <cell r="N1021">
            <v>66.902456250000014</v>
          </cell>
          <cell r="O1021">
            <v>74.960735294117669</v>
          </cell>
          <cell r="P1021">
            <v>82.456808823529443</v>
          </cell>
          <cell r="Q1021">
            <v>3</v>
          </cell>
          <cell r="R1021">
            <v>93.700919117647075</v>
          </cell>
        </row>
        <row r="1022">
          <cell r="A1022" t="str">
            <v>D385789</v>
          </cell>
          <cell r="D1022" t="str">
            <v>CAP LOWER RAM ISOLATOR 3</v>
          </cell>
          <cell r="F1022">
            <v>2.4500000000000002</v>
          </cell>
          <cell r="G1022">
            <v>3.3075000000000006</v>
          </cell>
          <cell r="H1022">
            <v>1.1499999999999999</v>
          </cell>
          <cell r="I1022">
            <v>3.8036250000000003</v>
          </cell>
          <cell r="J1022">
            <v>4.1269331249999999</v>
          </cell>
          <cell r="K1022">
            <v>5.1586664062499992</v>
          </cell>
          <cell r="L1022">
            <v>1</v>
          </cell>
          <cell r="M1022">
            <v>5.4301751644736838</v>
          </cell>
          <cell r="N1022">
            <v>5.7016839226973683</v>
          </cell>
          <cell r="O1022">
            <v>6.3884413699690397</v>
          </cell>
          <cell r="P1022">
            <v>7.0272855069659439</v>
          </cell>
          <cell r="Q1022">
            <v>3</v>
          </cell>
          <cell r="R1022">
            <v>7.9855517124612989</v>
          </cell>
        </row>
        <row r="1023">
          <cell r="A1023">
            <v>4026123</v>
          </cell>
          <cell r="C1023" t="str">
            <v>BM</v>
          </cell>
          <cell r="D1023" t="str">
            <v>GASKET,N 1,PHX</v>
          </cell>
          <cell r="E1023">
            <v>36</v>
          </cell>
          <cell r="F1023">
            <v>17.149999999999999</v>
          </cell>
          <cell r="G1023">
            <v>23.1525</v>
          </cell>
          <cell r="H1023">
            <v>1.1499999999999999</v>
          </cell>
          <cell r="I1023">
            <v>26.625374999999998</v>
          </cell>
          <cell r="J1023">
            <v>28.888531874999998</v>
          </cell>
          <cell r="K1023">
            <v>36.110664843749994</v>
          </cell>
          <cell r="L1023">
            <v>1</v>
          </cell>
          <cell r="M1023">
            <v>38.011226151315782</v>
          </cell>
          <cell r="N1023">
            <v>39.91178745888157</v>
          </cell>
          <cell r="O1023">
            <v>44.719089589783273</v>
          </cell>
          <cell r="P1023">
            <v>49.190998548761605</v>
          </cell>
          <cell r="Q1023">
            <v>3</v>
          </cell>
          <cell r="R1023">
            <v>55.89886198722909</v>
          </cell>
        </row>
        <row r="1024">
          <cell r="A1024">
            <v>3554475</v>
          </cell>
          <cell r="C1024" t="str">
            <v>BM</v>
          </cell>
          <cell r="D1024" t="str">
            <v>BRACKET,MTG,2101</v>
          </cell>
          <cell r="E1024">
            <v>1</v>
          </cell>
          <cell r="F1024">
            <v>17.149999999999999</v>
          </cell>
          <cell r="G1024">
            <v>23.1525</v>
          </cell>
          <cell r="H1024">
            <v>1.1499999999999999</v>
          </cell>
          <cell r="I1024">
            <v>26.625374999999998</v>
          </cell>
          <cell r="J1024">
            <v>28.888531874999998</v>
          </cell>
          <cell r="K1024">
            <v>36.110664843749994</v>
          </cell>
          <cell r="L1024">
            <v>1</v>
          </cell>
          <cell r="M1024">
            <v>38.011226151315782</v>
          </cell>
          <cell r="N1024">
            <v>39.91178745888157</v>
          </cell>
          <cell r="O1024">
            <v>44.719089589783273</v>
          </cell>
          <cell r="P1024">
            <v>49.190998548761605</v>
          </cell>
          <cell r="Q1024">
            <v>3</v>
          </cell>
          <cell r="R1024">
            <v>55.89886198722909</v>
          </cell>
        </row>
        <row r="1025">
          <cell r="A1025">
            <v>8500544</v>
          </cell>
          <cell r="C1025" t="str">
            <v>BM</v>
          </cell>
          <cell r="D1025" t="str">
            <v>Soporte con abrazadera (CLAMP,2.5 IN,VINYL-COATED)</v>
          </cell>
          <cell r="E1025" t="str">
            <v>1A</v>
          </cell>
          <cell r="F1025">
            <v>28.33</v>
          </cell>
          <cell r="G1025">
            <v>38.2455</v>
          </cell>
          <cell r="H1025">
            <v>1.1499999999999999</v>
          </cell>
          <cell r="I1025">
            <v>43.982324999999996</v>
          </cell>
          <cell r="J1025">
            <v>47.720822624999997</v>
          </cell>
          <cell r="K1025">
            <v>59.651028281249992</v>
          </cell>
          <cell r="L1025">
            <v>2</v>
          </cell>
          <cell r="M1025">
            <v>66.278920312499991</v>
          </cell>
          <cell r="N1025">
            <v>69.592866328124998</v>
          </cell>
          <cell r="O1025">
            <v>77.975200367647048</v>
          </cell>
          <cell r="P1025">
            <v>85.772720404411757</v>
          </cell>
          <cell r="Q1025">
            <v>3</v>
          </cell>
          <cell r="R1025">
            <v>97.469000459558799</v>
          </cell>
        </row>
        <row r="1026">
          <cell r="A1026">
            <v>8516146</v>
          </cell>
          <cell r="C1026" t="str">
            <v>BM</v>
          </cell>
          <cell r="D1026" t="str">
            <v>Coneccion para lavado de bomba a lobulos(PLUG,SIGHT,3/8 NPTF)</v>
          </cell>
          <cell r="E1026">
            <v>1</v>
          </cell>
          <cell r="F1026">
            <v>16.850000000000001</v>
          </cell>
          <cell r="G1026">
            <v>22.747500000000002</v>
          </cell>
          <cell r="H1026">
            <v>1.1499999999999999</v>
          </cell>
          <cell r="I1026">
            <v>26.159625000000002</v>
          </cell>
          <cell r="J1026">
            <v>28.383193125000002</v>
          </cell>
          <cell r="K1026">
            <v>35.478991406250003</v>
          </cell>
          <cell r="L1026">
            <v>1</v>
          </cell>
          <cell r="M1026">
            <v>37.34630674342106</v>
          </cell>
          <cell r="N1026">
            <v>39.213622080592117</v>
          </cell>
          <cell r="O1026">
            <v>43.936831462848311</v>
          </cell>
          <cell r="P1026">
            <v>48.330514609133147</v>
          </cell>
          <cell r="Q1026">
            <v>3</v>
          </cell>
          <cell r="R1026">
            <v>54.921039328560383</v>
          </cell>
        </row>
        <row r="1027">
          <cell r="A1027">
            <v>3557209</v>
          </cell>
          <cell r="C1027" t="str">
            <v>BM</v>
          </cell>
          <cell r="D1027" t="str">
            <v>BOX,JUNCTION,4 X 4 X 4</v>
          </cell>
          <cell r="E1027">
            <v>1</v>
          </cell>
          <cell r="F1027">
            <v>31.71</v>
          </cell>
          <cell r="G1027">
            <v>42.808500000000002</v>
          </cell>
          <cell r="H1027">
            <v>1.1499999999999999</v>
          </cell>
          <cell r="I1027">
            <v>49.229774999999997</v>
          </cell>
          <cell r="J1027">
            <v>53.414305874999997</v>
          </cell>
          <cell r="K1027">
            <v>66.767882343749989</v>
          </cell>
          <cell r="L1027">
            <v>2</v>
          </cell>
          <cell r="M1027">
            <v>74.186535937499983</v>
          </cell>
          <cell r="N1027">
            <v>77.895862734374987</v>
          </cell>
          <cell r="O1027">
            <v>87.278277573529394</v>
          </cell>
          <cell r="P1027">
            <v>96.006105330882335</v>
          </cell>
          <cell r="Q1027">
            <v>3</v>
          </cell>
          <cell r="R1027">
            <v>109.09784696691173</v>
          </cell>
        </row>
        <row r="1028">
          <cell r="A1028">
            <v>8506897</v>
          </cell>
          <cell r="D1028" t="str">
            <v>RETAINER,HANGER,CLAW</v>
          </cell>
          <cell r="E1028">
            <v>1</v>
          </cell>
          <cell r="F1028">
            <v>11.03</v>
          </cell>
          <cell r="G1028">
            <v>14.890499999999999</v>
          </cell>
          <cell r="H1028">
            <v>1.1499999999999999</v>
          </cell>
          <cell r="I1028">
            <v>17.124074999999998</v>
          </cell>
          <cell r="J1028">
            <v>18.579621374999999</v>
          </cell>
          <cell r="K1028">
            <v>23.224526718749996</v>
          </cell>
          <cell r="L1028">
            <v>1</v>
          </cell>
          <cell r="M1028">
            <v>24.446870230263155</v>
          </cell>
          <cell r="N1028">
            <v>25.669213741776314</v>
          </cell>
          <cell r="O1028">
            <v>28.761023800309594</v>
          </cell>
          <cell r="P1028">
            <v>31.637126180340555</v>
          </cell>
          <cell r="Q1028">
            <v>3</v>
          </cell>
          <cell r="R1028">
            <v>35.951279750386988</v>
          </cell>
        </row>
        <row r="1029">
          <cell r="A1029">
            <v>3558018</v>
          </cell>
          <cell r="C1029" t="str">
            <v>BM</v>
          </cell>
          <cell r="D1029" t="str">
            <v>LUBRICANT,GREASE,14OZ</v>
          </cell>
          <cell r="E1029">
            <v>1</v>
          </cell>
          <cell r="F1029">
            <v>33.549999999999997</v>
          </cell>
          <cell r="G1029">
            <v>45.292499999999997</v>
          </cell>
          <cell r="H1029">
            <v>1.1499999999999999</v>
          </cell>
          <cell r="I1029">
            <v>52.08637499999999</v>
          </cell>
          <cell r="J1029">
            <v>56.513716874999986</v>
          </cell>
          <cell r="K1029">
            <v>70.642146093749972</v>
          </cell>
          <cell r="L1029">
            <v>1</v>
          </cell>
          <cell r="M1029">
            <v>74.360153782894713</v>
          </cell>
          <cell r="N1029">
            <v>78.078161472039454</v>
          </cell>
          <cell r="O1029">
            <v>87.482533862229076</v>
          </cell>
          <cell r="P1029">
            <v>96.230787248451989</v>
          </cell>
          <cell r="Q1029">
            <v>3</v>
          </cell>
          <cell r="R1029">
            <v>109.35316732778634</v>
          </cell>
        </row>
        <row r="1030">
          <cell r="A1030">
            <v>8512561</v>
          </cell>
          <cell r="D1030" t="str">
            <v>SEAL,MILK PUMP,2 OR 3 HP</v>
          </cell>
          <cell r="F1030">
            <v>18.690000000000001</v>
          </cell>
          <cell r="G1030">
            <v>25.231500000000004</v>
          </cell>
          <cell r="H1030">
            <v>1.1499999999999999</v>
          </cell>
          <cell r="I1030">
            <v>29.016225000000002</v>
          </cell>
          <cell r="J1030">
            <v>31.482604125000002</v>
          </cell>
          <cell r="K1030">
            <v>39.35325515625</v>
          </cell>
          <cell r="L1030">
            <v>1</v>
          </cell>
          <cell r="M1030">
            <v>41.424479111842111</v>
          </cell>
          <cell r="N1030">
            <v>43.495703067434221</v>
          </cell>
          <cell r="O1030">
            <v>48.734681308049545</v>
          </cell>
          <cell r="P1030">
            <v>53.608149438854504</v>
          </cell>
          <cell r="Q1030">
            <v>3</v>
          </cell>
          <cell r="R1030">
            <v>60.918351635061931</v>
          </cell>
        </row>
        <row r="1031">
          <cell r="A1031">
            <v>8515870</v>
          </cell>
          <cell r="D1031" t="str">
            <v>ADAPTER,PVC,SPXM,1-1/2 X 1-1/4</v>
          </cell>
          <cell r="F1031">
            <v>26.97</v>
          </cell>
          <cell r="G1031">
            <v>36.409500000000001</v>
          </cell>
          <cell r="H1031">
            <v>1.1499999999999999</v>
          </cell>
          <cell r="I1031">
            <v>41.870925</v>
          </cell>
          <cell r="J1031">
            <v>45.429953624999996</v>
          </cell>
          <cell r="K1031">
            <v>56.787442031249995</v>
          </cell>
          <cell r="L1031">
            <v>2</v>
          </cell>
          <cell r="M1031">
            <v>63.097157812499994</v>
          </cell>
          <cell r="N1031">
            <v>66.252015703124997</v>
          </cell>
          <cell r="O1031">
            <v>74.231950367647059</v>
          </cell>
          <cell r="P1031">
            <v>81.655145404411769</v>
          </cell>
          <cell r="Q1031">
            <v>3</v>
          </cell>
          <cell r="R1031">
            <v>92.789937959558813</v>
          </cell>
        </row>
        <row r="1032">
          <cell r="A1032">
            <v>8589423</v>
          </cell>
          <cell r="C1032" t="str">
            <v>bm</v>
          </cell>
          <cell r="D1032" t="str">
            <v>GASKET,LID,RECEIVER</v>
          </cell>
          <cell r="E1032">
            <v>1</v>
          </cell>
          <cell r="F1032">
            <v>7.51</v>
          </cell>
          <cell r="G1032">
            <v>10.138500000000001</v>
          </cell>
          <cell r="H1032">
            <v>1.1499999999999999</v>
          </cell>
          <cell r="I1032">
            <v>11.659274999999999</v>
          </cell>
          <cell r="J1032">
            <v>12.650313374999998</v>
          </cell>
          <cell r="K1032">
            <v>15.812891718749997</v>
          </cell>
          <cell r="L1032">
            <v>1</v>
          </cell>
          <cell r="M1032">
            <v>16.645149177631577</v>
          </cell>
          <cell r="N1032">
            <v>17.477406636513155</v>
          </cell>
          <cell r="O1032">
            <v>19.582528444272445</v>
          </cell>
          <cell r="P1032">
            <v>21.540781288699691</v>
          </cell>
          <cell r="Q1032">
            <v>3</v>
          </cell>
          <cell r="R1032">
            <v>24.478160555340555</v>
          </cell>
        </row>
        <row r="1033">
          <cell r="A1033">
            <v>3556645</v>
          </cell>
          <cell r="C1033" t="str">
            <v>BM</v>
          </cell>
          <cell r="D1033" t="str">
            <v>ORIFICE,TEST,PERFECTION</v>
          </cell>
          <cell r="E1033">
            <v>1</v>
          </cell>
          <cell r="F1033">
            <v>34.18</v>
          </cell>
          <cell r="G1033">
            <v>46.143000000000001</v>
          </cell>
          <cell r="H1033">
            <v>1.1499999999999999</v>
          </cell>
          <cell r="I1033">
            <v>53.064449999999994</v>
          </cell>
          <cell r="J1033">
            <v>57.574928249999992</v>
          </cell>
          <cell r="K1033">
            <v>71.968660312499992</v>
          </cell>
          <cell r="L1033">
            <v>1</v>
          </cell>
          <cell r="M1033">
            <v>75.756484539473675</v>
          </cell>
          <cell r="N1033">
            <v>79.544308766447358</v>
          </cell>
          <cell r="O1033">
            <v>89.125275928792561</v>
          </cell>
          <cell r="P1033">
            <v>98.037803521671819</v>
          </cell>
          <cell r="Q1033">
            <v>3</v>
          </cell>
          <cell r="R1033">
            <v>111.40659491099069</v>
          </cell>
        </row>
        <row r="1034">
          <cell r="A1034">
            <v>8512556</v>
          </cell>
          <cell r="D1034" t="str">
            <v>BUMPER &amp; STUD ASSY,FLO-STAR X</v>
          </cell>
          <cell r="F1034">
            <v>43.07</v>
          </cell>
          <cell r="G1034">
            <v>58.144500000000001</v>
          </cell>
          <cell r="H1034">
            <v>1.1499999999999999</v>
          </cell>
          <cell r="I1034">
            <v>66.866174999999998</v>
          </cell>
          <cell r="J1034">
            <v>72.549799874999991</v>
          </cell>
          <cell r="K1034">
            <v>90.687249843749981</v>
          </cell>
          <cell r="L1034">
            <v>1</v>
          </cell>
          <cell r="M1034">
            <v>95.46026299342104</v>
          </cell>
          <cell r="N1034">
            <v>100.2332761430921</v>
          </cell>
          <cell r="O1034">
            <v>112.30619175696593</v>
          </cell>
          <cell r="P1034">
            <v>123.53681093266253</v>
          </cell>
          <cell r="Q1034">
            <v>3</v>
          </cell>
          <cell r="R1034">
            <v>140.38273969620741</v>
          </cell>
        </row>
        <row r="1035">
          <cell r="A1035">
            <v>8507413</v>
          </cell>
          <cell r="C1035" t="str">
            <v>BM</v>
          </cell>
          <cell r="D1035" t="str">
            <v>GREASE,BEARING,HI-TEMP,CART</v>
          </cell>
          <cell r="E1035">
            <v>1</v>
          </cell>
          <cell r="F1035">
            <v>10.27</v>
          </cell>
          <cell r="G1035">
            <v>13.8645</v>
          </cell>
          <cell r="H1035">
            <v>1.1499999999999999</v>
          </cell>
          <cell r="I1035">
            <v>15.944174999999998</v>
          </cell>
          <cell r="J1035">
            <v>17.299429874999998</v>
          </cell>
          <cell r="K1035">
            <v>21.624287343749995</v>
          </cell>
          <cell r="L1035">
            <v>1</v>
          </cell>
          <cell r="M1035">
            <v>22.762407730263153</v>
          </cell>
          <cell r="N1035">
            <v>23.900528116776311</v>
          </cell>
          <cell r="O1035">
            <v>26.779303212074296</v>
          </cell>
          <cell r="P1035">
            <v>29.457233533281727</v>
          </cell>
          <cell r="Q1035">
            <v>3</v>
          </cell>
          <cell r="R1035">
            <v>33.474129015092871</v>
          </cell>
        </row>
        <row r="1036">
          <cell r="A1036">
            <v>3558005</v>
          </cell>
          <cell r="D1036" t="str">
            <v>LED INDICATOR ASSY,RED, 6"</v>
          </cell>
          <cell r="E1036" t="str">
            <v>1</v>
          </cell>
          <cell r="F1036">
            <v>19.010000000000002</v>
          </cell>
          <cell r="G1036">
            <v>25.663500000000003</v>
          </cell>
          <cell r="H1036">
            <v>1.1499999999999999</v>
          </cell>
          <cell r="I1036">
            <v>29.513025000000003</v>
          </cell>
          <cell r="J1036">
            <v>32.021632125000004</v>
          </cell>
          <cell r="K1036">
            <v>40.027040156250003</v>
          </cell>
          <cell r="L1036">
            <v>1</v>
          </cell>
          <cell r="M1036">
            <v>42.133726480263164</v>
          </cell>
          <cell r="N1036">
            <v>44.240412804276325</v>
          </cell>
          <cell r="O1036">
            <v>49.569089976780191</v>
          </cell>
          <cell r="P1036">
            <v>54.525998974458211</v>
          </cell>
          <cell r="Q1036">
            <v>3</v>
          </cell>
          <cell r="R1036">
            <v>61.961362470975239</v>
          </cell>
        </row>
        <row r="1037">
          <cell r="A1037">
            <v>8513217</v>
          </cell>
          <cell r="C1037" t="str">
            <v>BM</v>
          </cell>
          <cell r="D1037" t="str">
            <v>RING,RETENTION,HOSE,1.38</v>
          </cell>
          <cell r="E1037">
            <v>1</v>
          </cell>
          <cell r="F1037">
            <v>1.38</v>
          </cell>
          <cell r="G1037">
            <v>1.863</v>
          </cell>
          <cell r="H1037">
            <v>1.1499999999999999</v>
          </cell>
          <cell r="I1037">
            <v>2.1424499999999997</v>
          </cell>
          <cell r="J1037">
            <v>2.3245582499999995</v>
          </cell>
          <cell r="K1037">
            <v>2.9056978124999993</v>
          </cell>
          <cell r="L1037">
            <v>1</v>
          </cell>
          <cell r="M1037">
            <v>3.0586292763157887</v>
          </cell>
          <cell r="N1037">
            <v>3.2115607401315782</v>
          </cell>
          <cell r="O1037">
            <v>3.5983873839009282</v>
          </cell>
          <cell r="P1037">
            <v>3.9582261222910211</v>
          </cell>
          <cell r="Q1037">
            <v>3</v>
          </cell>
          <cell r="R1037">
            <v>4.4979842298761596</v>
          </cell>
        </row>
        <row r="1038">
          <cell r="A1038">
            <v>8502453</v>
          </cell>
          <cell r="D1038" t="str">
            <v>FITTING,CLEANOUT,PVC,3",W/PLUG</v>
          </cell>
          <cell r="F1038">
            <v>16.559999999999999</v>
          </cell>
          <cell r="G1038">
            <v>22.355999999999998</v>
          </cell>
          <cell r="H1038">
            <v>1.1499999999999999</v>
          </cell>
          <cell r="I1038">
            <v>25.709399999999995</v>
          </cell>
          <cell r="J1038">
            <v>27.894698999999992</v>
          </cell>
          <cell r="K1038">
            <v>34.868373749999989</v>
          </cell>
          <cell r="L1038">
            <v>2</v>
          </cell>
          <cell r="M1038">
            <v>38.742637499999987</v>
          </cell>
          <cell r="N1038">
            <v>40.679769374999985</v>
          </cell>
          <cell r="O1038">
            <v>45.579573529411753</v>
          </cell>
          <cell r="P1038">
            <v>50.137530882352934</v>
          </cell>
          <cell r="Q1038">
            <v>3</v>
          </cell>
          <cell r="R1038">
            <v>56.974466911764686</v>
          </cell>
        </row>
        <row r="1039">
          <cell r="A1039">
            <v>3557049</v>
          </cell>
          <cell r="C1039" t="str">
            <v>BM</v>
          </cell>
          <cell r="D1039" t="str">
            <v>LUBRICANT,SILICONE MOLD REL</v>
          </cell>
          <cell r="E1039">
            <v>1</v>
          </cell>
          <cell r="F1039">
            <v>20.239999999999998</v>
          </cell>
          <cell r="G1039">
            <v>27.323999999999998</v>
          </cell>
          <cell r="H1039">
            <v>1.1499999999999999</v>
          </cell>
          <cell r="I1039">
            <v>31.422599999999996</v>
          </cell>
          <cell r="J1039">
            <v>34.093520999999996</v>
          </cell>
          <cell r="K1039">
            <v>42.616901249999991</v>
          </cell>
          <cell r="L1039">
            <v>1</v>
          </cell>
          <cell r="M1039">
            <v>44.859896052631569</v>
          </cell>
          <cell r="N1039">
            <v>47.102890855263148</v>
          </cell>
          <cell r="O1039">
            <v>52.776348297213609</v>
          </cell>
          <cell r="P1039">
            <v>58.053983126934973</v>
          </cell>
          <cell r="Q1039">
            <v>3</v>
          </cell>
          <cell r="R1039">
            <v>65.970435371517013</v>
          </cell>
        </row>
        <row r="1040">
          <cell r="A1040" t="str">
            <v>D255531</v>
          </cell>
          <cell r="C1040" t="str">
            <v>GM</v>
          </cell>
          <cell r="D1040" t="str">
            <v>Cordon</v>
          </cell>
          <cell r="E1040">
            <v>100</v>
          </cell>
          <cell r="F1040">
            <v>21.18</v>
          </cell>
          <cell r="G1040">
            <v>28.593</v>
          </cell>
          <cell r="H1040">
            <v>1.1499999999999999</v>
          </cell>
          <cell r="I1040">
            <v>32.881949999999996</v>
          </cell>
          <cell r="J1040">
            <v>35.676915749999992</v>
          </cell>
          <cell r="K1040">
            <v>50.967022499999992</v>
          </cell>
          <cell r="L1040">
            <v>2</v>
          </cell>
          <cell r="M1040">
            <v>56.630024999999989</v>
          </cell>
          <cell r="N1040">
            <v>59.461526249999991</v>
          </cell>
          <cell r="O1040">
            <v>66.623558823529407</v>
          </cell>
          <cell r="P1040">
            <v>73.285914705882348</v>
          </cell>
          <cell r="Q1040">
            <v>3</v>
          </cell>
          <cell r="R1040">
            <v>83.279448529411752</v>
          </cell>
        </row>
        <row r="1041">
          <cell r="A1041">
            <v>8519015</v>
          </cell>
          <cell r="D1041" t="str">
            <v>KIT,REPAIR,ELEC PLSR,SGL</v>
          </cell>
          <cell r="F1041">
            <v>24.56</v>
          </cell>
          <cell r="G1041">
            <v>33.155999999999999</v>
          </cell>
          <cell r="H1041">
            <v>1.1499999999999999</v>
          </cell>
          <cell r="I1041">
            <v>38.129399999999997</v>
          </cell>
          <cell r="J1041">
            <v>41.370398999999992</v>
          </cell>
          <cell r="K1041">
            <v>51.71299874999999</v>
          </cell>
          <cell r="L1041">
            <v>1</v>
          </cell>
          <cell r="M1041">
            <v>54.434735526315784</v>
          </cell>
          <cell r="N1041">
            <v>57.156472302631578</v>
          </cell>
          <cell r="O1041">
            <v>64.040865325077391</v>
          </cell>
          <cell r="P1041">
            <v>70.444951857585139</v>
          </cell>
          <cell r="Q1041">
            <v>3</v>
          </cell>
          <cell r="R1041">
            <v>80.051081656346739</v>
          </cell>
        </row>
        <row r="1042">
          <cell r="A1042">
            <v>8507938</v>
          </cell>
          <cell r="C1042" t="str">
            <v>BM</v>
          </cell>
          <cell r="D1042" t="str">
            <v>CLAMP,HINGED,1.5" HEAVY DUTY</v>
          </cell>
          <cell r="E1042">
            <v>1</v>
          </cell>
          <cell r="F1042">
            <v>11.82</v>
          </cell>
          <cell r="G1042">
            <v>15.957000000000001</v>
          </cell>
          <cell r="H1042">
            <v>1.1499999999999999</v>
          </cell>
          <cell r="I1042">
            <v>18.350549999999998</v>
          </cell>
          <cell r="J1042">
            <v>19.910346749999999</v>
          </cell>
          <cell r="K1042">
            <v>24.887933437499996</v>
          </cell>
          <cell r="L1042">
            <v>1</v>
          </cell>
          <cell r="M1042">
            <v>26.197824671052629</v>
          </cell>
          <cell r="N1042">
            <v>27.507715904605263</v>
          </cell>
          <cell r="O1042">
            <v>30.820970201238389</v>
          </cell>
          <cell r="P1042">
            <v>33.903067221362228</v>
          </cell>
          <cell r="Q1042">
            <v>3</v>
          </cell>
          <cell r="R1042">
            <v>38.52621275154798</v>
          </cell>
        </row>
        <row r="1043">
          <cell r="A1043" t="str">
            <v>D255726</v>
          </cell>
          <cell r="D1043" t="str">
            <v>KIT,PULLEY &amp; FIXINGS,ACR RAM</v>
          </cell>
          <cell r="F1043">
            <v>13.06</v>
          </cell>
          <cell r="G1043">
            <v>17.631</v>
          </cell>
          <cell r="H1043">
            <v>1.1499999999999999</v>
          </cell>
          <cell r="I1043">
            <v>20.275649999999999</v>
          </cell>
          <cell r="J1043">
            <v>21.999080249999999</v>
          </cell>
          <cell r="K1043">
            <v>27.498850312499997</v>
          </cell>
          <cell r="L1043">
            <v>1</v>
          </cell>
          <cell r="M1043">
            <v>28.946158223684208</v>
          </cell>
          <cell r="N1043">
            <v>30.393466134868419</v>
          </cell>
          <cell r="O1043">
            <v>34.054303792569655</v>
          </cell>
          <cell r="P1043">
            <v>37.459734171826625</v>
          </cell>
          <cell r="Q1043">
            <v>3</v>
          </cell>
          <cell r="R1043">
            <v>42.567879740712065</v>
          </cell>
        </row>
        <row r="1044">
          <cell r="A1044">
            <v>8515872</v>
          </cell>
          <cell r="D1044" t="str">
            <v>ELBOW,90 DEG,PVC,SCH-40,2" ST</v>
          </cell>
          <cell r="F1044">
            <v>6.92</v>
          </cell>
          <cell r="G1044">
            <v>9.3420000000000005</v>
          </cell>
          <cell r="H1044">
            <v>1.1499999999999999</v>
          </cell>
          <cell r="I1044">
            <v>10.7433</v>
          </cell>
          <cell r="J1044">
            <v>11.656480499999999</v>
          </cell>
          <cell r="K1044">
            <v>14.570600624999997</v>
          </cell>
          <cell r="L1044">
            <v>2</v>
          </cell>
          <cell r="M1044">
            <v>16.189556249999995</v>
          </cell>
          <cell r="N1044">
            <v>16.999034062499994</v>
          </cell>
          <cell r="O1044">
            <v>19.046536764705877</v>
          </cell>
          <cell r="P1044">
            <v>20.951190441176465</v>
          </cell>
          <cell r="Q1044">
            <v>3</v>
          </cell>
          <cell r="R1044">
            <v>23.808170955882346</v>
          </cell>
        </row>
        <row r="1045">
          <cell r="A1045">
            <v>4026121</v>
          </cell>
          <cell r="D1045" t="str">
            <v>GASKET,N 0.5,38MM,FRAME</v>
          </cell>
          <cell r="F1045">
            <v>5.69</v>
          </cell>
          <cell r="G1045">
            <v>7.6815000000000007</v>
          </cell>
          <cell r="H1045">
            <v>1</v>
          </cell>
          <cell r="I1045">
            <v>7.6815000000000007</v>
          </cell>
          <cell r="J1045">
            <v>8.3344275000000003</v>
          </cell>
          <cell r="K1045">
            <v>10.418034375</v>
          </cell>
          <cell r="L1045">
            <v>1</v>
          </cell>
          <cell r="M1045">
            <v>10.96635197368421</v>
          </cell>
          <cell r="N1045">
            <v>11.514669572368421</v>
          </cell>
          <cell r="O1045">
            <v>12.901590557275542</v>
          </cell>
          <cell r="P1045">
            <v>14.191749613003097</v>
          </cell>
          <cell r="Q1045">
            <v>3</v>
          </cell>
          <cell r="R1045">
            <v>16.126988196594425</v>
          </cell>
        </row>
        <row r="1046">
          <cell r="A1046" t="str">
            <v>D385509</v>
          </cell>
          <cell r="D1046" t="str">
            <v>CONE</v>
          </cell>
          <cell r="F1046">
            <v>5.23</v>
          </cell>
          <cell r="G1046">
            <v>7.0605000000000011</v>
          </cell>
          <cell r="H1046">
            <v>1.1499999999999999</v>
          </cell>
          <cell r="I1046">
            <v>8.1195750000000011</v>
          </cell>
          <cell r="J1046">
            <v>8.8097388750000007</v>
          </cell>
          <cell r="K1046">
            <v>11.012173593750001</v>
          </cell>
          <cell r="L1046">
            <v>2</v>
          </cell>
          <cell r="M1046">
            <v>12.2357484375</v>
          </cell>
          <cell r="N1046">
            <v>12.847535859375</v>
          </cell>
          <cell r="O1046">
            <v>14.394998161764706</v>
          </cell>
          <cell r="P1046">
            <v>15.834497977941178</v>
          </cell>
          <cell r="Q1046">
            <v>3</v>
          </cell>
          <cell r="R1046">
            <v>17.99374770220588</v>
          </cell>
        </row>
        <row r="1047">
          <cell r="A1047">
            <v>4026118</v>
          </cell>
          <cell r="D1047" t="str">
            <v>GASKET,N 0.5,PHX</v>
          </cell>
          <cell r="F1047">
            <v>12.93</v>
          </cell>
          <cell r="G1047">
            <v>17.455500000000001</v>
          </cell>
          <cell r="H1047">
            <v>1</v>
          </cell>
          <cell r="I1047">
            <v>17.455500000000001</v>
          </cell>
          <cell r="J1047">
            <v>18.939217500000002</v>
          </cell>
          <cell r="K1047">
            <v>23.674021875000001</v>
          </cell>
          <cell r="L1047">
            <v>1</v>
          </cell>
          <cell r="M1047">
            <v>24.920023026315793</v>
          </cell>
          <cell r="N1047">
            <v>26.166024177631584</v>
          </cell>
          <cell r="O1047">
            <v>29.317674148606816</v>
          </cell>
          <cell r="P1047">
            <v>32.249441563467499</v>
          </cell>
          <cell r="Q1047">
            <v>3</v>
          </cell>
          <cell r="R1047">
            <v>36.647092685758516</v>
          </cell>
        </row>
        <row r="1048">
          <cell r="A1048">
            <v>1997021</v>
          </cell>
          <cell r="C1048" t="str">
            <v>BM</v>
          </cell>
          <cell r="D1048" t="str">
            <v>WIRE,STRD,12AWG,RED/WHT,1015</v>
          </cell>
          <cell r="E1048">
            <v>1</v>
          </cell>
          <cell r="F1048">
            <v>0.77</v>
          </cell>
          <cell r="G1048">
            <v>1.0395000000000001</v>
          </cell>
          <cell r="H1048">
            <v>1.1499999999999999</v>
          </cell>
          <cell r="I1048">
            <v>1.195425</v>
          </cell>
          <cell r="J1048">
            <v>1.297036125</v>
          </cell>
          <cell r="K1048">
            <v>1.62129515625</v>
          </cell>
          <cell r="L1048">
            <v>1</v>
          </cell>
          <cell r="M1048">
            <v>1.7066264802631579</v>
          </cell>
          <cell r="N1048">
            <v>1.7919578042763158</v>
          </cell>
          <cell r="O1048">
            <v>2.0077958591331271</v>
          </cell>
          <cell r="P1048">
            <v>2.2085754450464399</v>
          </cell>
          <cell r="Q1048">
            <v>3</v>
          </cell>
          <cell r="R1048">
            <v>2.5097448239164089</v>
          </cell>
        </row>
        <row r="1049">
          <cell r="A1049">
            <v>8500866</v>
          </cell>
          <cell r="C1049" t="str">
            <v>BM</v>
          </cell>
          <cell r="D1049" t="str">
            <v>Abrazadera(CLAMP,BAND,SS,4 IN)</v>
          </cell>
          <cell r="E1049">
            <v>1</v>
          </cell>
          <cell r="F1049">
            <v>6.93</v>
          </cell>
          <cell r="G1049">
            <v>9.355500000000001</v>
          </cell>
          <cell r="H1049">
            <v>1.1499999999999999</v>
          </cell>
          <cell r="I1049">
            <v>10.758825</v>
          </cell>
          <cell r="J1049">
            <v>11.673325125</v>
          </cell>
          <cell r="K1049">
            <v>14.591656406249999</v>
          </cell>
          <cell r="L1049">
            <v>2</v>
          </cell>
          <cell r="M1049">
            <v>16.212951562499999</v>
          </cell>
          <cell r="N1049">
            <v>17.023599140624999</v>
          </cell>
          <cell r="O1049">
            <v>19.074060661764705</v>
          </cell>
          <cell r="P1049">
            <v>20.981466727941175</v>
          </cell>
          <cell r="Q1049">
            <v>3</v>
          </cell>
          <cell r="R1049">
            <v>23.842575827205881</v>
          </cell>
        </row>
        <row r="1050">
          <cell r="A1050">
            <v>8510105</v>
          </cell>
          <cell r="C1050" t="str">
            <v>GM</v>
          </cell>
          <cell r="D1050" t="str">
            <v>CLAMP,HOSE,SS, #56,2.13-4.00</v>
          </cell>
          <cell r="E1050">
            <v>1</v>
          </cell>
          <cell r="F1050">
            <v>5.55</v>
          </cell>
          <cell r="G1050">
            <v>7.4925000000000006</v>
          </cell>
          <cell r="H1050">
            <v>1.1499999999999999</v>
          </cell>
          <cell r="I1050">
            <v>8.6163749999999997</v>
          </cell>
          <cell r="J1050">
            <v>9.348766874999999</v>
          </cell>
          <cell r="K1050">
            <v>11.685958593749998</v>
          </cell>
          <cell r="L1050">
            <v>1</v>
          </cell>
          <cell r="M1050">
            <v>12.301009046052631</v>
          </cell>
          <cell r="N1050">
            <v>12.916059498355263</v>
          </cell>
          <cell r="O1050">
            <v>14.471775348297212</v>
          </cell>
          <cell r="P1050">
            <v>15.918952883126934</v>
          </cell>
          <cell r="Q1050">
            <v>1</v>
          </cell>
          <cell r="R1050">
            <v>16.079750386996903</v>
          </cell>
        </row>
        <row r="1051">
          <cell r="A1051">
            <v>8518653</v>
          </cell>
          <cell r="D1051" t="str">
            <v>COUPLING,PVC,SCH-40,3   SXS</v>
          </cell>
          <cell r="F1051">
            <v>6.63</v>
          </cell>
          <cell r="G1051">
            <v>8.9504999999999999</v>
          </cell>
          <cell r="H1051">
            <v>1.1499999999999999</v>
          </cell>
          <cell r="I1051">
            <v>10.293075</v>
          </cell>
          <cell r="J1051">
            <v>11.167986375</v>
          </cell>
          <cell r="K1051">
            <v>13.959982968749999</v>
          </cell>
          <cell r="L1051">
            <v>2</v>
          </cell>
          <cell r="M1051">
            <v>15.511092187499999</v>
          </cell>
          <cell r="N1051">
            <v>16.286646796875001</v>
          </cell>
          <cell r="O1051">
            <v>18.24834375</v>
          </cell>
          <cell r="P1051">
            <v>20.073178125000002</v>
          </cell>
          <cell r="Q1051">
            <v>3</v>
          </cell>
          <cell r="R1051">
            <v>22.810429687499997</v>
          </cell>
        </row>
        <row r="1052">
          <cell r="A1052">
            <v>8506213</v>
          </cell>
          <cell r="C1052" t="str">
            <v>BM</v>
          </cell>
          <cell r="D1052" t="str">
            <v>Diafragma inyector de aire</v>
          </cell>
          <cell r="E1052">
            <v>1</v>
          </cell>
          <cell r="F1052">
            <v>8.0299999999999994</v>
          </cell>
          <cell r="G1052">
            <v>10.8405</v>
          </cell>
          <cell r="H1052">
            <v>1.1499999999999999</v>
          </cell>
          <cell r="I1052">
            <v>12.466574999999999</v>
          </cell>
          <cell r="J1052">
            <v>13.526233874999999</v>
          </cell>
          <cell r="K1052">
            <v>16.907792343749996</v>
          </cell>
          <cell r="L1052">
            <v>1</v>
          </cell>
          <cell r="M1052">
            <v>17.797676151315788</v>
          </cell>
          <cell r="N1052">
            <v>18.687559958881579</v>
          </cell>
          <cell r="O1052">
            <v>20.938442530959751</v>
          </cell>
          <cell r="P1052">
            <v>23.032286784055728</v>
          </cell>
          <cell r="Q1052">
            <v>3</v>
          </cell>
          <cell r="R1052">
            <v>26.173053163699688</v>
          </cell>
        </row>
        <row r="1053">
          <cell r="A1053">
            <v>8512906</v>
          </cell>
          <cell r="D1053" t="str">
            <v>ADAPTER,1/4HOSE X 1/4NPT</v>
          </cell>
          <cell r="F1053">
            <v>5.72</v>
          </cell>
          <cell r="G1053">
            <v>7.7220000000000004</v>
          </cell>
          <cell r="H1053">
            <v>1.1499999999999999</v>
          </cell>
          <cell r="I1053">
            <v>8.8803000000000001</v>
          </cell>
          <cell r="J1053">
            <v>9.6351254999999991</v>
          </cell>
          <cell r="K1053">
            <v>12.043906874999998</v>
          </cell>
          <cell r="L1053">
            <v>1</v>
          </cell>
          <cell r="M1053">
            <v>12.677796710526314</v>
          </cell>
          <cell r="N1053">
            <v>13.311686546052631</v>
          </cell>
          <cell r="O1053">
            <v>14.91505495356037</v>
          </cell>
          <cell r="P1053">
            <v>16.406560448916409</v>
          </cell>
          <cell r="Q1053">
            <v>3</v>
          </cell>
          <cell r="R1053">
            <v>18.643818691950461</v>
          </cell>
        </row>
        <row r="1054">
          <cell r="A1054">
            <v>3556229</v>
          </cell>
          <cell r="D1054" t="str">
            <v>BAFFLE,METER</v>
          </cell>
          <cell r="F1054">
            <v>3.72</v>
          </cell>
          <cell r="G1054">
            <v>5.0220000000000002</v>
          </cell>
          <cell r="H1054">
            <v>1.1499999999999999</v>
          </cell>
          <cell r="I1054">
            <v>5.7752999999999997</v>
          </cell>
          <cell r="J1054">
            <v>6.2662004999999992</v>
          </cell>
          <cell r="K1054">
            <v>7.8327506249999983</v>
          </cell>
          <cell r="L1054">
            <v>1</v>
          </cell>
          <cell r="M1054">
            <v>8.2450006578947352</v>
          </cell>
          <cell r="N1054">
            <v>8.6572506907894731</v>
          </cell>
          <cell r="O1054">
            <v>9.700000773993807</v>
          </cell>
          <cell r="P1054">
            <v>10.670000851393189</v>
          </cell>
          <cell r="Q1054">
            <v>3</v>
          </cell>
          <cell r="R1054">
            <v>12.125000967492259</v>
          </cell>
        </row>
        <row r="1055">
          <cell r="A1055">
            <v>8507015</v>
          </cell>
          <cell r="C1055" t="str">
            <v>BM</v>
          </cell>
          <cell r="D1055" t="str">
            <v>CONN,SWL,ELB,5/32 ODX 1/4 NPT</v>
          </cell>
          <cell r="E1055">
            <v>1</v>
          </cell>
          <cell r="F1055">
            <v>2.64</v>
          </cell>
          <cell r="G1055">
            <v>3.5640000000000005</v>
          </cell>
          <cell r="H1055">
            <v>1.1499999999999999</v>
          </cell>
          <cell r="I1055">
            <v>4.0986000000000002</v>
          </cell>
          <cell r="J1055">
            <v>4.4469810000000001</v>
          </cell>
          <cell r="K1055">
            <v>5.5587262499999994</v>
          </cell>
          <cell r="L1055">
            <v>1</v>
          </cell>
          <cell r="M1055">
            <v>5.8512907894736843</v>
          </cell>
          <cell r="N1055">
            <v>6.1438553289473692</v>
          </cell>
          <cell r="O1055">
            <v>6.8838715170278642</v>
          </cell>
          <cell r="P1055">
            <v>7.572258668730651</v>
          </cell>
          <cell r="Q1055">
            <v>3</v>
          </cell>
          <cell r="R1055">
            <v>8.6048393962848291</v>
          </cell>
        </row>
        <row r="1056">
          <cell r="A1056" t="str">
            <v>D390666</v>
          </cell>
          <cell r="C1056" t="str">
            <v>GM</v>
          </cell>
          <cell r="D1056" t="str">
            <v>Filtro</v>
          </cell>
          <cell r="E1056">
            <v>1</v>
          </cell>
          <cell r="F1056">
            <v>1.0900000000000001</v>
          </cell>
          <cell r="G1056">
            <v>1.4715000000000003</v>
          </cell>
          <cell r="H1056">
            <v>1.1499999999999999</v>
          </cell>
          <cell r="I1056">
            <v>1.6922250000000001</v>
          </cell>
          <cell r="J1056">
            <v>1.836064125</v>
          </cell>
          <cell r="K1056">
            <v>2.6229487500000004</v>
          </cell>
          <cell r="L1056">
            <v>2</v>
          </cell>
          <cell r="M1056">
            <v>2.9143875000000006</v>
          </cell>
          <cell r="N1056">
            <v>3.0601068750000007</v>
          </cell>
          <cell r="O1056">
            <v>3.428691176470589</v>
          </cell>
          <cell r="P1056">
            <v>3.771560294117648</v>
          </cell>
          <cell r="Q1056">
            <v>3</v>
          </cell>
          <cell r="R1056">
            <v>4.2858639705882355</v>
          </cell>
        </row>
        <row r="1057">
          <cell r="A1057">
            <v>8507259</v>
          </cell>
          <cell r="C1057" t="str">
            <v>BM</v>
          </cell>
          <cell r="D1057" t="str">
            <v>CONN,PUSH,RDCR,5/32 X 1/4 TUBE</v>
          </cell>
          <cell r="E1057">
            <v>1</v>
          </cell>
          <cell r="F1057">
            <v>1.87</v>
          </cell>
          <cell r="G1057">
            <v>2.5245000000000002</v>
          </cell>
          <cell r="H1057">
            <v>1.1499999999999999</v>
          </cell>
          <cell r="I1057">
            <v>2.9031750000000001</v>
          </cell>
          <cell r="J1057">
            <v>3.1499448750000001</v>
          </cell>
          <cell r="K1057">
            <v>3.9374310937499999</v>
          </cell>
          <cell r="L1057">
            <v>3</v>
          </cell>
          <cell r="M1057">
            <v>4.6322718749999998</v>
          </cell>
          <cell r="N1057">
            <v>4.8638854687500004</v>
          </cell>
          <cell r="O1057">
            <v>5.4497316176470587</v>
          </cell>
          <cell r="P1057">
            <v>5.9947047794117649</v>
          </cell>
          <cell r="Q1057">
            <v>3</v>
          </cell>
          <cell r="R1057">
            <v>6.8121645220588229</v>
          </cell>
        </row>
        <row r="1058">
          <cell r="A1058">
            <v>3226151</v>
          </cell>
          <cell r="D1058" t="str">
            <v>GASKET, NIPPLE, CLAMP-ON, 9/16</v>
          </cell>
          <cell r="F1058">
            <v>1.1200000000000001</v>
          </cell>
          <cell r="G1058">
            <v>1.5120000000000002</v>
          </cell>
          <cell r="H1058">
            <v>1.1499999999999999</v>
          </cell>
          <cell r="I1058">
            <v>1.7388000000000001</v>
          </cell>
          <cell r="J1058">
            <v>1.886598</v>
          </cell>
          <cell r="K1058">
            <v>2.3582475000000001</v>
          </cell>
          <cell r="L1058">
            <v>1</v>
          </cell>
          <cell r="M1058">
            <v>2.4823657894736844</v>
          </cell>
          <cell r="N1058">
            <v>2.6064840789473687</v>
          </cell>
          <cell r="O1058">
            <v>2.9204303405572758</v>
          </cell>
          <cell r="P1058">
            <v>3.2124733746130034</v>
          </cell>
          <cell r="Q1058">
            <v>3</v>
          </cell>
          <cell r="R1058">
            <v>3.6505379256965944</v>
          </cell>
        </row>
        <row r="1059">
          <cell r="A1059">
            <v>1996550</v>
          </cell>
          <cell r="C1059" t="str">
            <v>BM</v>
          </cell>
          <cell r="D1059" t="str">
            <v>WIRE,STRD,18AWG,RED/WHT,1015</v>
          </cell>
          <cell r="E1059">
            <v>1</v>
          </cell>
          <cell r="F1059">
            <v>0.16</v>
          </cell>
          <cell r="G1059">
            <v>0.21600000000000003</v>
          </cell>
          <cell r="H1059">
            <v>1.1499999999999999</v>
          </cell>
          <cell r="I1059">
            <v>0.24840000000000001</v>
          </cell>
          <cell r="J1059">
            <v>0.26951399999999998</v>
          </cell>
          <cell r="K1059">
            <v>0.33689249999999993</v>
          </cell>
          <cell r="L1059">
            <v>2</v>
          </cell>
          <cell r="M1059">
            <v>0.37432499999999991</v>
          </cell>
          <cell r="N1059">
            <v>0.3930412499999999</v>
          </cell>
          <cell r="O1059">
            <v>0.44038235294117639</v>
          </cell>
          <cell r="P1059">
            <v>0.48442058823529405</v>
          </cell>
          <cell r="Q1059">
            <v>3</v>
          </cell>
          <cell r="R1059">
            <v>0.55047794117647042</v>
          </cell>
        </row>
        <row r="1060">
          <cell r="A1060" t="str">
            <v>D480197G</v>
          </cell>
          <cell r="C1060" t="str">
            <v>GM</v>
          </cell>
          <cell r="D1060" t="str">
            <v>IFT COMPLETE ISOLATOR XP,F/COW (VASO)</v>
          </cell>
          <cell r="E1060">
            <v>1</v>
          </cell>
          <cell r="F1060">
            <v>308.88</v>
          </cell>
          <cell r="G1060">
            <v>416.988</v>
          </cell>
          <cell r="H1060">
            <v>1.1499999999999999</v>
          </cell>
          <cell r="I1060">
            <v>479.53619999999995</v>
          </cell>
          <cell r="J1060">
            <v>520.29677699999991</v>
          </cell>
          <cell r="K1060">
            <v>743.2811099999999</v>
          </cell>
          <cell r="L1060">
            <v>2</v>
          </cell>
          <cell r="M1060">
            <v>825.86789999999985</v>
          </cell>
          <cell r="N1060">
            <v>867.16129499999988</v>
          </cell>
          <cell r="O1060">
            <v>971.60929411764687</v>
          </cell>
          <cell r="P1060">
            <v>1068.7702235294116</v>
          </cell>
          <cell r="Q1060">
            <v>3</v>
          </cell>
          <cell r="R1060">
            <v>1214.5116176470585</v>
          </cell>
        </row>
        <row r="1061">
          <cell r="A1061">
            <v>8504117</v>
          </cell>
          <cell r="C1061" t="str">
            <v>BM</v>
          </cell>
          <cell r="D1061" t="str">
            <v>SILENCER,2.50</v>
          </cell>
          <cell r="E1061">
            <v>1</v>
          </cell>
          <cell r="F1061">
            <v>312.49</v>
          </cell>
          <cell r="G1061">
            <v>421.86150000000004</v>
          </cell>
          <cell r="H1061">
            <v>1.1499999999999999</v>
          </cell>
          <cell r="I1061">
            <v>485.14072499999997</v>
          </cell>
          <cell r="J1061">
            <v>526.37768662499991</v>
          </cell>
          <cell r="K1061">
            <v>657.9721082812498</v>
          </cell>
          <cell r="L1061">
            <v>1</v>
          </cell>
          <cell r="M1061">
            <v>692.6022192434209</v>
          </cell>
          <cell r="N1061">
            <v>727.23233020559201</v>
          </cell>
          <cell r="O1061">
            <v>814.82614028637761</v>
          </cell>
          <cell r="P1061">
            <v>896.30875431501545</v>
          </cell>
          <cell r="Q1061">
            <v>3</v>
          </cell>
          <cell r="R1061">
            <v>1018.5326753579719</v>
          </cell>
        </row>
        <row r="1062">
          <cell r="A1062">
            <v>8500858</v>
          </cell>
          <cell r="C1062" t="str">
            <v>BM</v>
          </cell>
          <cell r="D1062" t="str">
            <v>TUBE,SS,4.00 X .065W,DAIRY</v>
          </cell>
          <cell r="E1062">
            <v>20</v>
          </cell>
          <cell r="F1062">
            <v>32.82</v>
          </cell>
          <cell r="G1062">
            <v>44.307000000000002</v>
          </cell>
          <cell r="H1062">
            <v>1.1499999999999999</v>
          </cell>
          <cell r="I1062">
            <v>50.953049999999998</v>
          </cell>
          <cell r="J1062">
            <v>55.284059249999999</v>
          </cell>
          <cell r="K1062">
            <v>69.105074062499995</v>
          </cell>
          <cell r="L1062">
            <v>2</v>
          </cell>
          <cell r="M1062">
            <v>76.783415624999989</v>
          </cell>
          <cell r="N1062">
            <v>80.622586406249994</v>
          </cell>
          <cell r="O1062">
            <v>90.33343014705882</v>
          </cell>
          <cell r="P1062">
            <v>99.366773161764712</v>
          </cell>
          <cell r="Q1062">
            <v>3</v>
          </cell>
          <cell r="R1062">
            <v>112.91678768382351</v>
          </cell>
        </row>
        <row r="1063">
          <cell r="A1063">
            <v>8500424</v>
          </cell>
          <cell r="C1063" t="str">
            <v>BM</v>
          </cell>
          <cell r="D1063" t="str">
            <v>TUBE,RD, 3.00X.065,304,DAIRY</v>
          </cell>
          <cell r="E1063">
            <v>20</v>
          </cell>
          <cell r="F1063">
            <v>26.09</v>
          </cell>
          <cell r="G1063">
            <v>35.221499999999999</v>
          </cell>
          <cell r="H1063">
            <v>1.1499999999999999</v>
          </cell>
          <cell r="I1063">
            <v>40.504724999999993</v>
          </cell>
          <cell r="J1063">
            <v>43.947626624999991</v>
          </cell>
          <cell r="K1063">
            <v>54.934533281249983</v>
          </cell>
          <cell r="L1063">
            <v>2</v>
          </cell>
          <cell r="M1063">
            <v>61.038370312499978</v>
          </cell>
          <cell r="N1063">
            <v>64.090288828124983</v>
          </cell>
          <cell r="O1063">
            <v>71.809847426470569</v>
          </cell>
          <cell r="P1063">
            <v>78.990832169117638</v>
          </cell>
          <cell r="Q1063">
            <v>3</v>
          </cell>
          <cell r="R1063">
            <v>89.7623092830882</v>
          </cell>
        </row>
        <row r="1064">
          <cell r="A1064">
            <v>4019878</v>
          </cell>
          <cell r="C1064" t="str">
            <v>BM</v>
          </cell>
          <cell r="D1064" t="str">
            <v>CHILLER ASSY, 2 PLATE,140</v>
          </cell>
          <cell r="E1064">
            <v>1</v>
          </cell>
          <cell r="F1064">
            <v>22383.94</v>
          </cell>
          <cell r="G1064">
            <v>30218.319</v>
          </cell>
          <cell r="H1064">
            <v>1.1499999999999999</v>
          </cell>
          <cell r="I1064">
            <v>34751.066849999996</v>
          </cell>
          <cell r="J1064">
            <v>35446.088186999994</v>
          </cell>
          <cell r="K1064">
            <v>41701.280219999993</v>
          </cell>
          <cell r="L1064">
            <v>1</v>
          </cell>
          <cell r="M1064">
            <v>43896.084442105261</v>
          </cell>
          <cell r="N1064">
            <v>46090.888664210528</v>
          </cell>
          <cell r="O1064">
            <v>51642.45228482972</v>
          </cell>
          <cell r="P1064">
            <v>56806.697513312698</v>
          </cell>
          <cell r="Q1064">
            <v>1</v>
          </cell>
          <cell r="R1064">
            <v>57380.502538699686</v>
          </cell>
        </row>
        <row r="1065">
          <cell r="A1065">
            <v>4024300</v>
          </cell>
          <cell r="C1065" t="str">
            <v>BM</v>
          </cell>
          <cell r="D1065" t="str">
            <v>THERMOMETER,RCDG,W/AL RELAY</v>
          </cell>
          <cell r="E1065">
            <v>1</v>
          </cell>
          <cell r="F1065">
            <v>1146.06</v>
          </cell>
          <cell r="G1065">
            <v>1547.181</v>
          </cell>
          <cell r="H1065">
            <v>1.1499999999999999</v>
          </cell>
          <cell r="I1065">
            <v>1779.2581499999999</v>
          </cell>
          <cell r="J1065">
            <v>1814.8433129999999</v>
          </cell>
          <cell r="K1065">
            <v>2135.1097799999998</v>
          </cell>
          <cell r="L1065">
            <v>2</v>
          </cell>
          <cell r="M1065">
            <v>2372.3441999999995</v>
          </cell>
          <cell r="N1065">
            <v>2490.9614099999994</v>
          </cell>
          <cell r="O1065">
            <v>2790.993176470588</v>
          </cell>
          <cell r="P1065">
            <v>3070.0924941176472</v>
          </cell>
          <cell r="Q1065">
            <v>1</v>
          </cell>
          <cell r="R1065">
            <v>3101.1035294117642</v>
          </cell>
        </row>
        <row r="1066">
          <cell r="A1066">
            <v>14975430</v>
          </cell>
          <cell r="D1066" t="str">
            <v>Cabezal bomba M7</v>
          </cell>
          <cell r="E1066">
            <v>1</v>
          </cell>
          <cell r="F1066">
            <v>1607.83</v>
          </cell>
          <cell r="G1066">
            <v>2170.5705000000003</v>
          </cell>
          <cell r="H1066">
            <v>1.1499999999999999</v>
          </cell>
          <cell r="I1066">
            <v>2496.1560750000003</v>
          </cell>
          <cell r="J1066">
            <v>2708.3293413750002</v>
          </cell>
          <cell r="K1066">
            <v>3385.4116767187502</v>
          </cell>
          <cell r="L1066">
            <v>1</v>
          </cell>
          <cell r="M1066">
            <v>3563.591238651316</v>
          </cell>
          <cell r="N1066">
            <v>3741.7708005838817</v>
          </cell>
          <cell r="O1066">
            <v>4192.4602807662541</v>
          </cell>
          <cell r="P1066">
            <v>4611.7063088428795</v>
          </cell>
          <cell r="Q1066">
            <v>3</v>
          </cell>
          <cell r="R1066">
            <v>5240.5753509578171</v>
          </cell>
        </row>
        <row r="1067">
          <cell r="A1067">
            <v>4025980</v>
          </cell>
          <cell r="D1067" t="str">
            <v>BRACKET,WALL,N-SERIES PH</v>
          </cell>
          <cell r="F1067">
            <v>129.63</v>
          </cell>
          <cell r="G1067">
            <v>175.00050000000002</v>
          </cell>
          <cell r="H1067">
            <v>1.1499999999999999</v>
          </cell>
          <cell r="I1067">
            <v>201.250575</v>
          </cell>
          <cell r="J1067">
            <v>218.35687387499999</v>
          </cell>
          <cell r="K1067">
            <v>272.94609234374997</v>
          </cell>
          <cell r="L1067">
            <v>1</v>
          </cell>
          <cell r="M1067">
            <v>287.31167615131579</v>
          </cell>
          <cell r="N1067">
            <v>301.67725995888162</v>
          </cell>
          <cell r="O1067">
            <v>338.01373664860682</v>
          </cell>
          <cell r="P1067">
            <v>371.81511031346753</v>
          </cell>
          <cell r="Q1067">
            <v>3</v>
          </cell>
          <cell r="R1067">
            <v>422.5171708107585</v>
          </cell>
        </row>
        <row r="1068">
          <cell r="A1068">
            <v>8508251</v>
          </cell>
          <cell r="C1068" t="str">
            <v>BM</v>
          </cell>
          <cell r="D1068" t="str">
            <v>TRAP ASSY,SANITARY,3.00 IN</v>
          </cell>
          <cell r="E1068">
            <v>1</v>
          </cell>
          <cell r="F1068">
            <v>409.79</v>
          </cell>
          <cell r="G1068">
            <v>553.21650000000011</v>
          </cell>
          <cell r="H1068">
            <v>1.1499999999999999</v>
          </cell>
          <cell r="I1068">
            <v>636.19897500000013</v>
          </cell>
          <cell r="J1068">
            <v>690.27588787500008</v>
          </cell>
          <cell r="K1068">
            <v>862.8448598437501</v>
          </cell>
          <cell r="L1068">
            <v>1</v>
          </cell>
          <cell r="M1068">
            <v>908.25774720394747</v>
          </cell>
          <cell r="N1068">
            <v>953.67063456414485</v>
          </cell>
          <cell r="O1068">
            <v>1068.5385261222912</v>
          </cell>
          <cell r="P1068">
            <v>1175.3923787345204</v>
          </cell>
          <cell r="Q1068">
            <v>3</v>
          </cell>
          <cell r="R1068">
            <v>1335.6731576528639</v>
          </cell>
        </row>
        <row r="1069">
          <cell r="A1069" t="str">
            <v>D382765</v>
          </cell>
          <cell r="C1069" t="str">
            <v>GM</v>
          </cell>
          <cell r="D1069" t="str">
            <v>Sello superior</v>
          </cell>
          <cell r="E1069">
            <v>1</v>
          </cell>
          <cell r="F1069">
            <v>2.31</v>
          </cell>
          <cell r="G1069">
            <v>3.1185000000000005</v>
          </cell>
          <cell r="H1069">
            <v>1.1499999999999999</v>
          </cell>
          <cell r="I1069">
            <v>3.5862750000000001</v>
          </cell>
          <cell r="J1069">
            <v>3.891108375</v>
          </cell>
          <cell r="K1069">
            <v>5.5587262500000003</v>
          </cell>
          <cell r="L1069">
            <v>2</v>
          </cell>
          <cell r="M1069">
            <v>6.1763624999999998</v>
          </cell>
          <cell r="N1069">
            <v>6.4851806249999999</v>
          </cell>
          <cell r="O1069">
            <v>7.2663088235294113</v>
          </cell>
          <cell r="P1069">
            <v>7.9929397058823533</v>
          </cell>
          <cell r="Q1069">
            <v>3</v>
          </cell>
          <cell r="R1069">
            <v>9.0828860294117639</v>
          </cell>
        </row>
        <row r="1070">
          <cell r="A1070" t="str">
            <v>D381676</v>
          </cell>
          <cell r="C1070" t="str">
            <v>GM</v>
          </cell>
          <cell r="D1070" t="str">
            <v>Diafragma superior</v>
          </cell>
          <cell r="E1070">
            <v>1</v>
          </cell>
          <cell r="F1070">
            <v>3.37</v>
          </cell>
          <cell r="G1070">
            <v>4.5495000000000001</v>
          </cell>
          <cell r="H1070">
            <v>1.1499999999999999</v>
          </cell>
          <cell r="I1070">
            <v>5.2319249999999995</v>
          </cell>
          <cell r="J1070">
            <v>5.6766386249999989</v>
          </cell>
          <cell r="K1070">
            <v>8.109483749999999</v>
          </cell>
          <cell r="L1070">
            <v>2</v>
          </cell>
          <cell r="M1070">
            <v>9.0105374999999981</v>
          </cell>
          <cell r="N1070">
            <v>9.4610643749999976</v>
          </cell>
          <cell r="O1070">
            <v>10.600632352941174</v>
          </cell>
          <cell r="P1070">
            <v>11.660695588235292</v>
          </cell>
          <cell r="Q1070">
            <v>3</v>
          </cell>
          <cell r="R1070">
            <v>13.250790441176466</v>
          </cell>
        </row>
        <row r="1071">
          <cell r="A1071" t="str">
            <v>D382873</v>
          </cell>
          <cell r="C1071" t="str">
            <v>GM</v>
          </cell>
          <cell r="D1071" t="str">
            <v>Valvula sensor</v>
          </cell>
          <cell r="E1071">
            <v>1</v>
          </cell>
          <cell r="F1071">
            <v>5.9</v>
          </cell>
          <cell r="G1071">
            <v>7.9650000000000007</v>
          </cell>
          <cell r="H1071">
            <v>1.1499999999999999</v>
          </cell>
          <cell r="I1071">
            <v>9.1597500000000007</v>
          </cell>
          <cell r="J1071">
            <v>9.9383287500000002</v>
          </cell>
          <cell r="K1071">
            <v>14.197612500000002</v>
          </cell>
          <cell r="L1071">
            <v>1</v>
          </cell>
          <cell r="M1071">
            <v>14.944855263157898</v>
          </cell>
          <cell r="N1071">
            <v>15.692098026315794</v>
          </cell>
          <cell r="O1071">
            <v>17.582182662538703</v>
          </cell>
          <cell r="P1071">
            <v>19.340400928792576</v>
          </cell>
          <cell r="Q1071">
            <v>3</v>
          </cell>
          <cell r="R1071">
            <v>21.977728328173377</v>
          </cell>
        </row>
        <row r="1072">
          <cell r="A1072" t="str">
            <v>D381677</v>
          </cell>
          <cell r="C1072" t="str">
            <v>GM</v>
          </cell>
          <cell r="D1072" t="str">
            <v>Diafragma inferior</v>
          </cell>
          <cell r="E1072">
            <v>1</v>
          </cell>
          <cell r="F1072">
            <v>4.45</v>
          </cell>
          <cell r="G1072">
            <v>6.0075000000000003</v>
          </cell>
          <cell r="H1072">
            <v>1.1499999999999999</v>
          </cell>
          <cell r="I1072">
            <v>6.9086249999999998</v>
          </cell>
          <cell r="J1072">
            <v>7.4958581249999998</v>
          </cell>
          <cell r="K1072">
            <v>10.70836875</v>
          </cell>
          <cell r="L1072">
            <v>1</v>
          </cell>
          <cell r="M1072">
            <v>11.271967105263158</v>
          </cell>
          <cell r="N1072">
            <v>11.835565460526317</v>
          </cell>
          <cell r="O1072">
            <v>13.261137770897834</v>
          </cell>
          <cell r="P1072">
            <v>14.587251547987618</v>
          </cell>
          <cell r="Q1072">
            <v>3</v>
          </cell>
          <cell r="R1072">
            <v>16.576422213622291</v>
          </cell>
        </row>
        <row r="1073">
          <cell r="A1073" t="str">
            <v>D382764</v>
          </cell>
          <cell r="C1073" t="str">
            <v>GM</v>
          </cell>
          <cell r="D1073" t="str">
            <v>Sello sensor de las vías  inferiores</v>
          </cell>
          <cell r="E1073">
            <v>1</v>
          </cell>
          <cell r="F1073">
            <v>1.99</v>
          </cell>
          <cell r="G1073">
            <v>2.6865000000000001</v>
          </cell>
          <cell r="H1073">
            <v>1.1499999999999999</v>
          </cell>
          <cell r="I1073">
            <v>3.0894749999999997</v>
          </cell>
          <cell r="J1073">
            <v>3.3520803749999994</v>
          </cell>
          <cell r="K1073">
            <v>4.7886862499999996</v>
          </cell>
          <cell r="L1073">
            <v>2</v>
          </cell>
          <cell r="M1073">
            <v>5.3207624999999998</v>
          </cell>
          <cell r="N1073">
            <v>5.5868006250000004</v>
          </cell>
          <cell r="O1073">
            <v>6.259720588235294</v>
          </cell>
          <cell r="P1073">
            <v>6.885692647058824</v>
          </cell>
          <cell r="Q1073">
            <v>3</v>
          </cell>
          <cell r="R1073">
            <v>7.8246507352941173</v>
          </cell>
        </row>
        <row r="1074">
          <cell r="A1074" t="str">
            <v>D385791</v>
          </cell>
          <cell r="D1074" t="str">
            <v>LOCKING RING RAM ISOLATOR 3</v>
          </cell>
          <cell r="F1074">
            <v>3.49</v>
          </cell>
          <cell r="G1074">
            <v>4.7115000000000009</v>
          </cell>
          <cell r="H1074">
            <v>1.1499999999999999</v>
          </cell>
          <cell r="I1074">
            <v>5.4182250000000005</v>
          </cell>
          <cell r="J1074">
            <v>5.8787741250000005</v>
          </cell>
          <cell r="K1074">
            <v>7.3484676562500004</v>
          </cell>
          <cell r="L1074">
            <v>1</v>
          </cell>
          <cell r="M1074">
            <v>7.7352291118421057</v>
          </cell>
          <cell r="N1074">
            <v>8.1219905674342119</v>
          </cell>
          <cell r="O1074">
            <v>9.1002695433436536</v>
          </cell>
          <cell r="P1074">
            <v>10.01029649767802</v>
          </cell>
          <cell r="Q1074">
            <v>3</v>
          </cell>
          <cell r="R1074">
            <v>11.375336929179566</v>
          </cell>
        </row>
        <row r="1075">
          <cell r="A1075">
            <v>8500370</v>
          </cell>
          <cell r="C1075" t="str">
            <v>BM</v>
          </cell>
          <cell r="D1075" t="str">
            <v>ferula para soldar(FERRULE,SS,BUTT WELD,1.50)</v>
          </cell>
          <cell r="E1075">
            <v>1</v>
          </cell>
          <cell r="F1075">
            <v>6.99</v>
          </cell>
          <cell r="G1075">
            <v>9.4365000000000006</v>
          </cell>
          <cell r="H1075">
            <v>1.1499999999999999</v>
          </cell>
          <cell r="I1075">
            <v>10.851974999999999</v>
          </cell>
          <cell r="J1075">
            <v>11.774392874999998</v>
          </cell>
          <cell r="K1075">
            <v>14.717991093749998</v>
          </cell>
          <cell r="L1075">
            <v>2</v>
          </cell>
          <cell r="M1075">
            <v>16.353323437499999</v>
          </cell>
          <cell r="N1075">
            <v>17.170989609374999</v>
          </cell>
          <cell r="O1075">
            <v>19.239204044117646</v>
          </cell>
          <cell r="P1075">
            <v>21.163124448529413</v>
          </cell>
          <cell r="Q1075">
            <v>3</v>
          </cell>
          <cell r="R1075">
            <v>24.049005055147056</v>
          </cell>
        </row>
        <row r="1076">
          <cell r="A1076" t="str">
            <v>D255719</v>
          </cell>
          <cell r="D1076" t="str">
            <v>SWITCH ASSEMBLY</v>
          </cell>
          <cell r="F1076">
            <v>9.52</v>
          </cell>
          <cell r="G1076">
            <v>12.852</v>
          </cell>
          <cell r="H1076">
            <v>1.1499999999999999</v>
          </cell>
          <cell r="I1076">
            <v>14.7798</v>
          </cell>
          <cell r="J1076">
            <v>16.036082999999998</v>
          </cell>
          <cell r="K1076">
            <v>20.045103749999996</v>
          </cell>
          <cell r="L1076">
            <v>2</v>
          </cell>
          <cell r="M1076">
            <v>22.272337499999995</v>
          </cell>
          <cell r="N1076">
            <v>23.385954374999997</v>
          </cell>
          <cell r="O1076">
            <v>26.202749999999995</v>
          </cell>
          <cell r="P1076">
            <v>28.823024999999998</v>
          </cell>
          <cell r="Q1076">
            <v>3</v>
          </cell>
          <cell r="R1076">
            <v>32.75343749999999</v>
          </cell>
        </row>
        <row r="1077">
          <cell r="A1077">
            <v>8506898</v>
          </cell>
          <cell r="C1077" t="str">
            <v>BM</v>
          </cell>
          <cell r="D1077" t="str">
            <v>Soporte colector a brete( HANGER ASSY,CLAW)</v>
          </cell>
          <cell r="E1077">
            <v>1</v>
          </cell>
          <cell r="F1077">
            <v>9.58</v>
          </cell>
          <cell r="G1077">
            <v>12.933000000000002</v>
          </cell>
          <cell r="H1077">
            <v>1.1499999999999999</v>
          </cell>
          <cell r="I1077">
            <v>14.872950000000001</v>
          </cell>
          <cell r="J1077">
            <v>16.13715075</v>
          </cell>
          <cell r="K1077">
            <v>20.171438437499997</v>
          </cell>
          <cell r="L1077">
            <v>1</v>
          </cell>
          <cell r="M1077">
            <v>21.233093092105261</v>
          </cell>
          <cell r="N1077">
            <v>22.294747746710524</v>
          </cell>
          <cell r="O1077">
            <v>24.980109520123836</v>
          </cell>
          <cell r="P1077">
            <v>27.478120472136222</v>
          </cell>
          <cell r="Q1077">
            <v>3</v>
          </cell>
          <cell r="R1077">
            <v>31.225136900154794</v>
          </cell>
        </row>
        <row r="1078">
          <cell r="A1078">
            <v>321730</v>
          </cell>
          <cell r="D1078" t="str">
            <v>HANGER, MILKMASTER, 3", S.S.,</v>
          </cell>
          <cell r="F1078">
            <v>22.69</v>
          </cell>
          <cell r="G1078">
            <v>30.631500000000003</v>
          </cell>
          <cell r="H1078">
            <v>1.1499999999999999</v>
          </cell>
          <cell r="I1078">
            <v>35.226224999999999</v>
          </cell>
          <cell r="J1078">
            <v>38.220454124999996</v>
          </cell>
          <cell r="K1078">
            <v>47.77556765624999</v>
          </cell>
          <cell r="L1078">
            <v>2</v>
          </cell>
          <cell r="M1078">
            <v>53.083964062499987</v>
          </cell>
          <cell r="N1078">
            <v>55.738162265624986</v>
          </cell>
          <cell r="O1078">
            <v>62.451722426470575</v>
          </cell>
          <cell r="P1078">
            <v>68.69689466911764</v>
          </cell>
          <cell r="Q1078">
            <v>3</v>
          </cell>
          <cell r="R1078">
            <v>78.06465303308822</v>
          </cell>
        </row>
        <row r="1079">
          <cell r="A1079" t="str">
            <v>142561B</v>
          </cell>
          <cell r="D1079" t="str">
            <v>BUSHING, PULLEY, 1 3/8" SDS</v>
          </cell>
          <cell r="F1079">
            <v>12.11</v>
          </cell>
          <cell r="G1079">
            <v>16.348500000000001</v>
          </cell>
          <cell r="H1079">
            <v>1.1499999999999999</v>
          </cell>
          <cell r="I1079">
            <v>18.800775000000002</v>
          </cell>
          <cell r="J1079">
            <v>20.398840875000001</v>
          </cell>
          <cell r="K1079">
            <v>25.498551093749999</v>
          </cell>
          <cell r="L1079">
            <v>2</v>
          </cell>
          <cell r="M1079">
            <v>28.331723437499999</v>
          </cell>
          <cell r="N1079">
            <v>29.748309609374999</v>
          </cell>
          <cell r="O1079">
            <v>33.331439338235292</v>
          </cell>
          <cell r="P1079">
            <v>36.664583272058827</v>
          </cell>
          <cell r="Q1079">
            <v>3</v>
          </cell>
          <cell r="R1079">
            <v>41.664299172794109</v>
          </cell>
        </row>
        <row r="1080">
          <cell r="A1080">
            <v>8500329</v>
          </cell>
          <cell r="C1080" t="str">
            <v>BM</v>
          </cell>
          <cell r="D1080" t="str">
            <v>Ferula expandible(FERRULE,SS,CLP,3)</v>
          </cell>
          <cell r="E1080">
            <v>1</v>
          </cell>
          <cell r="F1080">
            <v>13.63</v>
          </cell>
          <cell r="G1080">
            <v>18.400500000000001</v>
          </cell>
          <cell r="H1080">
            <v>1.1499999999999999</v>
          </cell>
          <cell r="I1080">
            <v>21.160574999999998</v>
          </cell>
          <cell r="J1080">
            <v>22.959223874999996</v>
          </cell>
          <cell r="K1080">
            <v>28.699029843749994</v>
          </cell>
          <cell r="L1080">
            <v>2</v>
          </cell>
          <cell r="M1080">
            <v>31.887810937499992</v>
          </cell>
          <cell r="N1080">
            <v>33.48220148437499</v>
          </cell>
          <cell r="O1080">
            <v>37.515071691176459</v>
          </cell>
          <cell r="P1080">
            <v>41.266578860294111</v>
          </cell>
          <cell r="Q1080">
            <v>3</v>
          </cell>
          <cell r="R1080">
            <v>46.89383961397057</v>
          </cell>
        </row>
        <row r="1081">
          <cell r="A1081">
            <v>8504061</v>
          </cell>
          <cell r="C1081" t="str">
            <v>BM</v>
          </cell>
          <cell r="D1081" t="str">
            <v>Soporte caneria(HANGER,3.0",TUBE,PLASTIC,CLAMP)</v>
          </cell>
          <cell r="E1081">
            <v>1</v>
          </cell>
          <cell r="F1081">
            <v>24.26</v>
          </cell>
          <cell r="G1081">
            <v>32.751000000000005</v>
          </cell>
          <cell r="H1081">
            <v>1.1499999999999999</v>
          </cell>
          <cell r="I1081">
            <v>37.663650000000004</v>
          </cell>
          <cell r="J1081">
            <v>40.865060250000006</v>
          </cell>
          <cell r="K1081">
            <v>51.081325312500006</v>
          </cell>
          <cell r="L1081">
            <v>2</v>
          </cell>
          <cell r="M1081">
            <v>56.757028125000005</v>
          </cell>
          <cell r="N1081">
            <v>59.594879531250008</v>
          </cell>
          <cell r="O1081">
            <v>66.772974264705894</v>
          </cell>
          <cell r="P1081">
            <v>73.450271691176496</v>
          </cell>
          <cell r="Q1081">
            <v>3</v>
          </cell>
          <cell r="R1081">
            <v>83.466217830882357</v>
          </cell>
        </row>
        <row r="1082">
          <cell r="A1082">
            <v>8500575</v>
          </cell>
          <cell r="C1082" t="str">
            <v>BM</v>
          </cell>
          <cell r="D1082" t="str">
            <v>TUBE,RD, 2.50X.065,304,DAIRY</v>
          </cell>
          <cell r="E1082">
            <v>20</v>
          </cell>
          <cell r="F1082">
            <v>21.25</v>
          </cell>
          <cell r="G1082">
            <v>28.687500000000004</v>
          </cell>
          <cell r="H1082">
            <v>1.1499999999999999</v>
          </cell>
          <cell r="I1082">
            <v>32.990625000000001</v>
          </cell>
          <cell r="J1082">
            <v>35.794828125000002</v>
          </cell>
          <cell r="K1082">
            <v>44.743535156249997</v>
          </cell>
          <cell r="L1082">
            <v>2</v>
          </cell>
          <cell r="M1082">
            <v>49.715039062499997</v>
          </cell>
          <cell r="N1082">
            <v>52.200791015625001</v>
          </cell>
          <cell r="O1082">
            <v>58.48828125</v>
          </cell>
          <cell r="P1082">
            <v>64.337109375000011</v>
          </cell>
          <cell r="Q1082">
            <v>3</v>
          </cell>
          <cell r="R1082">
            <v>73.1103515625</v>
          </cell>
        </row>
        <row r="1083">
          <cell r="A1083">
            <v>8553819</v>
          </cell>
          <cell r="C1083" t="str">
            <v>BM</v>
          </cell>
          <cell r="D1083" t="str">
            <v>Ferula para soldar(FERRULE,SS,BUTT WELD,4.00)</v>
          </cell>
          <cell r="E1083">
            <v>1</v>
          </cell>
          <cell r="F1083">
            <v>25.81</v>
          </cell>
          <cell r="G1083">
            <v>34.843499999999999</v>
          </cell>
          <cell r="H1083">
            <v>1.1499999999999999</v>
          </cell>
          <cell r="I1083">
            <v>40.070024999999994</v>
          </cell>
          <cell r="J1083">
            <v>43.475977124999993</v>
          </cell>
          <cell r="K1083">
            <v>54.344971406249989</v>
          </cell>
          <cell r="L1083">
            <v>2</v>
          </cell>
          <cell r="M1083">
            <v>60.383301562499987</v>
          </cell>
          <cell r="N1083">
            <v>63.402466640624986</v>
          </cell>
          <cell r="O1083">
            <v>71.039178308823523</v>
          </cell>
          <cell r="P1083">
            <v>78.143096139705875</v>
          </cell>
          <cell r="Q1083">
            <v>3</v>
          </cell>
          <cell r="R1083">
            <v>88.798972886029404</v>
          </cell>
        </row>
        <row r="1084">
          <cell r="A1084" t="str">
            <v>D382760</v>
          </cell>
          <cell r="C1084" t="str">
            <v>GM</v>
          </cell>
          <cell r="D1084" t="str">
            <v>Sello capuchon sensor de leche</v>
          </cell>
          <cell r="E1084">
            <v>1</v>
          </cell>
          <cell r="F1084">
            <v>13.68</v>
          </cell>
          <cell r="G1084">
            <v>18.468</v>
          </cell>
          <cell r="H1084">
            <v>1.1499999999999999</v>
          </cell>
          <cell r="I1084">
            <v>21.238199999999999</v>
          </cell>
          <cell r="J1084">
            <v>23.043446999999997</v>
          </cell>
          <cell r="K1084">
            <v>32.91921</v>
          </cell>
          <cell r="L1084">
            <v>1</v>
          </cell>
          <cell r="M1084">
            <v>34.651800000000001</v>
          </cell>
          <cell r="N1084">
            <v>36.384390000000003</v>
          </cell>
          <cell r="O1084">
            <v>40.766823529411766</v>
          </cell>
          <cell r="P1084">
            <v>44.84350588235295</v>
          </cell>
          <cell r="Q1084">
            <v>3</v>
          </cell>
          <cell r="R1084">
            <v>50.958529411764708</v>
          </cell>
        </row>
        <row r="1085">
          <cell r="A1085">
            <v>8511748</v>
          </cell>
          <cell r="C1085" t="str">
            <v>BM</v>
          </cell>
          <cell r="D1085" t="str">
            <v>Filtro de aire pulsado(FILTER ASSY,PULSATOR)</v>
          </cell>
          <cell r="E1085">
            <v>1</v>
          </cell>
          <cell r="F1085">
            <v>93.9</v>
          </cell>
          <cell r="G1085">
            <v>126.76500000000001</v>
          </cell>
          <cell r="H1085">
            <v>1.1499999999999999</v>
          </cell>
          <cell r="I1085">
            <v>145.77975000000001</v>
          </cell>
          <cell r="J1085">
            <v>158.17102875</v>
          </cell>
          <cell r="K1085">
            <v>197.71378593750001</v>
          </cell>
          <cell r="L1085">
            <v>1</v>
          </cell>
          <cell r="M1085">
            <v>208.11977467105265</v>
          </cell>
          <cell r="N1085">
            <v>218.5257634046053</v>
          </cell>
          <cell r="O1085">
            <v>244.84679373065018</v>
          </cell>
          <cell r="P1085">
            <v>269.33147310371521</v>
          </cell>
          <cell r="Q1085">
            <v>3</v>
          </cell>
          <cell r="R1085">
            <v>306.05849216331268</v>
          </cell>
        </row>
        <row r="1086">
          <cell r="A1086" t="str">
            <v>D385784</v>
          </cell>
          <cell r="D1086" t="e">
            <v>#N/A</v>
          </cell>
          <cell r="F1086">
            <v>39.159999999999997</v>
          </cell>
          <cell r="G1086">
            <v>52.866</v>
          </cell>
          <cell r="H1086">
            <v>1.1499999999999999</v>
          </cell>
          <cell r="I1086">
            <v>60.795899999999996</v>
          </cell>
          <cell r="J1086">
            <v>65.963551499999994</v>
          </cell>
          <cell r="K1086">
            <v>82.454439374999993</v>
          </cell>
          <cell r="L1086">
            <v>2</v>
          </cell>
          <cell r="M1086">
            <v>91.616043749999989</v>
          </cell>
          <cell r="N1086">
            <v>96.196845937499987</v>
          </cell>
          <cell r="O1086">
            <v>107.78358088235294</v>
          </cell>
          <cell r="P1086">
            <v>118.56193897058824</v>
          </cell>
          <cell r="Q1086">
            <v>3</v>
          </cell>
          <cell r="R1086">
            <v>134.72947610294116</v>
          </cell>
        </row>
        <row r="1087">
          <cell r="A1087">
            <v>14254</v>
          </cell>
          <cell r="D1087" t="str">
            <v>PULLEY, MOTOR, 2B5.4, 2 GROOVE</v>
          </cell>
          <cell r="F1087">
            <v>38.659999999999997</v>
          </cell>
          <cell r="G1087">
            <v>52.190999999999995</v>
          </cell>
          <cell r="H1087">
            <v>1.1499999999999999</v>
          </cell>
          <cell r="I1087">
            <v>60.019649999999992</v>
          </cell>
          <cell r="J1087">
            <v>65.121320249999982</v>
          </cell>
          <cell r="K1087">
            <v>81.401650312499967</v>
          </cell>
          <cell r="L1087">
            <v>2</v>
          </cell>
          <cell r="M1087">
            <v>90.446278124999964</v>
          </cell>
          <cell r="N1087">
            <v>94.968592031249969</v>
          </cell>
          <cell r="O1087">
            <v>106.40738602941173</v>
          </cell>
          <cell r="P1087">
            <v>117.04812463235291</v>
          </cell>
          <cell r="Q1087">
            <v>3</v>
          </cell>
          <cell r="R1087">
            <v>133.00923253676464</v>
          </cell>
        </row>
        <row r="1088">
          <cell r="A1088" t="str">
            <v>D255534</v>
          </cell>
          <cell r="C1088" t="str">
            <v>GM</v>
          </cell>
          <cell r="D1088" t="str">
            <v>Diafragma y sello piston</v>
          </cell>
          <cell r="E1088">
            <v>1</v>
          </cell>
          <cell r="F1088">
            <v>39.19</v>
          </cell>
          <cell r="G1088">
            <v>52.906500000000001</v>
          </cell>
          <cell r="H1088">
            <v>1.1499999999999999</v>
          </cell>
          <cell r="I1088">
            <v>60.842474999999993</v>
          </cell>
          <cell r="J1088">
            <v>66.014085374999993</v>
          </cell>
          <cell r="K1088">
            <v>94.305836249999999</v>
          </cell>
          <cell r="L1088">
            <v>2</v>
          </cell>
          <cell r="M1088">
            <v>104.7842625</v>
          </cell>
          <cell r="N1088">
            <v>110.023475625</v>
          </cell>
          <cell r="O1088">
            <v>123.27560294117647</v>
          </cell>
          <cell r="P1088">
            <v>135.60316323529412</v>
          </cell>
          <cell r="Q1088">
            <v>3</v>
          </cell>
          <cell r="R1088">
            <v>154.09450367647059</v>
          </cell>
        </row>
        <row r="1089">
          <cell r="A1089">
            <v>8511624</v>
          </cell>
          <cell r="C1089" t="str">
            <v>BM</v>
          </cell>
          <cell r="D1089" t="str">
            <v>STALLCOCK,DIE-CAST,CLAMP-ON</v>
          </cell>
          <cell r="E1089">
            <v>1</v>
          </cell>
          <cell r="F1089">
            <v>44.8</v>
          </cell>
          <cell r="G1089">
            <v>60.48</v>
          </cell>
          <cell r="H1089">
            <v>1.1499999999999999</v>
          </cell>
          <cell r="I1089">
            <v>69.551999999999992</v>
          </cell>
          <cell r="J1089">
            <v>75.463919999999987</v>
          </cell>
          <cell r="K1089">
            <v>94.329899999999981</v>
          </cell>
          <cell r="L1089">
            <v>2</v>
          </cell>
          <cell r="M1089">
            <v>104.81099999999998</v>
          </cell>
          <cell r="N1089">
            <v>110.05154999999998</v>
          </cell>
          <cell r="O1089">
            <v>123.30705882352939</v>
          </cell>
          <cell r="P1089">
            <v>135.63776470588235</v>
          </cell>
          <cell r="Q1089">
            <v>3</v>
          </cell>
          <cell r="R1089">
            <v>154.13382352941173</v>
          </cell>
        </row>
        <row r="1090">
          <cell r="A1090">
            <v>8500861</v>
          </cell>
          <cell r="C1090" t="str">
            <v>BM</v>
          </cell>
          <cell r="D1090" t="str">
            <v>T inox.(TEE,SS,4.0,CLP)</v>
          </cell>
          <cell r="E1090">
            <v>1</v>
          </cell>
          <cell r="F1090">
            <v>124.22</v>
          </cell>
          <cell r="G1090">
            <v>167.697</v>
          </cell>
          <cell r="H1090">
            <v>1.1499999999999999</v>
          </cell>
          <cell r="I1090">
            <v>192.85154999999997</v>
          </cell>
          <cell r="J1090">
            <v>209.24393174999997</v>
          </cell>
          <cell r="K1090">
            <v>261.55491468749995</v>
          </cell>
          <cell r="L1090">
            <v>2</v>
          </cell>
          <cell r="M1090">
            <v>290.61657187499992</v>
          </cell>
          <cell r="N1090">
            <v>305.14740046874994</v>
          </cell>
          <cell r="O1090">
            <v>341.90184926470579</v>
          </cell>
          <cell r="P1090">
            <v>376.09203419117642</v>
          </cell>
          <cell r="Q1090">
            <v>3</v>
          </cell>
          <cell r="R1090">
            <v>427.37731158088224</v>
          </cell>
        </row>
        <row r="1091">
          <cell r="A1091">
            <v>8583219</v>
          </cell>
          <cell r="C1091" t="str">
            <v>BM</v>
          </cell>
          <cell r="D1091" t="str">
            <v>PULSATOR ASSY,HIFLO EVO</v>
          </cell>
          <cell r="E1091">
            <v>1</v>
          </cell>
          <cell r="F1091">
            <v>247.5</v>
          </cell>
          <cell r="G1091">
            <v>334.125</v>
          </cell>
          <cell r="H1091">
            <v>1</v>
          </cell>
          <cell r="I1091">
            <v>334.125</v>
          </cell>
          <cell r="J1091">
            <v>362.52562499999999</v>
          </cell>
          <cell r="K1091">
            <v>453.15703124999999</v>
          </cell>
          <cell r="L1091">
            <v>1</v>
          </cell>
          <cell r="M1091">
            <v>477.00740131578948</v>
          </cell>
          <cell r="N1091">
            <v>500.85777138157897</v>
          </cell>
          <cell r="O1091">
            <v>561.18517801857593</v>
          </cell>
          <cell r="P1091">
            <v>617.30369582043352</v>
          </cell>
          <cell r="Q1091">
            <v>3</v>
          </cell>
          <cell r="R1091">
            <v>701.48147252321985</v>
          </cell>
        </row>
        <row r="1092">
          <cell r="A1092">
            <v>8504276</v>
          </cell>
          <cell r="C1092" t="str">
            <v>BM</v>
          </cell>
          <cell r="D1092" t="str">
            <v>Codo (ELBOW,120 DEG,SS,3)</v>
          </cell>
          <cell r="E1092">
            <v>1</v>
          </cell>
          <cell r="F1092">
            <v>195.05</v>
          </cell>
          <cell r="G1092">
            <v>263.31750000000005</v>
          </cell>
          <cell r="H1092">
            <v>1.1499999999999999</v>
          </cell>
          <cell r="I1092">
            <v>302.81512500000002</v>
          </cell>
          <cell r="J1092">
            <v>328.554410625</v>
          </cell>
          <cell r="K1092">
            <v>410.69301328124999</v>
          </cell>
          <cell r="L1092">
            <v>1</v>
          </cell>
          <cell r="M1092">
            <v>432.30843503289475</v>
          </cell>
          <cell r="N1092">
            <v>453.92385678453951</v>
          </cell>
          <cell r="O1092">
            <v>508.59815886222913</v>
          </cell>
          <cell r="P1092">
            <v>559.4579747484521</v>
          </cell>
          <cell r="Q1092">
            <v>3</v>
          </cell>
          <cell r="R1092">
            <v>635.74769857778642</v>
          </cell>
        </row>
        <row r="1093">
          <cell r="A1093">
            <v>8584848</v>
          </cell>
          <cell r="D1093" t="str">
            <v>PACKED PARTS,DUALFLO,COVERS,TP</v>
          </cell>
          <cell r="F1093">
            <v>155.84</v>
          </cell>
          <cell r="G1093">
            <v>210.38400000000001</v>
          </cell>
          <cell r="H1093">
            <v>1.1499999999999999</v>
          </cell>
          <cell r="I1093">
            <v>241.94159999999999</v>
          </cell>
          <cell r="J1093">
            <v>262.50663599999996</v>
          </cell>
          <cell r="K1093">
            <v>328.13329499999992</v>
          </cell>
          <cell r="L1093">
            <v>2</v>
          </cell>
          <cell r="M1093">
            <v>364.5925499999999</v>
          </cell>
          <cell r="N1093">
            <v>382.8221774999999</v>
          </cell>
          <cell r="O1093">
            <v>428.93241176470576</v>
          </cell>
          <cell r="P1093">
            <v>471.82565294117637</v>
          </cell>
          <cell r="Q1093">
            <v>3</v>
          </cell>
          <cell r="R1093">
            <v>536.16551470588217</v>
          </cell>
        </row>
        <row r="1094">
          <cell r="A1094">
            <v>8500912</v>
          </cell>
          <cell r="D1094" t="str">
            <v>STAND,TRIANGULAR</v>
          </cell>
          <cell r="E1094">
            <v>1</v>
          </cell>
          <cell r="F1094">
            <v>72.83</v>
          </cell>
          <cell r="G1094">
            <v>98.32050000000001</v>
          </cell>
          <cell r="H1094">
            <v>1</v>
          </cell>
          <cell r="I1094">
            <v>98.32050000000001</v>
          </cell>
          <cell r="J1094">
            <v>106.67774250000001</v>
          </cell>
          <cell r="K1094">
            <v>133.347178125</v>
          </cell>
          <cell r="L1094">
            <v>1</v>
          </cell>
          <cell r="M1094">
            <v>140.36545065789474</v>
          </cell>
          <cell r="N1094">
            <v>147.38372319078948</v>
          </cell>
          <cell r="O1094">
            <v>147.38372319078948</v>
          </cell>
          <cell r="P1094">
            <v>162.12209550986844</v>
          </cell>
          <cell r="Q1094">
            <v>3</v>
          </cell>
          <cell r="R1094">
            <v>184.22965398848683</v>
          </cell>
        </row>
        <row r="1095">
          <cell r="A1095" t="str">
            <v>D494191</v>
          </cell>
          <cell r="C1095" t="str">
            <v>GM</v>
          </cell>
          <cell r="D1095" t="str">
            <v>Pulsador GM 4 Salidas</v>
          </cell>
          <cell r="E1095">
            <v>1</v>
          </cell>
          <cell r="F1095">
            <v>148.21</v>
          </cell>
          <cell r="G1095">
            <v>200.08350000000002</v>
          </cell>
          <cell r="H1095">
            <v>1.1499999999999999</v>
          </cell>
          <cell r="I1095">
            <v>230.096025</v>
          </cell>
          <cell r="J1095">
            <v>249.65418712499999</v>
          </cell>
          <cell r="K1095">
            <v>312.06773390625</v>
          </cell>
          <cell r="L1095">
            <v>3</v>
          </cell>
          <cell r="M1095">
            <v>367.13851047794117</v>
          </cell>
          <cell r="N1095">
            <v>385.49543600183824</v>
          </cell>
          <cell r="O1095">
            <v>431.92765938581317</v>
          </cell>
          <cell r="P1095">
            <v>475.12042532439455</v>
          </cell>
          <cell r="Q1095">
            <v>3</v>
          </cell>
          <cell r="R1095">
            <v>539.90957423226644</v>
          </cell>
        </row>
        <row r="1096">
          <cell r="A1096">
            <v>8513975</v>
          </cell>
          <cell r="C1096" t="str">
            <v>BM</v>
          </cell>
          <cell r="D1096" t="str">
            <v>Espada control de nivel (PROBE ASSY,1.5")</v>
          </cell>
          <cell r="E1096">
            <v>1</v>
          </cell>
          <cell r="F1096">
            <v>231.23</v>
          </cell>
          <cell r="G1096">
            <v>312.16050000000001</v>
          </cell>
          <cell r="H1096">
            <v>1</v>
          </cell>
          <cell r="I1096">
            <v>312.16050000000001</v>
          </cell>
          <cell r="J1096">
            <v>338.6941425</v>
          </cell>
          <cell r="K1096">
            <v>423.367678125</v>
          </cell>
          <cell r="L1096">
            <v>1</v>
          </cell>
          <cell r="M1096">
            <v>445.65018750000002</v>
          </cell>
          <cell r="N1096">
            <v>467.93269687500003</v>
          </cell>
          <cell r="O1096">
            <v>524.29433823529416</v>
          </cell>
          <cell r="P1096">
            <v>576.72377205882367</v>
          </cell>
          <cell r="Q1096">
            <v>3</v>
          </cell>
          <cell r="R1096">
            <v>655.3679227941177</v>
          </cell>
        </row>
        <row r="1097">
          <cell r="A1097">
            <v>8512775</v>
          </cell>
          <cell r="C1097" t="str">
            <v>BM</v>
          </cell>
          <cell r="D1097" t="str">
            <v>Colector con valvula de corte(CLAW ASSY,X/C,F-S,W/VALVE)</v>
          </cell>
          <cell r="E1097">
            <v>1</v>
          </cell>
          <cell r="F1097">
            <v>278.14999999999998</v>
          </cell>
          <cell r="G1097">
            <v>375.5025</v>
          </cell>
          <cell r="H1097">
            <v>1.1499999999999999</v>
          </cell>
          <cell r="I1097">
            <v>431.82787499999995</v>
          </cell>
          <cell r="J1097">
            <v>468.53324437499992</v>
          </cell>
          <cell r="K1097">
            <v>585.66655546874983</v>
          </cell>
          <cell r="L1097">
            <v>1</v>
          </cell>
          <cell r="M1097">
            <v>616.49111101973665</v>
          </cell>
          <cell r="N1097">
            <v>647.31566657072347</v>
          </cell>
          <cell r="O1097">
            <v>725.28366002321957</v>
          </cell>
          <cell r="P1097">
            <v>797.81202602554163</v>
          </cell>
          <cell r="Q1097">
            <v>3</v>
          </cell>
          <cell r="R1097">
            <v>906.60457502902443</v>
          </cell>
        </row>
        <row r="1098">
          <cell r="A1098">
            <v>8504063</v>
          </cell>
          <cell r="C1098" t="str">
            <v>BM</v>
          </cell>
          <cell r="D1098" t="str">
            <v>Riel (RAIL,SS,39",HANGER,PIPELINE)</v>
          </cell>
          <cell r="E1098">
            <v>1</v>
          </cell>
          <cell r="F1098">
            <v>37.19</v>
          </cell>
          <cell r="G1098">
            <v>50.206499999999998</v>
          </cell>
          <cell r="H1098">
            <v>1.1499999999999999</v>
          </cell>
          <cell r="I1098">
            <v>57.737474999999996</v>
          </cell>
          <cell r="J1098">
            <v>62.645160374999996</v>
          </cell>
          <cell r="K1098">
            <v>78.306450468749986</v>
          </cell>
          <cell r="L1098">
            <v>2</v>
          </cell>
          <cell r="M1098">
            <v>87.007167187499988</v>
          </cell>
          <cell r="N1098">
            <v>91.357525546874996</v>
          </cell>
          <cell r="O1098">
            <v>102.36137316176469</v>
          </cell>
          <cell r="P1098">
            <v>112.59751047794117</v>
          </cell>
          <cell r="Q1098">
            <v>3</v>
          </cell>
          <cell r="R1098">
            <v>127.95171645220586</v>
          </cell>
        </row>
        <row r="1099">
          <cell r="A1099">
            <v>8500476</v>
          </cell>
          <cell r="C1099" t="str">
            <v>BM</v>
          </cell>
          <cell r="D1099" t="str">
            <v>Curva final de caneria(U-BEND,SS,W/FERL,2.0,6CC)</v>
          </cell>
          <cell r="E1099">
            <v>1</v>
          </cell>
          <cell r="F1099">
            <v>173.23</v>
          </cell>
          <cell r="G1099">
            <v>233.8605</v>
          </cell>
          <cell r="H1099">
            <v>1.1499999999999999</v>
          </cell>
          <cell r="I1099">
            <v>268.93957499999999</v>
          </cell>
          <cell r="J1099">
            <v>291.79943887499996</v>
          </cell>
          <cell r="K1099">
            <v>364.74929859374993</v>
          </cell>
          <cell r="L1099">
            <v>2</v>
          </cell>
          <cell r="M1099">
            <v>405.27699843749991</v>
          </cell>
          <cell r="N1099">
            <v>425.54084835937493</v>
          </cell>
          <cell r="O1099">
            <v>476.79646874999992</v>
          </cell>
          <cell r="P1099">
            <v>524.47611562499992</v>
          </cell>
          <cell r="Q1099">
            <v>3</v>
          </cell>
          <cell r="R1099">
            <v>595.99558593749987</v>
          </cell>
        </row>
        <row r="1100">
          <cell r="A1100">
            <v>8514752</v>
          </cell>
          <cell r="C1100" t="str">
            <v>BM</v>
          </cell>
          <cell r="D1100" t="str">
            <v>Distribuidor de lavado inox.(DISTRIBUTOR,SS,JETTER</v>
          </cell>
          <cell r="E1100">
            <v>1</v>
          </cell>
          <cell r="F1100">
            <v>21.4</v>
          </cell>
          <cell r="G1100">
            <v>28.89</v>
          </cell>
          <cell r="H1100">
            <v>1.1499999999999999</v>
          </cell>
          <cell r="I1100">
            <v>33.223500000000001</v>
          </cell>
          <cell r="J1100">
            <v>36.047497499999999</v>
          </cell>
          <cell r="K1100">
            <v>45.059371874999997</v>
          </cell>
          <cell r="L1100">
            <v>1</v>
          </cell>
          <cell r="M1100">
            <v>47.430917763157893</v>
          </cell>
          <cell r="N1100">
            <v>49.80246365131579</v>
          </cell>
          <cell r="O1100">
            <v>55.801079721362228</v>
          </cell>
          <cell r="P1100">
            <v>61.381187693498454</v>
          </cell>
          <cell r="Q1100">
            <v>3</v>
          </cell>
          <cell r="R1100">
            <v>69.751349651702782</v>
          </cell>
        </row>
        <row r="1101">
          <cell r="A1101">
            <v>8519442</v>
          </cell>
          <cell r="D1101" t="str">
            <v>STAND,VERTICAL DIST TANK</v>
          </cell>
          <cell r="F1101">
            <v>85.61</v>
          </cell>
          <cell r="G1101">
            <v>115.57350000000001</v>
          </cell>
          <cell r="H1101">
            <v>1.1499999999999999</v>
          </cell>
          <cell r="I1101">
            <v>132.909525</v>
          </cell>
          <cell r="J1101">
            <v>144.206834625</v>
          </cell>
          <cell r="K1101">
            <v>180.25854328124998</v>
          </cell>
          <cell r="L1101">
            <v>1</v>
          </cell>
          <cell r="M1101">
            <v>189.74583503289472</v>
          </cell>
          <cell r="N1101">
            <v>199.23312678453945</v>
          </cell>
          <cell r="O1101">
            <v>223.23039415634673</v>
          </cell>
          <cell r="P1101">
            <v>245.55343357198143</v>
          </cell>
          <cell r="Q1101">
            <v>3</v>
          </cell>
          <cell r="R1101">
            <v>279.03799269543339</v>
          </cell>
        </row>
        <row r="1102">
          <cell r="A1102" t="str">
            <v>321125R20</v>
          </cell>
          <cell r="D1102" t="str">
            <v>TEE, REDUCING, 2.5" X 2.0", TC</v>
          </cell>
          <cell r="F1102">
            <v>88.67</v>
          </cell>
          <cell r="G1102">
            <v>119.70450000000001</v>
          </cell>
          <cell r="H1102">
            <v>1.1499999999999999</v>
          </cell>
          <cell r="I1102">
            <v>137.66017500000001</v>
          </cell>
          <cell r="J1102">
            <v>149.36128987500001</v>
          </cell>
          <cell r="K1102">
            <v>186.70161234375001</v>
          </cell>
          <cell r="L1102">
            <v>2</v>
          </cell>
          <cell r="M1102">
            <v>207.44623593750001</v>
          </cell>
          <cell r="N1102">
            <v>217.81854773437502</v>
          </cell>
          <cell r="O1102">
            <v>244.05439522058825</v>
          </cell>
          <cell r="P1102">
            <v>268.4598347426471</v>
          </cell>
          <cell r="Q1102">
            <v>3</v>
          </cell>
          <cell r="R1102">
            <v>305.06799402573529</v>
          </cell>
        </row>
        <row r="1103">
          <cell r="A1103">
            <v>8500478</v>
          </cell>
          <cell r="C1103" t="str">
            <v>BM</v>
          </cell>
          <cell r="D1103" t="str">
            <v>Curva final de caneria(U-BEND,SS,W/FERL,3.0,6CC)</v>
          </cell>
          <cell r="E1103">
            <v>1</v>
          </cell>
          <cell r="F1103">
            <v>313.94</v>
          </cell>
          <cell r="G1103">
            <v>423.81900000000002</v>
          </cell>
          <cell r="H1103">
            <v>1.1499999999999999</v>
          </cell>
          <cell r="I1103">
            <v>487.39184999999998</v>
          </cell>
          <cell r="J1103">
            <v>528.82015724999997</v>
          </cell>
          <cell r="K1103">
            <v>661.0251965624999</v>
          </cell>
          <cell r="L1103">
            <v>2</v>
          </cell>
          <cell r="M1103">
            <v>734.47244062499988</v>
          </cell>
          <cell r="N1103">
            <v>771.19606265624986</v>
          </cell>
          <cell r="O1103">
            <v>864.08522426470574</v>
          </cell>
          <cell r="P1103">
            <v>950.4937466911764</v>
          </cell>
          <cell r="Q1103">
            <v>3</v>
          </cell>
          <cell r="R1103">
            <v>1080.1065303308822</v>
          </cell>
        </row>
        <row r="1104">
          <cell r="A1104">
            <v>241</v>
          </cell>
          <cell r="C1104" t="str">
            <v>Boumatic</v>
          </cell>
          <cell r="D1104" t="str">
            <v>Valvula reguladora Sentinel(VACUUM CONTROLLER, MARK II SEN)</v>
          </cell>
          <cell r="E1104">
            <v>1</v>
          </cell>
          <cell r="F1104">
            <v>226.81</v>
          </cell>
          <cell r="G1104">
            <v>306.19350000000003</v>
          </cell>
          <cell r="H1104">
            <v>1.1499999999999999</v>
          </cell>
          <cell r="I1104">
            <v>352.122525</v>
          </cell>
          <cell r="J1104">
            <v>382.05293962499996</v>
          </cell>
          <cell r="K1104">
            <v>477.56617453124994</v>
          </cell>
          <cell r="L1104">
            <v>2</v>
          </cell>
          <cell r="M1104">
            <v>530.62908281249997</v>
          </cell>
          <cell r="N1104">
            <v>557.16053695312496</v>
          </cell>
          <cell r="O1104">
            <v>624.26950919117644</v>
          </cell>
          <cell r="P1104">
            <v>686.69646011029408</v>
          </cell>
          <cell r="Q1104">
            <v>3</v>
          </cell>
          <cell r="R1104">
            <v>780.33688648897055</v>
          </cell>
        </row>
        <row r="1105">
          <cell r="A1105">
            <v>8518294</v>
          </cell>
          <cell r="C1105" t="str">
            <v>BM</v>
          </cell>
          <cell r="D1105" t="str">
            <v>Pulsador sin Filtrado(PULSATOR ASSY,W/0 FILTER)</v>
          </cell>
          <cell r="E1105">
            <v>1</v>
          </cell>
          <cell r="F1105">
            <v>184.01</v>
          </cell>
          <cell r="G1105">
            <v>248.4135</v>
          </cell>
          <cell r="H1105">
            <v>1.1499999999999999</v>
          </cell>
          <cell r="I1105">
            <v>285.67552499999999</v>
          </cell>
          <cell r="J1105">
            <v>309.95794462499998</v>
          </cell>
          <cell r="K1105">
            <v>387.44743078124998</v>
          </cell>
          <cell r="L1105">
            <v>1</v>
          </cell>
          <cell r="M1105">
            <v>407.83940082236842</v>
          </cell>
          <cell r="N1105">
            <v>428.23137086348686</v>
          </cell>
          <cell r="O1105">
            <v>479.81105979102171</v>
          </cell>
          <cell r="P1105">
            <v>527.79216577012392</v>
          </cell>
          <cell r="Q1105">
            <v>3</v>
          </cell>
          <cell r="R1105">
            <v>599.76382473877709</v>
          </cell>
        </row>
        <row r="1106">
          <cell r="A1106">
            <v>8500477</v>
          </cell>
          <cell r="C1106" t="str">
            <v>BM</v>
          </cell>
          <cell r="D1106" t="str">
            <v>Curva final de caneria(U-BEND,SS,W/FERL,2.5,6CC)</v>
          </cell>
          <cell r="E1106">
            <v>1</v>
          </cell>
          <cell r="F1106">
            <v>258.43</v>
          </cell>
          <cell r="G1106">
            <v>348.88050000000004</v>
          </cell>
          <cell r="H1106">
            <v>1.1499999999999999</v>
          </cell>
          <cell r="I1106">
            <v>401.21257500000002</v>
          </cell>
          <cell r="J1106">
            <v>435.31564387499998</v>
          </cell>
          <cell r="K1106">
            <v>544.14455484374992</v>
          </cell>
          <cell r="L1106">
            <v>2</v>
          </cell>
          <cell r="M1106">
            <v>604.60506093749984</v>
          </cell>
          <cell r="N1106">
            <v>634.83531398437481</v>
          </cell>
          <cell r="O1106">
            <v>711.3000716911763</v>
          </cell>
          <cell r="P1106">
            <v>782.43007886029397</v>
          </cell>
          <cell r="Q1106">
            <v>3</v>
          </cell>
          <cell r="R1106">
            <v>889.12508961397032</v>
          </cell>
        </row>
        <row r="1107">
          <cell r="A1107">
            <v>8500389</v>
          </cell>
          <cell r="C1107" t="str">
            <v>BM</v>
          </cell>
          <cell r="D1107" t="str">
            <v>Reductor (REDUCER,CONC,SS,CLP,3 X 2.5)</v>
          </cell>
          <cell r="E1107">
            <v>1</v>
          </cell>
          <cell r="F1107">
            <v>124.89</v>
          </cell>
          <cell r="G1107">
            <v>168.60150000000002</v>
          </cell>
          <cell r="H1107">
            <v>1.1499999999999999</v>
          </cell>
          <cell r="I1107">
            <v>193.89172500000001</v>
          </cell>
          <cell r="J1107">
            <v>210.37252162499999</v>
          </cell>
          <cell r="K1107">
            <v>262.96565203124999</v>
          </cell>
          <cell r="L1107">
            <v>1</v>
          </cell>
          <cell r="M1107">
            <v>276.80594950657894</v>
          </cell>
          <cell r="N1107">
            <v>290.64624698190789</v>
          </cell>
          <cell r="O1107">
            <v>325.65405824303406</v>
          </cell>
          <cell r="P1107">
            <v>358.21946406733747</v>
          </cell>
          <cell r="Q1107">
            <v>3</v>
          </cell>
          <cell r="R1107">
            <v>407.06757280379253</v>
          </cell>
        </row>
        <row r="1108">
          <cell r="A1108">
            <v>8507263</v>
          </cell>
          <cell r="C1108" t="str">
            <v>BM</v>
          </cell>
          <cell r="D1108" t="str">
            <v>Reductor (REDUCER,CONC,SS,CLP,4 X 2)</v>
          </cell>
          <cell r="E1108">
            <v>1</v>
          </cell>
          <cell r="F1108">
            <v>219.72</v>
          </cell>
          <cell r="G1108">
            <v>296.62200000000001</v>
          </cell>
          <cell r="H1108">
            <v>1.1499999999999999</v>
          </cell>
          <cell r="I1108">
            <v>341.11529999999999</v>
          </cell>
          <cell r="J1108">
            <v>370.11010049999999</v>
          </cell>
          <cell r="K1108">
            <v>462.63762562499994</v>
          </cell>
          <cell r="L1108">
            <v>2</v>
          </cell>
          <cell r="M1108">
            <v>514.04180624999992</v>
          </cell>
          <cell r="N1108">
            <v>539.74389656249991</v>
          </cell>
          <cell r="O1108">
            <v>604.75506617647056</v>
          </cell>
          <cell r="P1108">
            <v>665.23057279411762</v>
          </cell>
          <cell r="Q1108">
            <v>3</v>
          </cell>
          <cell r="R1108">
            <v>755.94383272058815</v>
          </cell>
        </row>
        <row r="1109">
          <cell r="A1109">
            <v>8585345</v>
          </cell>
          <cell r="C1109" t="str">
            <v>BM</v>
          </cell>
          <cell r="D1109" t="str">
            <v>WIRE HARNESS,PULS,12 STALL,30"</v>
          </cell>
          <cell r="E1109">
            <v>1</v>
          </cell>
          <cell r="F1109">
            <v>442.5</v>
          </cell>
          <cell r="G1109">
            <v>597.375</v>
          </cell>
          <cell r="H1109">
            <v>1.1499999999999999</v>
          </cell>
          <cell r="I1109">
            <v>686.98124999999993</v>
          </cell>
          <cell r="J1109">
            <v>745.37465624999993</v>
          </cell>
          <cell r="K1109">
            <v>931.71832031249983</v>
          </cell>
          <cell r="L1109">
            <v>1</v>
          </cell>
          <cell r="M1109">
            <v>980.7561266447367</v>
          </cell>
          <cell r="N1109">
            <v>1029.7939329769736</v>
          </cell>
          <cell r="O1109">
            <v>1153.8307372291019</v>
          </cell>
          <cell r="P1109">
            <v>1269.2138109520122</v>
          </cell>
          <cell r="Q1109">
            <v>3</v>
          </cell>
          <cell r="R1109">
            <v>1442.2884215363774</v>
          </cell>
        </row>
        <row r="1110">
          <cell r="A1110">
            <v>8517441</v>
          </cell>
          <cell r="C1110" t="str">
            <v>BM</v>
          </cell>
          <cell r="D1110" t="str">
            <v>Kit de T para lavado e injecto con tapones(KIT,TEE ASSY,3.00 IN)</v>
          </cell>
          <cell r="E1110">
            <v>1</v>
          </cell>
          <cell r="F1110">
            <v>425.73</v>
          </cell>
          <cell r="G1110">
            <v>574.73550000000012</v>
          </cell>
          <cell r="H1110">
            <v>1.1499999999999999</v>
          </cell>
          <cell r="I1110">
            <v>660.94582500000013</v>
          </cell>
          <cell r="J1110">
            <v>717.12622012500015</v>
          </cell>
          <cell r="K1110">
            <v>896.40777515625018</v>
          </cell>
          <cell r="L1110">
            <v>1</v>
          </cell>
          <cell r="M1110">
            <v>943.58713174342131</v>
          </cell>
          <cell r="N1110">
            <v>990.76648833059244</v>
          </cell>
          <cell r="O1110">
            <v>1110.1025079334368</v>
          </cell>
          <cell r="P1110">
            <v>1221.1127587267806</v>
          </cell>
          <cell r="Q1110">
            <v>3</v>
          </cell>
          <cell r="R1110">
            <v>1387.6281349167959</v>
          </cell>
        </row>
        <row r="1111">
          <cell r="A1111">
            <v>8584193</v>
          </cell>
          <cell r="C1111" t="str">
            <v>BM</v>
          </cell>
          <cell r="D1111" t="str">
            <v>REGULATOR,VAC,BOUVAC 10000</v>
          </cell>
          <cell r="E1111">
            <v>1</v>
          </cell>
          <cell r="F1111">
            <v>842.88</v>
          </cell>
          <cell r="G1111">
            <v>1137.8880000000001</v>
          </cell>
          <cell r="H1111">
            <v>1.1499999999999999</v>
          </cell>
          <cell r="I1111">
            <v>1308.5712000000001</v>
          </cell>
          <cell r="J1111">
            <v>1419.7997520000001</v>
          </cell>
          <cell r="K1111">
            <v>1774.7496900000001</v>
          </cell>
          <cell r="L1111">
            <v>1</v>
          </cell>
          <cell r="M1111">
            <v>1868.1575684210529</v>
          </cell>
          <cell r="N1111">
            <v>1961.5654468421058</v>
          </cell>
          <cell r="O1111">
            <v>2197.8324334365329</v>
          </cell>
          <cell r="P1111">
            <v>2417.6156767801863</v>
          </cell>
          <cell r="Q1111">
            <v>3</v>
          </cell>
          <cell r="R1111">
            <v>2747.2905417956658</v>
          </cell>
        </row>
        <row r="1112">
          <cell r="A1112">
            <v>8512078</v>
          </cell>
          <cell r="C1112" t="str">
            <v>BM</v>
          </cell>
          <cell r="D1112" t="str">
            <v>Programador de lavado (KIT,GUARDIAN II,DELUXE,0.5)</v>
          </cell>
          <cell r="E1112">
            <v>1</v>
          </cell>
          <cell r="F1112">
            <v>3877.15</v>
          </cell>
          <cell r="G1112">
            <v>5234.1525000000001</v>
          </cell>
          <cell r="H1112">
            <v>1.1499999999999999</v>
          </cell>
          <cell r="I1112">
            <v>6019.2753749999993</v>
          </cell>
          <cell r="J1112">
            <v>6530.9137818749987</v>
          </cell>
          <cell r="K1112">
            <v>8163.6422273437483</v>
          </cell>
          <cell r="L1112">
            <v>1</v>
          </cell>
          <cell r="M1112">
            <v>8593.3076077302612</v>
          </cell>
          <cell r="N1112">
            <v>9022.972988116775</v>
          </cell>
          <cell r="O1112">
            <v>10109.773656153249</v>
          </cell>
          <cell r="P1112">
            <v>11120.751021768576</v>
          </cell>
          <cell r="Q1112">
            <v>3</v>
          </cell>
          <cell r="R1112">
            <v>12637.21707019156</v>
          </cell>
        </row>
        <row r="1113">
          <cell r="A1113">
            <v>8509300</v>
          </cell>
          <cell r="C1113" t="str">
            <v>BM</v>
          </cell>
          <cell r="D1113" t="str">
            <v>FILTER KIT,COW ID,3 PHASE, 4GA</v>
          </cell>
          <cell r="E1113">
            <v>1</v>
          </cell>
          <cell r="F1113">
            <v>869.98</v>
          </cell>
          <cell r="G1113">
            <v>1174.4730000000002</v>
          </cell>
          <cell r="H1113">
            <v>1.1499999999999999</v>
          </cell>
          <cell r="I1113">
            <v>1350.6439500000001</v>
          </cell>
          <cell r="J1113">
            <v>1465.4486857500001</v>
          </cell>
          <cell r="K1113">
            <v>1831.8108571875</v>
          </cell>
          <cell r="L1113">
            <v>1</v>
          </cell>
          <cell r="M1113">
            <v>1928.2219549342105</v>
          </cell>
          <cell r="N1113">
            <v>2024.6330526809211</v>
          </cell>
          <cell r="O1113">
            <v>2268.4964175696596</v>
          </cell>
          <cell r="P1113">
            <v>2495.3460593266259</v>
          </cell>
          <cell r="Q1113">
            <v>3</v>
          </cell>
          <cell r="R1113">
            <v>2835.6205219620742</v>
          </cell>
        </row>
        <row r="1114">
          <cell r="A1114">
            <v>8500529</v>
          </cell>
          <cell r="C1114" t="str">
            <v>BM</v>
          </cell>
          <cell r="D1114" t="str">
            <v>Filtro de leche (FILTER ASSY,MILK,2.5X1.5,SIDE)</v>
          </cell>
          <cell r="E1114">
            <v>1</v>
          </cell>
          <cell r="F1114">
            <v>699.66</v>
          </cell>
          <cell r="G1114">
            <v>944.54100000000005</v>
          </cell>
          <cell r="H1114">
            <v>1.1499999999999999</v>
          </cell>
          <cell r="I1114">
            <v>1086.2221500000001</v>
          </cell>
          <cell r="J1114">
            <v>1178.5510327500001</v>
          </cell>
          <cell r="K1114">
            <v>1473.1887909375</v>
          </cell>
          <cell r="L1114">
            <v>1</v>
          </cell>
          <cell r="M1114">
            <v>1550.7250430921054</v>
          </cell>
          <cell r="N1114">
            <v>1628.2612952467107</v>
          </cell>
          <cell r="O1114">
            <v>1824.3824036377709</v>
          </cell>
          <cell r="P1114">
            <v>2006.8206440015483</v>
          </cell>
          <cell r="Q1114">
            <v>3</v>
          </cell>
          <cell r="R1114">
            <v>2280.4780045472135</v>
          </cell>
        </row>
        <row r="1115">
          <cell r="A1115">
            <v>8504118</v>
          </cell>
          <cell r="C1115" t="str">
            <v>BM</v>
          </cell>
          <cell r="D1115" t="str">
            <v>SILENCER,4.00</v>
          </cell>
          <cell r="E1115">
            <v>1</v>
          </cell>
          <cell r="F1115">
            <v>682.84</v>
          </cell>
          <cell r="G1115">
            <v>921.83400000000006</v>
          </cell>
          <cell r="H1115">
            <v>1.1499999999999999</v>
          </cell>
          <cell r="I1115">
            <v>1060.1090999999999</v>
          </cell>
          <cell r="J1115">
            <v>1150.2183734999999</v>
          </cell>
          <cell r="K1115">
            <v>1437.7729668749998</v>
          </cell>
          <cell r="L1115">
            <v>3</v>
          </cell>
          <cell r="M1115">
            <v>1691.4976080882352</v>
          </cell>
          <cell r="N1115">
            <v>1776.0724884926472</v>
          </cell>
          <cell r="O1115">
            <v>1989.9971859861591</v>
          </cell>
          <cell r="P1115">
            <v>2188.9969045847752</v>
          </cell>
          <cell r="Q1115">
            <v>3</v>
          </cell>
          <cell r="R1115">
            <v>2487.4964824826989</v>
          </cell>
        </row>
        <row r="1116">
          <cell r="A1116">
            <v>8502406</v>
          </cell>
          <cell r="C1116" t="str">
            <v>BM</v>
          </cell>
          <cell r="D1116" t="str">
            <v>Kit de poteals(KIT,PULLEY,VSVP,BP-400,15-20HP)</v>
          </cell>
          <cell r="E1116">
            <v>1</v>
          </cell>
          <cell r="F1116">
            <v>149.41999999999999</v>
          </cell>
          <cell r="G1116">
            <v>201.71699999999998</v>
          </cell>
          <cell r="H1116">
            <v>1.1499999999999999</v>
          </cell>
          <cell r="I1116">
            <v>231.97454999999997</v>
          </cell>
          <cell r="J1116">
            <v>251.69238674999994</v>
          </cell>
          <cell r="K1116">
            <v>314.6154834374999</v>
          </cell>
          <cell r="L1116">
            <v>2</v>
          </cell>
          <cell r="M1116">
            <v>349.57275937499986</v>
          </cell>
          <cell r="N1116">
            <v>367.0513973437499</v>
          </cell>
          <cell r="O1116">
            <v>411.26206985294101</v>
          </cell>
          <cell r="P1116">
            <v>452.38827683823513</v>
          </cell>
          <cell r="Q1116">
            <v>3</v>
          </cell>
          <cell r="R1116">
            <v>514.07758731617628</v>
          </cell>
        </row>
        <row r="1117">
          <cell r="A1117">
            <v>8582767</v>
          </cell>
          <cell r="C1117" t="str">
            <v>BM</v>
          </cell>
          <cell r="D1117" t="str">
            <v>Bomba a Lobulos de 2400 l/min (Air-Star DSL BP-140 5/7.5 Hp)</v>
          </cell>
          <cell r="E1117">
            <v>1</v>
          </cell>
          <cell r="F1117">
            <v>3262.83</v>
          </cell>
          <cell r="G1117">
            <v>4404.8204999999998</v>
          </cell>
          <cell r="H1117">
            <v>1</v>
          </cell>
          <cell r="I1117">
            <v>4404.8204999999998</v>
          </cell>
          <cell r="J1117">
            <v>4779.2302424999998</v>
          </cell>
          <cell r="K1117">
            <v>5974.0378031249993</v>
          </cell>
          <cell r="L1117">
            <v>1</v>
          </cell>
          <cell r="M1117">
            <v>6288.4608453947367</v>
          </cell>
          <cell r="N1117">
            <v>6602.8838876644741</v>
          </cell>
          <cell r="O1117">
            <v>6602.8838876644741</v>
          </cell>
          <cell r="P1117">
            <v>7263.1722764309225</v>
          </cell>
          <cell r="Q1117">
            <v>3</v>
          </cell>
          <cell r="R1117">
            <v>8253.6048595805914</v>
          </cell>
        </row>
        <row r="1118">
          <cell r="A1118">
            <v>8582627</v>
          </cell>
          <cell r="C1118" t="str">
            <v>BM</v>
          </cell>
          <cell r="D1118" t="str">
            <v>BLOWER ASSY DSL200,W/OMTR</v>
          </cell>
          <cell r="E1118">
            <v>1</v>
          </cell>
          <cell r="F1118">
            <v>4066.56</v>
          </cell>
          <cell r="G1118">
            <v>5489.8560000000007</v>
          </cell>
          <cell r="H1118">
            <v>1</v>
          </cell>
          <cell r="I1118">
            <v>5489.8560000000007</v>
          </cell>
          <cell r="J1118">
            <v>5956.4937600000003</v>
          </cell>
          <cell r="K1118">
            <v>7445.6171999999997</v>
          </cell>
          <cell r="L1118">
            <v>1</v>
          </cell>
          <cell r="M1118">
            <v>7837.4917894736845</v>
          </cell>
          <cell r="N1118">
            <v>8229.3663789473685</v>
          </cell>
          <cell r="O1118">
            <v>9220.5785758513939</v>
          </cell>
          <cell r="P1118">
            <v>10142.636433436533</v>
          </cell>
          <cell r="Q1118">
            <v>3</v>
          </cell>
          <cell r="R1118">
            <v>11525.723219814241</v>
          </cell>
        </row>
        <row r="1119">
          <cell r="A1119">
            <v>8510722</v>
          </cell>
          <cell r="C1119" t="str">
            <v>BM</v>
          </cell>
          <cell r="D1119" t="str">
            <v>Programador de lavado (KIT,GUARDIAN,ECON,0.5)</v>
          </cell>
          <cell r="E1119">
            <v>1</v>
          </cell>
          <cell r="F1119">
            <v>2693.2</v>
          </cell>
          <cell r="G1119">
            <v>3635.82</v>
          </cell>
          <cell r="H1119">
            <v>1.1499999999999999</v>
          </cell>
          <cell r="I1119">
            <v>4181.1930000000002</v>
          </cell>
          <cell r="J1119">
            <v>4536.5944049999998</v>
          </cell>
          <cell r="K1119">
            <v>5670.7430062499998</v>
          </cell>
          <cell r="L1119">
            <v>2</v>
          </cell>
          <cell r="M1119">
            <v>6300.8255624999993</v>
          </cell>
          <cell r="N1119">
            <v>6615.8668406249999</v>
          </cell>
          <cell r="O1119">
            <v>7412.7359558823518</v>
          </cell>
          <cell r="P1119">
            <v>8154.0095514705881</v>
          </cell>
          <cell r="Q1119">
            <v>3</v>
          </cell>
          <cell r="R1119">
            <v>9265.9199448529398</v>
          </cell>
        </row>
        <row r="1120">
          <cell r="A1120">
            <v>8510723</v>
          </cell>
          <cell r="C1120" t="str">
            <v>BM</v>
          </cell>
          <cell r="D1120" t="str">
            <v>Programador de lavado (KIT,GUARDIAN,ECON,0.75)</v>
          </cell>
          <cell r="E1120">
            <v>1</v>
          </cell>
          <cell r="F1120">
            <v>2831.45</v>
          </cell>
          <cell r="G1120">
            <v>3822.4575</v>
          </cell>
          <cell r="H1120">
            <v>1.1499999999999999</v>
          </cell>
          <cell r="I1120">
            <v>4395.8261249999996</v>
          </cell>
          <cell r="J1120">
            <v>4769.4713456249992</v>
          </cell>
          <cell r="K1120">
            <v>5961.839182031249</v>
          </cell>
          <cell r="L1120">
            <v>2</v>
          </cell>
          <cell r="M1120">
            <v>6624.265757812499</v>
          </cell>
          <cell r="N1120">
            <v>6955.479045703124</v>
          </cell>
          <cell r="O1120">
            <v>7793.2538327205875</v>
          </cell>
          <cell r="P1120">
            <v>8572.5792159926477</v>
          </cell>
          <cell r="Q1120">
            <v>3</v>
          </cell>
          <cell r="R1120">
            <v>9741.5672909007335</v>
          </cell>
        </row>
        <row r="1121">
          <cell r="A1121">
            <v>8511498</v>
          </cell>
          <cell r="C1121" t="str">
            <v>BM</v>
          </cell>
          <cell r="D1121" t="str">
            <v>Programador de lavado (KIT,GUARDIAN,ECON,0.5,L/A.I.)</v>
          </cell>
          <cell r="E1121">
            <v>1</v>
          </cell>
          <cell r="F1121">
            <v>2532.61</v>
          </cell>
          <cell r="G1121">
            <v>3419.0235000000002</v>
          </cell>
          <cell r="H1121">
            <v>1.1499999999999999</v>
          </cell>
          <cell r="I1121">
            <v>3931.8770249999998</v>
          </cell>
          <cell r="J1121">
            <v>4266.0865721249993</v>
          </cell>
          <cell r="K1121">
            <v>5332.6082151562487</v>
          </cell>
          <cell r="L1121">
            <v>2</v>
          </cell>
          <cell r="M1121">
            <v>5925.1202390624985</v>
          </cell>
          <cell r="N1121">
            <v>6221.3762510156239</v>
          </cell>
          <cell r="O1121">
            <v>6970.729693014704</v>
          </cell>
          <cell r="P1121">
            <v>7667.802662316175</v>
          </cell>
          <cell r="Q1121">
            <v>3</v>
          </cell>
          <cell r="R1121">
            <v>8713.4121162683787</v>
          </cell>
        </row>
        <row r="1122">
          <cell r="A1122">
            <v>8500887</v>
          </cell>
          <cell r="C1122" t="str">
            <v>BM</v>
          </cell>
          <cell r="D1122" t="str">
            <v>Filtro de leche (FILTER,MILK,4"X2.0",SIDE DISCH)</v>
          </cell>
          <cell r="E1122">
            <v>1</v>
          </cell>
          <cell r="F1122">
            <v>1423.9</v>
          </cell>
          <cell r="G1122">
            <v>1922.2650000000003</v>
          </cell>
          <cell r="H1122">
            <v>1.1499999999999999</v>
          </cell>
          <cell r="I1122">
            <v>2210.6047500000004</v>
          </cell>
          <cell r="J1122">
            <v>2398.5061537500005</v>
          </cell>
          <cell r="K1122">
            <v>2998.1326921875007</v>
          </cell>
          <cell r="L1122">
            <v>1</v>
          </cell>
          <cell r="M1122">
            <v>3155.9291496710534</v>
          </cell>
          <cell r="N1122">
            <v>3313.7256071546062</v>
          </cell>
          <cell r="O1122">
            <v>3712.8578231424158</v>
          </cell>
          <cell r="P1122">
            <v>4084.1436054566575</v>
          </cell>
          <cell r="Q1122">
            <v>3</v>
          </cell>
          <cell r="R1122">
            <v>4641.0722789280198</v>
          </cell>
        </row>
        <row r="1123">
          <cell r="A1123">
            <v>8511499</v>
          </cell>
          <cell r="C1123" t="str">
            <v>BM</v>
          </cell>
          <cell r="D1123" t="str">
            <v>Programador de lavado (KIT,GUARDIAN,ECON,0.75,L/A.I.)</v>
          </cell>
          <cell r="E1123">
            <v>1</v>
          </cell>
          <cell r="F1123">
            <v>2558.15</v>
          </cell>
          <cell r="G1123">
            <v>3453.5025000000005</v>
          </cell>
          <cell r="H1123">
            <v>1.1499999999999999</v>
          </cell>
          <cell r="I1123">
            <v>3971.5278750000002</v>
          </cell>
          <cell r="J1123">
            <v>4309.107744375</v>
          </cell>
          <cell r="K1123">
            <v>5386.38468046875</v>
          </cell>
          <cell r="L1123">
            <v>2</v>
          </cell>
          <cell r="M1123">
            <v>5984.8718671875004</v>
          </cell>
          <cell r="N1123">
            <v>6284.1154605468755</v>
          </cell>
          <cell r="O1123">
            <v>7041.0257261029419</v>
          </cell>
          <cell r="P1123">
            <v>7745.1282987132363</v>
          </cell>
          <cell r="Q1123">
            <v>3</v>
          </cell>
          <cell r="R1123">
            <v>8801.2821576286769</v>
          </cell>
        </row>
        <row r="1124">
          <cell r="A1124" t="str">
            <v>D255536</v>
          </cell>
          <cell r="D1124" t="str">
            <v>PISTON ASSEMBLY PACK</v>
          </cell>
          <cell r="F1124">
            <v>54.06</v>
          </cell>
          <cell r="G1124">
            <v>72.981000000000009</v>
          </cell>
          <cell r="H1124">
            <v>1.1499999999999999</v>
          </cell>
          <cell r="I1124">
            <v>83.928150000000002</v>
          </cell>
          <cell r="J1124">
            <v>91.062042750000003</v>
          </cell>
          <cell r="K1124">
            <v>113.8275534375</v>
          </cell>
          <cell r="L1124">
            <v>1</v>
          </cell>
          <cell r="M1124">
            <v>119.81847730263158</v>
          </cell>
          <cell r="N1124">
            <v>125.80940116776316</v>
          </cell>
          <cell r="O1124">
            <v>140.96291447368421</v>
          </cell>
          <cell r="P1124">
            <v>155.05920592105264</v>
          </cell>
          <cell r="Q1124">
            <v>3</v>
          </cell>
          <cell r="R1124">
            <v>176.20364309210524</v>
          </cell>
        </row>
        <row r="1125">
          <cell r="A1125">
            <v>8517327</v>
          </cell>
          <cell r="C1125" t="str">
            <v>BM</v>
          </cell>
          <cell r="D1125" t="str">
            <v>Casquillo (SHELL ASSY,STD SS)</v>
          </cell>
          <cell r="E1125">
            <v>1</v>
          </cell>
          <cell r="F1125">
            <v>15.3</v>
          </cell>
          <cell r="G1125">
            <v>20.655000000000001</v>
          </cell>
          <cell r="H1125">
            <v>1.1499999999999999</v>
          </cell>
          <cell r="I1125">
            <v>23.753249999999998</v>
          </cell>
          <cell r="J1125">
            <v>25.772276249999997</v>
          </cell>
          <cell r="K1125">
            <v>32.215345312499991</v>
          </cell>
          <cell r="L1125">
            <v>1</v>
          </cell>
          <cell r="M1125">
            <v>33.910889802631573</v>
          </cell>
          <cell r="N1125">
            <v>35.606434292763154</v>
          </cell>
          <cell r="O1125">
            <v>39.895164473684204</v>
          </cell>
          <cell r="P1125">
            <v>43.884680921052627</v>
          </cell>
          <cell r="Q1125">
            <v>3</v>
          </cell>
          <cell r="R1125">
            <v>49.868955592105252</v>
          </cell>
        </row>
        <row r="1126">
          <cell r="A1126">
            <v>8517089</v>
          </cell>
          <cell r="C1126" t="str">
            <v>BM</v>
          </cell>
          <cell r="D1126" t="str">
            <v>Bomba de leche (PUMP,MILK,1HP,3PH,380V)</v>
          </cell>
          <cell r="E1126">
            <v>1</v>
          </cell>
          <cell r="F1126">
            <v>1785</v>
          </cell>
          <cell r="G1126">
            <v>2409.75</v>
          </cell>
          <cell r="H1126">
            <v>1</v>
          </cell>
          <cell r="I1126">
            <v>2409.75</v>
          </cell>
          <cell r="J1126">
            <v>2614.5787500000001</v>
          </cell>
          <cell r="K1126">
            <v>3268.2234374999998</v>
          </cell>
          <cell r="L1126">
            <v>1</v>
          </cell>
          <cell r="M1126">
            <v>3440.2351973684208</v>
          </cell>
          <cell r="N1126">
            <v>3612.2469572368418</v>
          </cell>
          <cell r="O1126">
            <v>3612.2469572368418</v>
          </cell>
          <cell r="P1126">
            <v>3973.4716529605262</v>
          </cell>
          <cell r="Q1126">
            <v>3</v>
          </cell>
          <cell r="R1126">
            <v>4515.3086965460516</v>
          </cell>
        </row>
        <row r="1127">
          <cell r="A1127">
            <v>8503938</v>
          </cell>
          <cell r="C1127" t="str">
            <v>BM</v>
          </cell>
          <cell r="D1127" t="str">
            <v>Injector de Aire(AIR INJ ASSY,CYCLONE 620,FIL)</v>
          </cell>
          <cell r="E1127">
            <v>1</v>
          </cell>
          <cell r="F1127">
            <v>378.42</v>
          </cell>
          <cell r="G1127">
            <v>510.86700000000008</v>
          </cell>
          <cell r="H1127">
            <v>1</v>
          </cell>
          <cell r="I1127">
            <v>510.86700000000008</v>
          </cell>
          <cell r="J1127">
            <v>554.29069500000003</v>
          </cell>
          <cell r="K1127">
            <v>692.86336874999995</v>
          </cell>
          <cell r="L1127">
            <v>1</v>
          </cell>
          <cell r="M1127">
            <v>729.32986184210529</v>
          </cell>
          <cell r="N1127">
            <v>765.79635493421063</v>
          </cell>
          <cell r="O1127">
            <v>858.03513157894747</v>
          </cell>
          <cell r="P1127">
            <v>943.8386447368423</v>
          </cell>
          <cell r="Q1127">
            <v>3</v>
          </cell>
          <cell r="R1127">
            <v>1072.5439144736843</v>
          </cell>
        </row>
        <row r="1128">
          <cell r="A1128">
            <v>8582628</v>
          </cell>
          <cell r="C1128" t="str">
            <v>BM</v>
          </cell>
          <cell r="D1128" t="str">
            <v>BLOWER ASSY DSL400,W/OMTR</v>
          </cell>
          <cell r="E1128">
            <v>1</v>
          </cell>
          <cell r="F1128">
            <v>4198.87</v>
          </cell>
          <cell r="G1128">
            <v>5668.4745000000003</v>
          </cell>
          <cell r="H1128">
            <v>1.1499999999999999</v>
          </cell>
          <cell r="I1128">
            <v>6518.7456750000001</v>
          </cell>
          <cell r="J1128">
            <v>7072.8390573750003</v>
          </cell>
          <cell r="K1128">
            <v>8841.0488217187503</v>
          </cell>
          <cell r="L1128">
            <v>2</v>
          </cell>
          <cell r="M1128">
            <v>9823.3875796875</v>
          </cell>
          <cell r="N1128">
            <v>10314.556958671876</v>
          </cell>
          <cell r="O1128">
            <v>11556.926564338235</v>
          </cell>
          <cell r="P1128">
            <v>12712.61922077206</v>
          </cell>
          <cell r="Q1128">
            <v>3</v>
          </cell>
          <cell r="R1128">
            <v>14446.158205422793</v>
          </cell>
        </row>
        <row r="1129">
          <cell r="A1129">
            <v>8512079</v>
          </cell>
          <cell r="C1129" t="str">
            <v>BM</v>
          </cell>
          <cell r="D1129" t="str">
            <v>Programador de lavado (KIT,GUARDIAN II,DELUXE,0.75)</v>
          </cell>
          <cell r="E1129">
            <v>1</v>
          </cell>
          <cell r="F1129">
            <v>3901.54</v>
          </cell>
          <cell r="G1129">
            <v>5267.0790000000006</v>
          </cell>
          <cell r="H1129">
            <v>1.1499999999999999</v>
          </cell>
          <cell r="I1129">
            <v>6057.1408500000007</v>
          </cell>
          <cell r="J1129">
            <v>6571.9978222500004</v>
          </cell>
          <cell r="K1129">
            <v>8214.9972778124993</v>
          </cell>
          <cell r="L1129">
            <v>1</v>
          </cell>
          <cell r="M1129">
            <v>8647.365555592105</v>
          </cell>
          <cell r="N1129">
            <v>9079.7338333717107</v>
          </cell>
          <cell r="O1129">
            <v>10173.371241873065</v>
          </cell>
          <cell r="P1129">
            <v>11190.708366060371</v>
          </cell>
          <cell r="Q1129">
            <v>3</v>
          </cell>
          <cell r="R1129">
            <v>12716.714052341331</v>
          </cell>
        </row>
        <row r="1130">
          <cell r="A1130">
            <v>8516325</v>
          </cell>
          <cell r="C1130" t="str">
            <v>BM</v>
          </cell>
          <cell r="D1130" t="str">
            <v>Programador de lavado (WASHER,GUARDIAN II,W-1/2 VALVE)</v>
          </cell>
          <cell r="E1130">
            <v>1</v>
          </cell>
          <cell r="F1130">
            <v>3252.84</v>
          </cell>
          <cell r="G1130">
            <v>4391.3340000000007</v>
          </cell>
          <cell r="H1130">
            <v>1.1499999999999999</v>
          </cell>
          <cell r="I1130">
            <v>5050.0341000000008</v>
          </cell>
          <cell r="J1130">
            <v>5479.2869985000007</v>
          </cell>
          <cell r="K1130">
            <v>6849.1087481250006</v>
          </cell>
          <cell r="L1130">
            <v>2</v>
          </cell>
          <cell r="M1130">
            <v>7610.1208312500003</v>
          </cell>
          <cell r="N1130">
            <v>7990.6268728125006</v>
          </cell>
          <cell r="O1130">
            <v>8953.083330882353</v>
          </cell>
          <cell r="P1130">
            <v>9848.3916639705894</v>
          </cell>
          <cell r="Q1130">
            <v>3</v>
          </cell>
          <cell r="R1130">
            <v>11191.35416360294</v>
          </cell>
        </row>
        <row r="1131">
          <cell r="A1131">
            <v>8582766</v>
          </cell>
          <cell r="C1131" t="str">
            <v>BM</v>
          </cell>
          <cell r="D1131" t="str">
            <v>Bomba a lobulos de 6000 l/min(Air-Star DSL  BP-400 15/20 Hp)</v>
          </cell>
          <cell r="E1131">
            <v>1</v>
          </cell>
          <cell r="F1131">
            <v>4547.7700000000004</v>
          </cell>
          <cell r="G1131">
            <v>6139.4895000000006</v>
          </cell>
          <cell r="H1131">
            <v>1</v>
          </cell>
          <cell r="I1131">
            <v>6139.4895000000006</v>
          </cell>
          <cell r="J1131">
            <v>6661.3461075000005</v>
          </cell>
          <cell r="K1131">
            <v>8326.6826343749999</v>
          </cell>
          <cell r="L1131">
            <v>1</v>
          </cell>
          <cell r="M1131">
            <v>8764.9290888157902</v>
          </cell>
          <cell r="N1131">
            <v>9203.1755432565806</v>
          </cell>
          <cell r="O1131">
            <v>9203.1755432565806</v>
          </cell>
          <cell r="P1131">
            <v>10123.493097582239</v>
          </cell>
          <cell r="Q1131">
            <v>3</v>
          </cell>
          <cell r="R1131">
            <v>11503.969429070725</v>
          </cell>
        </row>
        <row r="1132">
          <cell r="A1132">
            <v>8584192</v>
          </cell>
          <cell r="C1132" t="str">
            <v>BM</v>
          </cell>
          <cell r="D1132" t="str">
            <v>Valvula reguladora (orion REGULATOR,VAC,BOUVAC 5000)</v>
          </cell>
          <cell r="E1132">
            <v>1</v>
          </cell>
          <cell r="F1132">
            <v>394.24</v>
          </cell>
          <cell r="G1132">
            <v>532.22400000000005</v>
          </cell>
          <cell r="H1132">
            <v>1.1499999999999999</v>
          </cell>
          <cell r="I1132">
            <v>612.05759999999998</v>
          </cell>
          <cell r="J1132">
            <v>664.08249599999999</v>
          </cell>
          <cell r="K1132">
            <v>830.10311999999999</v>
          </cell>
          <cell r="L1132">
            <v>3</v>
          </cell>
          <cell r="M1132">
            <v>976.59190588235299</v>
          </cell>
          <cell r="N1132">
            <v>1025.4215011764707</v>
          </cell>
          <cell r="O1132">
            <v>1148.9316539792389</v>
          </cell>
          <cell r="P1132">
            <v>1263.8248193771628</v>
          </cell>
          <cell r="Q1132">
            <v>3</v>
          </cell>
          <cell r="R1132">
            <v>1436.1645674740487</v>
          </cell>
        </row>
        <row r="1133">
          <cell r="A1133">
            <v>8507467</v>
          </cell>
          <cell r="C1133" t="str">
            <v>BM</v>
          </cell>
          <cell r="D1133" t="str">
            <v>Bomba de leche (PUMP,2HP,WASHDOWN,3PH,60HZ,CCW)</v>
          </cell>
          <cell r="E1133">
            <v>1</v>
          </cell>
          <cell r="F1133">
            <v>1741.19</v>
          </cell>
          <cell r="G1133">
            <v>2350.6065000000003</v>
          </cell>
          <cell r="H1133">
            <v>1.1499999999999999</v>
          </cell>
          <cell r="I1133">
            <v>2703.1974749999999</v>
          </cell>
          <cell r="J1133">
            <v>2932.969260375</v>
          </cell>
          <cell r="K1133">
            <v>3666.2115754687497</v>
          </cell>
          <cell r="L1133">
            <v>2</v>
          </cell>
          <cell r="M1133">
            <v>4073.5684171874996</v>
          </cell>
          <cell r="N1133">
            <v>4277.2468380468745</v>
          </cell>
          <cell r="O1133">
            <v>4792.4334319852933</v>
          </cell>
          <cell r="P1133">
            <v>5271.6767751838233</v>
          </cell>
          <cell r="Q1133">
            <v>3</v>
          </cell>
          <cell r="R1133">
            <v>5990.5417899816166</v>
          </cell>
        </row>
        <row r="1134">
          <cell r="A1134">
            <v>8582626</v>
          </cell>
          <cell r="C1134" t="str">
            <v>BM</v>
          </cell>
          <cell r="D1134" t="str">
            <v>BLOWER ASSY,DSL140,W/OMTR</v>
          </cell>
          <cell r="E1134">
            <v>1</v>
          </cell>
          <cell r="F1134">
            <v>3042.76</v>
          </cell>
          <cell r="G1134">
            <v>4107.7260000000006</v>
          </cell>
          <cell r="H1134">
            <v>1.1499999999999999</v>
          </cell>
          <cell r="I1134">
            <v>4723.8849</v>
          </cell>
          <cell r="J1134">
            <v>5125.4151165000003</v>
          </cell>
          <cell r="K1134">
            <v>6406.7688956250004</v>
          </cell>
          <cell r="L1134">
            <v>2</v>
          </cell>
          <cell r="M1134">
            <v>7118.6321062500001</v>
          </cell>
          <cell r="N1134">
            <v>7474.5637115625004</v>
          </cell>
          <cell r="O1134">
            <v>8374.8613014705879</v>
          </cell>
          <cell r="P1134">
            <v>9212.3474316176471</v>
          </cell>
          <cell r="Q1134">
            <v>3</v>
          </cell>
          <cell r="R1134">
            <v>10468.576626838234</v>
          </cell>
        </row>
        <row r="1135">
          <cell r="A1135">
            <v>8518516</v>
          </cell>
          <cell r="D1135" t="str">
            <v>CONT ASSY,LLC,230/380V,50/60HZ</v>
          </cell>
          <cell r="F1135">
            <v>592.13</v>
          </cell>
          <cell r="G1135">
            <v>799.3755000000001</v>
          </cell>
          <cell r="H1135">
            <v>1.1499999999999999</v>
          </cell>
          <cell r="I1135">
            <v>919.28182500000003</v>
          </cell>
          <cell r="J1135">
            <v>997.42078012499996</v>
          </cell>
          <cell r="K1135">
            <v>1246.7759751562498</v>
          </cell>
          <cell r="L1135">
            <v>1</v>
          </cell>
          <cell r="M1135">
            <v>1312.3957633223683</v>
          </cell>
          <cell r="N1135">
            <v>1378.0155514884868</v>
          </cell>
          <cell r="O1135">
            <v>1543.9950156733746</v>
          </cell>
          <cell r="P1135">
            <v>1698.3945172407123</v>
          </cell>
          <cell r="Q1135">
            <v>3</v>
          </cell>
          <cell r="R1135">
            <v>1929.9937695917181</v>
          </cell>
        </row>
        <row r="1136">
          <cell r="A1136">
            <v>8582765</v>
          </cell>
          <cell r="C1136" t="str">
            <v>BM</v>
          </cell>
          <cell r="D1136" t="str">
            <v>Bomba a lobulos 4400 l/min(Air-Star DSL  BP-200 7.5/10 Hp)</v>
          </cell>
          <cell r="E1136">
            <v>1</v>
          </cell>
          <cell r="F1136">
            <v>4185.3</v>
          </cell>
          <cell r="G1136">
            <v>5650.1550000000007</v>
          </cell>
          <cell r="H1136">
            <v>1</v>
          </cell>
          <cell r="I1136">
            <v>5650.1550000000007</v>
          </cell>
          <cell r="J1136">
            <v>6130.4181750000007</v>
          </cell>
          <cell r="K1136">
            <v>7663.0227187500004</v>
          </cell>
          <cell r="L1136">
            <v>1</v>
          </cell>
          <cell r="M1136">
            <v>8066.3397039473693</v>
          </cell>
          <cell r="N1136">
            <v>8469.6566891447383</v>
          </cell>
          <cell r="O1136">
            <v>8469.6566891447383</v>
          </cell>
          <cell r="P1136">
            <v>9316.6223580592123</v>
          </cell>
          <cell r="Q1136">
            <v>3</v>
          </cell>
          <cell r="R1136">
            <v>10587.070861430922</v>
          </cell>
        </row>
        <row r="1137">
          <cell r="A1137">
            <v>8509988</v>
          </cell>
          <cell r="C1137" t="str">
            <v>BM</v>
          </cell>
          <cell r="D1137" t="str">
            <v>CONTROL PANEL ASSY</v>
          </cell>
          <cell r="E1137">
            <v>1</v>
          </cell>
          <cell r="F1137">
            <v>1828.98</v>
          </cell>
          <cell r="G1137">
            <v>2469.123</v>
          </cell>
          <cell r="H1137">
            <v>1.1499999999999999</v>
          </cell>
          <cell r="I1137">
            <v>2839.49145</v>
          </cell>
          <cell r="J1137">
            <v>3080.84822325</v>
          </cell>
          <cell r="K1137">
            <v>3851.0602790624998</v>
          </cell>
          <cell r="L1137">
            <v>3</v>
          </cell>
          <cell r="M1137">
            <v>4530.6591518382356</v>
          </cell>
          <cell r="N1137">
            <v>4757.1921094301479</v>
          </cell>
          <cell r="O1137">
            <v>5330.1872374567483</v>
          </cell>
          <cell r="P1137">
            <v>5863.2059612024241</v>
          </cell>
          <cell r="Q1137">
            <v>3</v>
          </cell>
          <cell r="R1137">
            <v>6662.734046820935</v>
          </cell>
        </row>
        <row r="1138">
          <cell r="A1138">
            <v>8506243</v>
          </cell>
          <cell r="C1138" t="str">
            <v>BM</v>
          </cell>
          <cell r="D1138" t="str">
            <v>Injector y caja comando(AIR INJECTOR,W/TIMER)</v>
          </cell>
          <cell r="E1138">
            <v>1</v>
          </cell>
          <cell r="F1138">
            <v>865.53</v>
          </cell>
          <cell r="G1138">
            <v>1168.4655</v>
          </cell>
          <cell r="H1138">
            <v>1</v>
          </cell>
          <cell r="I1138">
            <v>1168.4655</v>
          </cell>
          <cell r="J1138">
            <v>1267.7850675</v>
          </cell>
          <cell r="K1138">
            <v>1584.731334375</v>
          </cell>
          <cell r="L1138">
            <v>1</v>
          </cell>
          <cell r="M1138">
            <v>1668.1382467105263</v>
          </cell>
          <cell r="N1138">
            <v>1751.5451590460527</v>
          </cell>
          <cell r="O1138">
            <v>1962.5155843653251</v>
          </cell>
          <cell r="P1138">
            <v>2158.767142801858</v>
          </cell>
          <cell r="Q1138">
            <v>3</v>
          </cell>
          <cell r="R1138">
            <v>2453.1444804566563</v>
          </cell>
        </row>
        <row r="1139">
          <cell r="A1139">
            <v>8506294</v>
          </cell>
          <cell r="C1139" t="str">
            <v>BM</v>
          </cell>
          <cell r="D1139" t="str">
            <v>VALVULA DESVIACION, 230V/100HZ</v>
          </cell>
          <cell r="E1139">
            <v>1</v>
          </cell>
          <cell r="F1139">
            <v>414.66</v>
          </cell>
          <cell r="G1139">
            <v>559.79100000000005</v>
          </cell>
          <cell r="H1139">
            <v>1.1499999999999999</v>
          </cell>
          <cell r="I1139">
            <v>643.75964999999997</v>
          </cell>
          <cell r="J1139">
            <v>698.47922024999991</v>
          </cell>
          <cell r="K1139">
            <v>873.09902531249986</v>
          </cell>
          <cell r="L1139">
            <v>1</v>
          </cell>
          <cell r="M1139">
            <v>919.05160559210515</v>
          </cell>
          <cell r="N1139">
            <v>965.00418587171043</v>
          </cell>
          <cell r="O1139">
            <v>1081.2371830495356</v>
          </cell>
          <cell r="P1139">
            <v>1189.3609013544892</v>
          </cell>
          <cell r="Q1139">
            <v>3</v>
          </cell>
          <cell r="R1139">
            <v>1351.5464788119193</v>
          </cell>
        </row>
        <row r="1140">
          <cell r="A1140">
            <v>8516253</v>
          </cell>
          <cell r="C1140" t="str">
            <v>BM</v>
          </cell>
          <cell r="D1140" t="str">
            <v>Bomba de leche (PUMP,1HP,1PH,230V,50HZ,CCW)</v>
          </cell>
          <cell r="E1140">
            <v>1</v>
          </cell>
          <cell r="F1140">
            <v>1582.69</v>
          </cell>
          <cell r="G1140">
            <v>2136.6315000000004</v>
          </cell>
          <cell r="H1140">
            <v>1</v>
          </cell>
          <cell r="I1140">
            <v>2136.6315000000004</v>
          </cell>
          <cell r="J1140">
            <v>2318.2451775000004</v>
          </cell>
          <cell r="K1140">
            <v>2897.8064718750002</v>
          </cell>
          <cell r="L1140">
            <v>1</v>
          </cell>
          <cell r="M1140">
            <v>3050.3226019736844</v>
          </cell>
          <cell r="N1140">
            <v>3202.8387320723687</v>
          </cell>
          <cell r="O1140">
            <v>3202.8387320723687</v>
          </cell>
          <cell r="P1140">
            <v>3523.122605279606</v>
          </cell>
          <cell r="Q1140">
            <v>3</v>
          </cell>
          <cell r="R1140">
            <v>4003.5484150904608</v>
          </cell>
        </row>
        <row r="1141">
          <cell r="A1141">
            <v>8515270</v>
          </cell>
          <cell r="C1141" t="str">
            <v>BM</v>
          </cell>
          <cell r="D1141" t="str">
            <v>Programador de lavado (WASHER,GUARDIAN II,W-3/4 VALVE)</v>
          </cell>
          <cell r="E1141">
            <v>1</v>
          </cell>
          <cell r="F1141">
            <v>3276.11</v>
          </cell>
          <cell r="G1141">
            <v>4422.7485000000006</v>
          </cell>
          <cell r="H1141">
            <v>1.1499999999999999</v>
          </cell>
          <cell r="I1141">
            <v>5086.1607750000003</v>
          </cell>
          <cell r="J1141">
            <v>5518.4844408750005</v>
          </cell>
          <cell r="K1141">
            <v>6898.1055510937504</v>
          </cell>
          <cell r="L1141">
            <v>2</v>
          </cell>
          <cell r="M1141">
            <v>7664.5617234375004</v>
          </cell>
          <cell r="N1141">
            <v>8047.7898096093759</v>
          </cell>
          <cell r="O1141">
            <v>9017.1314393382363</v>
          </cell>
          <cell r="P1141">
            <v>9918.8445832720608</v>
          </cell>
          <cell r="Q1141">
            <v>3</v>
          </cell>
          <cell r="R1141">
            <v>11271.414299172795</v>
          </cell>
        </row>
        <row r="1142">
          <cell r="A1142">
            <v>8501917</v>
          </cell>
          <cell r="C1142" t="str">
            <v>BM</v>
          </cell>
          <cell r="D1142" t="str">
            <v>Bomba de leche (PUMP,2HP,1PH,CCW,230V,60HZ)</v>
          </cell>
          <cell r="E1142">
            <v>1</v>
          </cell>
          <cell r="F1142">
            <v>1658.72</v>
          </cell>
          <cell r="G1142">
            <v>2239.2720000000004</v>
          </cell>
          <cell r="H1142">
            <v>1.1499999999999999</v>
          </cell>
          <cell r="I1142">
            <v>2575.1628000000001</v>
          </cell>
          <cell r="J1142">
            <v>2794.0516379999999</v>
          </cell>
          <cell r="K1142">
            <v>3492.5645474999997</v>
          </cell>
          <cell r="L1142">
            <v>1</v>
          </cell>
          <cell r="M1142">
            <v>3676.3837342105262</v>
          </cell>
          <cell r="N1142">
            <v>3860.2029209210527</v>
          </cell>
          <cell r="O1142">
            <v>4325.1573343653254</v>
          </cell>
          <cell r="P1142">
            <v>4757.6730678018585</v>
          </cell>
          <cell r="Q1142">
            <v>3</v>
          </cell>
          <cell r="R1142">
            <v>5406.4466679566567</v>
          </cell>
        </row>
        <row r="1143">
          <cell r="A1143">
            <v>8507265</v>
          </cell>
          <cell r="D1143" t="str">
            <v>VALVE,GATE,4 IN,PVC</v>
          </cell>
          <cell r="E1143">
            <v>1</v>
          </cell>
          <cell r="F1143">
            <v>63.76</v>
          </cell>
          <cell r="G1143">
            <v>86.076000000000008</v>
          </cell>
          <cell r="H1143">
            <v>1.1499999999999999</v>
          </cell>
          <cell r="I1143">
            <v>98.987400000000008</v>
          </cell>
          <cell r="J1143">
            <v>107.401329</v>
          </cell>
          <cell r="K1143">
            <v>134.25166124999998</v>
          </cell>
          <cell r="L1143">
            <v>1</v>
          </cell>
          <cell r="M1143">
            <v>141.31753815789472</v>
          </cell>
          <cell r="N1143">
            <v>148.38341506578945</v>
          </cell>
          <cell r="O1143">
            <v>166.25592724458201</v>
          </cell>
          <cell r="P1143">
            <v>182.88151996904023</v>
          </cell>
          <cell r="Q1143">
            <v>3</v>
          </cell>
          <cell r="R1143">
            <v>207.81990905572749</v>
          </cell>
        </row>
        <row r="1144">
          <cell r="A1144" t="str">
            <v>251S</v>
          </cell>
          <cell r="D1144" t="str">
            <v>TANK, HORZ, 15" X 36", 30 GAL,</v>
          </cell>
          <cell r="F1144">
            <v>546.29999999999995</v>
          </cell>
          <cell r="G1144">
            <v>737.505</v>
          </cell>
          <cell r="H1144">
            <v>1.1499999999999999</v>
          </cell>
          <cell r="I1144">
            <v>848.13074999999992</v>
          </cell>
          <cell r="J1144">
            <v>920.2218637499999</v>
          </cell>
          <cell r="K1144">
            <v>1150.2773296874998</v>
          </cell>
          <cell r="L1144">
            <v>2</v>
          </cell>
          <cell r="M1144">
            <v>1278.0859218749997</v>
          </cell>
          <cell r="N1144">
            <v>1341.9902179687497</v>
          </cell>
          <cell r="O1144">
            <v>1503.6304963235291</v>
          </cell>
          <cell r="P1144">
            <v>1653.9935459558822</v>
          </cell>
          <cell r="Q1144">
            <v>3</v>
          </cell>
          <cell r="R1144">
            <v>1879.5381204044113</v>
          </cell>
        </row>
        <row r="1145">
          <cell r="A1145">
            <v>8518532</v>
          </cell>
          <cell r="C1145" t="str">
            <v>BM</v>
          </cell>
          <cell r="D1145" t="str">
            <v>Caja comando injector de aire(CONT ASSY,AI,230V,50/60HZ)</v>
          </cell>
          <cell r="E1145">
            <v>1</v>
          </cell>
          <cell r="F1145">
            <v>503.46</v>
          </cell>
          <cell r="G1145">
            <v>679.67100000000005</v>
          </cell>
          <cell r="H1145">
            <v>1</v>
          </cell>
          <cell r="I1145">
            <v>679.67100000000005</v>
          </cell>
          <cell r="J1145">
            <v>737.44303500000001</v>
          </cell>
          <cell r="K1145">
            <v>921.80379374999995</v>
          </cell>
          <cell r="L1145">
            <v>1</v>
          </cell>
          <cell r="M1145">
            <v>970.31978289473682</v>
          </cell>
          <cell r="N1145">
            <v>1018.8357720394737</v>
          </cell>
          <cell r="O1145">
            <v>1141.5526857585139</v>
          </cell>
          <cell r="P1145">
            <v>1255.7079543343655</v>
          </cell>
          <cell r="Q1145">
            <v>3</v>
          </cell>
          <cell r="R1145">
            <v>1426.9408571981423</v>
          </cell>
        </row>
        <row r="1146">
          <cell r="A1146">
            <v>8508649</v>
          </cell>
          <cell r="D1146" t="str">
            <v>TANK,DIST,40 GAL,HORIZ,4"/6"</v>
          </cell>
          <cell r="F1146">
            <v>595.80999999999995</v>
          </cell>
          <cell r="G1146">
            <v>804.34349999999995</v>
          </cell>
          <cell r="H1146">
            <v>1.1499999999999999</v>
          </cell>
          <cell r="I1146">
            <v>924.99502499999983</v>
          </cell>
          <cell r="J1146">
            <v>1003.6196021249998</v>
          </cell>
          <cell r="K1146">
            <v>1254.5245026562498</v>
          </cell>
          <cell r="L1146">
            <v>2</v>
          </cell>
          <cell r="M1146">
            <v>1393.9161140624997</v>
          </cell>
          <cell r="N1146">
            <v>1463.6119197656246</v>
          </cell>
          <cell r="O1146">
            <v>1639.9013106617645</v>
          </cell>
          <cell r="P1146">
            <v>1803.8914417279411</v>
          </cell>
          <cell r="Q1146">
            <v>3</v>
          </cell>
          <cell r="R1146">
            <v>2049.8766383272055</v>
          </cell>
        </row>
        <row r="1147">
          <cell r="A1147">
            <v>8511730</v>
          </cell>
          <cell r="C1147" t="str">
            <v>BM</v>
          </cell>
          <cell r="D1147" t="str">
            <v>Valvula de drenaje caneria automatica(VALVE ASSY,GOOSENECK DRAIN)</v>
          </cell>
          <cell r="E1147">
            <v>1</v>
          </cell>
          <cell r="F1147">
            <v>258.63</v>
          </cell>
          <cell r="G1147">
            <v>349.15050000000002</v>
          </cell>
          <cell r="H1147">
            <v>1.1499999999999999</v>
          </cell>
          <cell r="I1147">
            <v>401.52307500000001</v>
          </cell>
          <cell r="J1147">
            <v>435.65253637500001</v>
          </cell>
          <cell r="K1147">
            <v>544.56567046875</v>
          </cell>
          <cell r="L1147">
            <v>1</v>
          </cell>
          <cell r="M1147">
            <v>573.2270215460527</v>
          </cell>
          <cell r="N1147">
            <v>601.88837262335539</v>
          </cell>
          <cell r="O1147">
            <v>674.38473123065023</v>
          </cell>
          <cell r="P1147">
            <v>741.82320435371537</v>
          </cell>
          <cell r="Q1147">
            <v>3</v>
          </cell>
          <cell r="R1147">
            <v>842.98091403831279</v>
          </cell>
        </row>
        <row r="1148">
          <cell r="A1148">
            <v>8509298</v>
          </cell>
          <cell r="D1148" t="str">
            <v>FILTER KIT,COW ID,3 PHASE, 8GA</v>
          </cell>
          <cell r="F1148">
            <v>488.7</v>
          </cell>
          <cell r="G1148">
            <v>659.745</v>
          </cell>
          <cell r="H1148">
            <v>1.1499999999999999</v>
          </cell>
          <cell r="I1148">
            <v>758.70674999999994</v>
          </cell>
          <cell r="J1148">
            <v>823.19682374999991</v>
          </cell>
          <cell r="K1148">
            <v>1028.9960296874999</v>
          </cell>
          <cell r="L1148">
            <v>2</v>
          </cell>
          <cell r="M1148">
            <v>1143.3289218749999</v>
          </cell>
          <cell r="N1148">
            <v>1200.4953679687499</v>
          </cell>
          <cell r="O1148">
            <v>1345.0928492647058</v>
          </cell>
          <cell r="P1148">
            <v>1479.6021341911764</v>
          </cell>
          <cell r="Q1148">
            <v>3</v>
          </cell>
          <cell r="R1148">
            <v>1681.3660615808822</v>
          </cell>
        </row>
        <row r="1149">
          <cell r="A1149">
            <v>8513545</v>
          </cell>
          <cell r="C1149" t="str">
            <v>BM</v>
          </cell>
          <cell r="D1149" t="str">
            <v>Colector sin valvula de corte(CLAW ASSY,.63,F-S MAX,FORMED)</v>
          </cell>
          <cell r="E1149">
            <v>1</v>
          </cell>
          <cell r="F1149">
            <v>255.07</v>
          </cell>
          <cell r="G1149">
            <v>344.34450000000004</v>
          </cell>
          <cell r="H1149">
            <v>1.1499999999999999</v>
          </cell>
          <cell r="I1149">
            <v>395.99617499999999</v>
          </cell>
          <cell r="J1149">
            <v>429.655849875</v>
          </cell>
          <cell r="K1149">
            <v>537.06981234374996</v>
          </cell>
          <cell r="L1149">
            <v>1</v>
          </cell>
          <cell r="M1149">
            <v>565.33664457236841</v>
          </cell>
          <cell r="N1149">
            <v>593.60347680098687</v>
          </cell>
          <cell r="O1149">
            <v>665.10193479102168</v>
          </cell>
          <cell r="P1149">
            <v>731.61212827012389</v>
          </cell>
          <cell r="Q1149">
            <v>3</v>
          </cell>
          <cell r="R1149">
            <v>831.37741848877704</v>
          </cell>
        </row>
        <row r="1150">
          <cell r="A1150">
            <v>8581482</v>
          </cell>
          <cell r="D1150" t="str">
            <v>BEND,DOGLEG,RCVR,CNTR MNT</v>
          </cell>
          <cell r="F1150">
            <v>340.8</v>
          </cell>
          <cell r="G1150">
            <v>460.08000000000004</v>
          </cell>
          <cell r="H1150">
            <v>1.1499999999999999</v>
          </cell>
          <cell r="I1150">
            <v>529.09199999999998</v>
          </cell>
          <cell r="J1150">
            <v>574.06481999999994</v>
          </cell>
          <cell r="K1150">
            <v>717.58102499999984</v>
          </cell>
          <cell r="L1150">
            <v>1</v>
          </cell>
          <cell r="M1150">
            <v>755.34844736842092</v>
          </cell>
          <cell r="N1150">
            <v>793.115869736842</v>
          </cell>
          <cell r="O1150">
            <v>888.64523219814225</v>
          </cell>
          <cell r="P1150">
            <v>977.50975541795651</v>
          </cell>
          <cell r="Q1150">
            <v>3</v>
          </cell>
          <cell r="R1150">
            <v>1110.8065402476777</v>
          </cell>
        </row>
        <row r="1151">
          <cell r="A1151">
            <v>8584191</v>
          </cell>
          <cell r="C1151" t="str">
            <v>bm</v>
          </cell>
          <cell r="D1151" t="str">
            <v>REGULATOR,VAC,BOUVAC 1500</v>
          </cell>
          <cell r="E1151">
            <v>1</v>
          </cell>
          <cell r="F1151">
            <v>291.85000000000002</v>
          </cell>
          <cell r="G1151">
            <v>393.99750000000006</v>
          </cell>
          <cell r="H1151">
            <v>1.1499999999999999</v>
          </cell>
          <cell r="I1151">
            <v>453.09712500000001</v>
          </cell>
          <cell r="J1151">
            <v>491.610380625</v>
          </cell>
          <cell r="K1151">
            <v>614.51297578125002</v>
          </cell>
          <cell r="L1151">
            <v>1</v>
          </cell>
          <cell r="M1151">
            <v>646.85576398026319</v>
          </cell>
          <cell r="N1151">
            <v>679.19855217927636</v>
          </cell>
          <cell r="O1151">
            <v>761.00678115325081</v>
          </cell>
          <cell r="P1151">
            <v>837.10745926857601</v>
          </cell>
          <cell r="Q1151">
            <v>3</v>
          </cell>
          <cell r="R1151">
            <v>951.25847644156352</v>
          </cell>
        </row>
        <row r="1152">
          <cell r="A1152">
            <v>8584191</v>
          </cell>
          <cell r="C1152" t="str">
            <v>bm</v>
          </cell>
          <cell r="D1152" t="str">
            <v>Filtros B1500-5000 (Pack x 6)</v>
          </cell>
          <cell r="E1152">
            <v>6</v>
          </cell>
          <cell r="F1152">
            <v>291.85000000000002</v>
          </cell>
          <cell r="G1152">
            <v>393.99750000000006</v>
          </cell>
          <cell r="H1152">
            <v>1.1499999999999999</v>
          </cell>
          <cell r="I1152">
            <v>453.09712500000001</v>
          </cell>
          <cell r="J1152">
            <v>491.610380625</v>
          </cell>
          <cell r="K1152">
            <v>614.51297578125002</v>
          </cell>
          <cell r="L1152">
            <v>1</v>
          </cell>
          <cell r="M1152">
            <v>646.85576398026319</v>
          </cell>
          <cell r="N1152">
            <v>679.19855217927636</v>
          </cell>
          <cell r="O1152">
            <v>761.00678115325081</v>
          </cell>
          <cell r="P1152">
            <v>837.10745926857601</v>
          </cell>
          <cell r="Q1152">
            <v>3</v>
          </cell>
          <cell r="R1152">
            <v>951.25847644156352</v>
          </cell>
        </row>
        <row r="1153">
          <cell r="A1153">
            <v>8581834</v>
          </cell>
          <cell r="D1153" t="str">
            <v>VALVE ASSY,DIVERTER,SS,3"</v>
          </cell>
          <cell r="F1153">
            <v>244.91</v>
          </cell>
          <cell r="G1153">
            <v>330.62850000000003</v>
          </cell>
          <cell r="H1153">
            <v>1.1499999999999999</v>
          </cell>
          <cell r="I1153">
            <v>380.22277500000001</v>
          </cell>
          <cell r="J1153">
            <v>412.54171087499998</v>
          </cell>
          <cell r="K1153">
            <v>515.67713859374999</v>
          </cell>
          <cell r="L1153">
            <v>2</v>
          </cell>
          <cell r="M1153">
            <v>572.97459843749994</v>
          </cell>
          <cell r="N1153">
            <v>601.62332835937491</v>
          </cell>
          <cell r="O1153">
            <v>674.08776286764703</v>
          </cell>
          <cell r="P1153">
            <v>741.49653915441183</v>
          </cell>
          <cell r="Q1153">
            <v>3</v>
          </cell>
          <cell r="R1153">
            <v>842.6097035845587</v>
          </cell>
        </row>
        <row r="1154">
          <cell r="A1154">
            <v>8583328</v>
          </cell>
          <cell r="D1154" t="str">
            <v>TEE ASSY,ADAPTER,AIR INJ,3"</v>
          </cell>
          <cell r="F1154">
            <v>262.26</v>
          </cell>
          <cell r="G1154">
            <v>354.05099999999999</v>
          </cell>
          <cell r="H1154">
            <v>1.1499999999999999</v>
          </cell>
          <cell r="I1154">
            <v>407.15864999999997</v>
          </cell>
          <cell r="J1154">
            <v>441.76713524999997</v>
          </cell>
          <cell r="K1154">
            <v>552.20891906249994</v>
          </cell>
          <cell r="L1154">
            <v>2</v>
          </cell>
          <cell r="M1154">
            <v>613.56546562499989</v>
          </cell>
          <cell r="N1154">
            <v>644.24373890624986</v>
          </cell>
          <cell r="O1154">
            <v>721.84172426470582</v>
          </cell>
          <cell r="P1154">
            <v>794.02589669117651</v>
          </cell>
          <cell r="Q1154">
            <v>3</v>
          </cell>
          <cell r="R1154">
            <v>902.30215533088221</v>
          </cell>
        </row>
        <row r="1155">
          <cell r="A1155">
            <v>8517440</v>
          </cell>
          <cell r="C1155" t="str">
            <v>BM</v>
          </cell>
          <cell r="D1155" t="str">
            <v>Kit de T para lavado e injecto con tapones(TEE ASSY,2.50 IN)</v>
          </cell>
          <cell r="E1155">
            <v>1</v>
          </cell>
          <cell r="F1155">
            <v>282.68</v>
          </cell>
          <cell r="G1155">
            <v>381.61800000000005</v>
          </cell>
          <cell r="H1155">
            <v>1.1499999999999999</v>
          </cell>
          <cell r="I1155">
            <v>438.86070000000001</v>
          </cell>
          <cell r="J1155">
            <v>476.1638595</v>
          </cell>
          <cell r="K1155">
            <v>595.20482437499993</v>
          </cell>
          <cell r="L1155">
            <v>2</v>
          </cell>
          <cell r="M1155">
            <v>661.33869374999995</v>
          </cell>
          <cell r="N1155">
            <v>694.40562843750001</v>
          </cell>
          <cell r="O1155">
            <v>778.04552205882351</v>
          </cell>
          <cell r="P1155">
            <v>855.85007426470588</v>
          </cell>
          <cell r="Q1155">
            <v>3</v>
          </cell>
          <cell r="R1155">
            <v>972.55690257352933</v>
          </cell>
        </row>
        <row r="1156">
          <cell r="A1156">
            <v>8502405</v>
          </cell>
          <cell r="C1156" t="str">
            <v>BM</v>
          </cell>
          <cell r="D1156" t="str">
            <v>Kit de poteals(KIT,PULLEY,VSVP,BP-200,10-15HP</v>
          </cell>
          <cell r="E1156">
            <v>1</v>
          </cell>
          <cell r="F1156">
            <v>150.02000000000001</v>
          </cell>
          <cell r="G1156">
            <v>202.52700000000002</v>
          </cell>
          <cell r="H1156">
            <v>1.1499999999999999</v>
          </cell>
          <cell r="I1156">
            <v>232.90604999999999</v>
          </cell>
          <cell r="J1156">
            <v>252.70306424999998</v>
          </cell>
          <cell r="K1156">
            <v>315.87883031249999</v>
          </cell>
          <cell r="L1156">
            <v>2</v>
          </cell>
          <cell r="M1156">
            <v>350.97647812499997</v>
          </cell>
          <cell r="N1156">
            <v>368.52530203124996</v>
          </cell>
          <cell r="O1156">
            <v>412.91350367647055</v>
          </cell>
          <cell r="P1156">
            <v>454.20485404411767</v>
          </cell>
          <cell r="Q1156">
            <v>3</v>
          </cell>
          <cell r="R1156">
            <v>516.14187959558819</v>
          </cell>
        </row>
        <row r="1157">
          <cell r="A1157" t="str">
            <v>D480180X1</v>
          </cell>
          <cell r="C1157" t="str">
            <v>GM</v>
          </cell>
          <cell r="D1157" t="str">
            <v>pvc card ( electric card)</v>
          </cell>
          <cell r="E1157">
            <v>1</v>
          </cell>
          <cell r="F1157">
            <v>250.56</v>
          </cell>
          <cell r="G1157">
            <v>338.25600000000003</v>
          </cell>
          <cell r="H1157">
            <v>1.1499999999999999</v>
          </cell>
          <cell r="I1157">
            <v>388.99439999999998</v>
          </cell>
          <cell r="J1157">
            <v>422.05892399999999</v>
          </cell>
          <cell r="K1157">
            <v>602.94132000000002</v>
          </cell>
          <cell r="L1157">
            <v>1</v>
          </cell>
          <cell r="M1157">
            <v>634.67507368421059</v>
          </cell>
          <cell r="N1157">
            <v>666.40882736842116</v>
          </cell>
          <cell r="O1157">
            <v>746.67655727554188</v>
          </cell>
          <cell r="P1157">
            <v>821.34421300309612</v>
          </cell>
          <cell r="Q1157">
            <v>3</v>
          </cell>
          <cell r="R1157">
            <v>933.3456965944273</v>
          </cell>
        </row>
        <row r="1158">
          <cell r="A1158">
            <v>8518159</v>
          </cell>
          <cell r="C1158" t="str">
            <v>BM</v>
          </cell>
          <cell r="D1158" t="str">
            <v>Kit de T para lavado e injector con tapones (TEE ASSY,4.00 IN)</v>
          </cell>
          <cell r="E1158">
            <v>1</v>
          </cell>
          <cell r="F1158">
            <v>368.96</v>
          </cell>
          <cell r="G1158">
            <v>498.096</v>
          </cell>
          <cell r="H1158">
            <v>1.1499999999999999</v>
          </cell>
          <cell r="I1158">
            <v>572.81039999999996</v>
          </cell>
          <cell r="J1158">
            <v>621.49928399999999</v>
          </cell>
          <cell r="K1158">
            <v>776.87410499999999</v>
          </cell>
          <cell r="L1158">
            <v>1</v>
          </cell>
          <cell r="M1158">
            <v>817.76221578947366</v>
          </cell>
          <cell r="N1158">
            <v>858.65032657894733</v>
          </cell>
          <cell r="O1158">
            <v>962.07319504643965</v>
          </cell>
          <cell r="P1158">
            <v>1058.2805145510838</v>
          </cell>
          <cell r="Q1158">
            <v>3</v>
          </cell>
          <cell r="R1158">
            <v>1202.5914938080496</v>
          </cell>
        </row>
        <row r="1159">
          <cell r="A1159" t="str">
            <v>142501B</v>
          </cell>
          <cell r="D1159" t="str">
            <v>BUSHING, PULLEY, 1-1/8", 5.0PD</v>
          </cell>
          <cell r="F1159">
            <v>12.76</v>
          </cell>
          <cell r="G1159">
            <v>17.225999999999999</v>
          </cell>
          <cell r="H1159">
            <v>1.1499999999999999</v>
          </cell>
          <cell r="I1159">
            <v>19.809899999999999</v>
          </cell>
          <cell r="J1159">
            <v>21.493741499999999</v>
          </cell>
          <cell r="K1159">
            <v>26.867176874999998</v>
          </cell>
          <cell r="L1159">
            <v>2</v>
          </cell>
          <cell r="M1159">
            <v>29.852418749999998</v>
          </cell>
          <cell r="N1159">
            <v>31.345039687499998</v>
          </cell>
          <cell r="O1159">
            <v>35.120492647058825</v>
          </cell>
          <cell r="P1159">
            <v>38.632541911764712</v>
          </cell>
          <cell r="Q1159">
            <v>3</v>
          </cell>
          <cell r="R1159">
            <v>43.900615808823531</v>
          </cell>
        </row>
        <row r="1160">
          <cell r="A1160">
            <v>8503076</v>
          </cell>
          <cell r="C1160" t="str">
            <v>BM</v>
          </cell>
          <cell r="D1160" t="str">
            <v>VALVE,WATER, .75NPT,220/240VAC</v>
          </cell>
          <cell r="E1160">
            <v>1</v>
          </cell>
          <cell r="F1160">
            <v>116.89</v>
          </cell>
          <cell r="G1160">
            <v>157.8015</v>
          </cell>
          <cell r="H1160">
            <v>1.1499999999999999</v>
          </cell>
          <cell r="I1160">
            <v>181.47172499999999</v>
          </cell>
          <cell r="J1160">
            <v>185.10115949999999</v>
          </cell>
          <cell r="K1160">
            <v>217.76606999999998</v>
          </cell>
          <cell r="L1160">
            <v>1</v>
          </cell>
          <cell r="M1160">
            <v>229.22744210526315</v>
          </cell>
          <cell r="N1160">
            <v>240.68881421052632</v>
          </cell>
          <cell r="O1160">
            <v>269.67934365325078</v>
          </cell>
          <cell r="P1160">
            <v>296.64727801857589</v>
          </cell>
          <cell r="Q1160">
            <v>1</v>
          </cell>
          <cell r="R1160">
            <v>299.64371517027865</v>
          </cell>
        </row>
        <row r="1161">
          <cell r="A1161">
            <v>8514751</v>
          </cell>
          <cell r="C1161" t="str">
            <v>BM</v>
          </cell>
          <cell r="D1161" t="str">
            <v>Soporte duchas de lavado inox.(JETTER ASSY,W/HOLDER)</v>
          </cell>
          <cell r="E1161">
            <v>1</v>
          </cell>
          <cell r="F1161">
            <v>68.400000000000006</v>
          </cell>
          <cell r="G1161">
            <v>92.340000000000018</v>
          </cell>
          <cell r="H1161">
            <v>1.1499999999999999</v>
          </cell>
          <cell r="I1161">
            <v>106.19100000000002</v>
          </cell>
          <cell r="J1161">
            <v>115.21723500000002</v>
          </cell>
          <cell r="K1161">
            <v>144.02154375000001</v>
          </cell>
          <cell r="L1161">
            <v>2</v>
          </cell>
          <cell r="M1161">
            <v>160.02393750000002</v>
          </cell>
          <cell r="N1161">
            <v>168.02513437500002</v>
          </cell>
          <cell r="O1161">
            <v>188.26345588235296</v>
          </cell>
          <cell r="P1161">
            <v>207.08980147058827</v>
          </cell>
          <cell r="Q1161">
            <v>3</v>
          </cell>
          <cell r="R1161">
            <v>235.32931985294118</v>
          </cell>
        </row>
        <row r="1162">
          <cell r="A1162">
            <v>8518176</v>
          </cell>
          <cell r="C1162" t="str">
            <v>BM</v>
          </cell>
          <cell r="D1162" t="str">
            <v>VALVE,DRAIN,2" ELEC 230V</v>
          </cell>
          <cell r="E1162">
            <v>1</v>
          </cell>
          <cell r="F1162">
            <v>122.51</v>
          </cell>
          <cell r="G1162">
            <v>165.38850000000002</v>
          </cell>
          <cell r="H1162">
            <v>1.1499999999999999</v>
          </cell>
          <cell r="I1162">
            <v>190.196775</v>
          </cell>
          <cell r="J1162">
            <v>206.363500875</v>
          </cell>
          <cell r="K1162">
            <v>257.95437609375</v>
          </cell>
          <cell r="L1162">
            <v>1</v>
          </cell>
          <cell r="M1162">
            <v>271.5309222039474</v>
          </cell>
          <cell r="N1162">
            <v>285.1074683141448</v>
          </cell>
          <cell r="O1162">
            <v>319.44814376934988</v>
          </cell>
          <cell r="P1162">
            <v>351.39295814628491</v>
          </cell>
          <cell r="Q1162">
            <v>3</v>
          </cell>
          <cell r="R1162">
            <v>399.31017971168734</v>
          </cell>
        </row>
        <row r="1163">
          <cell r="A1163">
            <v>8519334</v>
          </cell>
          <cell r="C1163" t="str">
            <v>BM</v>
          </cell>
          <cell r="D1163" t="str">
            <v>Kit de poteals(KIT,PULLEY,BP-400,20 HP</v>
          </cell>
          <cell r="E1163">
            <v>1</v>
          </cell>
          <cell r="F1163">
            <v>141.91</v>
          </cell>
          <cell r="G1163">
            <v>191.57850000000002</v>
          </cell>
          <cell r="H1163">
            <v>1.1499999999999999</v>
          </cell>
          <cell r="I1163">
            <v>220.31527500000001</v>
          </cell>
          <cell r="J1163">
            <v>239.042073375</v>
          </cell>
          <cell r="K1163">
            <v>298.80259171874997</v>
          </cell>
          <cell r="L1163">
            <v>1</v>
          </cell>
          <cell r="M1163">
            <v>314.52904391447368</v>
          </cell>
          <cell r="N1163">
            <v>330.25549611019738</v>
          </cell>
          <cell r="O1163">
            <v>370.03416931114549</v>
          </cell>
          <cell r="P1163">
            <v>407.03758624226009</v>
          </cell>
          <cell r="Q1163">
            <v>3</v>
          </cell>
          <cell r="R1163">
            <v>462.54271163893185</v>
          </cell>
        </row>
        <row r="1164">
          <cell r="A1164">
            <v>8503078</v>
          </cell>
          <cell r="D1164" t="str">
            <v>VALVE,WATER,1.50NPT,220/240VAC</v>
          </cell>
          <cell r="F1164">
            <v>295.58999999999997</v>
          </cell>
          <cell r="G1164">
            <v>399.04649999999998</v>
          </cell>
          <cell r="H1164">
            <v>1.1499999999999999</v>
          </cell>
          <cell r="I1164">
            <v>458.90347499999996</v>
          </cell>
          <cell r="J1164">
            <v>497.91027037499993</v>
          </cell>
          <cell r="K1164">
            <v>622.38783796874986</v>
          </cell>
          <cell r="L1164">
            <v>1</v>
          </cell>
          <cell r="M1164">
            <v>655.14509259868407</v>
          </cell>
          <cell r="N1164">
            <v>687.90234722861828</v>
          </cell>
          <cell r="O1164">
            <v>770.75893246904013</v>
          </cell>
          <cell r="P1164">
            <v>847.83482571594425</v>
          </cell>
          <cell r="Q1164">
            <v>3</v>
          </cell>
          <cell r="R1164">
            <v>963.44866558630008</v>
          </cell>
        </row>
        <row r="1165">
          <cell r="A1165">
            <v>8512564</v>
          </cell>
          <cell r="C1165" t="str">
            <v>BM</v>
          </cell>
          <cell r="D1165" t="str">
            <v>Pulsador con filtro de aire(PULSATOR ASSY,FILTERED AIR)</v>
          </cell>
          <cell r="E1165">
            <v>1</v>
          </cell>
          <cell r="F1165">
            <v>226.17</v>
          </cell>
          <cell r="G1165">
            <v>305.3295</v>
          </cell>
          <cell r="H1165">
            <v>1.1499999999999999</v>
          </cell>
          <cell r="I1165">
            <v>351.12892499999998</v>
          </cell>
          <cell r="J1165">
            <v>380.97488362499996</v>
          </cell>
          <cell r="K1165">
            <v>476.21860453124992</v>
          </cell>
          <cell r="L1165">
            <v>1</v>
          </cell>
          <cell r="M1165">
            <v>501.28274161184203</v>
          </cell>
          <cell r="N1165">
            <v>526.34687869243419</v>
          </cell>
          <cell r="O1165">
            <v>589.74440189628478</v>
          </cell>
          <cell r="P1165">
            <v>648.71884208591337</v>
          </cell>
          <cell r="Q1165">
            <v>3</v>
          </cell>
          <cell r="R1165">
            <v>737.18050237035595</v>
          </cell>
        </row>
        <row r="1166">
          <cell r="A1166">
            <v>8513976</v>
          </cell>
          <cell r="D1166" t="str">
            <v>PROBE ASSY,3"</v>
          </cell>
          <cell r="F1166">
            <v>245.58</v>
          </cell>
          <cell r="G1166">
            <v>331.53300000000002</v>
          </cell>
          <cell r="H1166">
            <v>1.1499999999999999</v>
          </cell>
          <cell r="I1166">
            <v>381.26294999999999</v>
          </cell>
          <cell r="J1166">
            <v>413.67030074999997</v>
          </cell>
          <cell r="K1166">
            <v>517.08787593749992</v>
          </cell>
          <cell r="L1166">
            <v>1</v>
          </cell>
          <cell r="M1166">
            <v>544.30302730263156</v>
          </cell>
          <cell r="N1166">
            <v>571.51817866776321</v>
          </cell>
          <cell r="O1166">
            <v>640.35650270897827</v>
          </cell>
          <cell r="P1166">
            <v>704.39215297987619</v>
          </cell>
          <cell r="Q1166">
            <v>3</v>
          </cell>
          <cell r="R1166">
            <v>800.44562838622278</v>
          </cell>
        </row>
        <row r="1167">
          <cell r="A1167">
            <v>8503075</v>
          </cell>
          <cell r="C1167" t="str">
            <v>BM</v>
          </cell>
          <cell r="D1167" t="str">
            <v>VALVE,WATER, .50NPT,220/240VAC</v>
          </cell>
          <cell r="E1167">
            <v>1</v>
          </cell>
          <cell r="F1167">
            <v>126.62</v>
          </cell>
          <cell r="G1167">
            <v>170.93700000000001</v>
          </cell>
          <cell r="H1167">
            <v>1.1499999999999999</v>
          </cell>
          <cell r="I1167">
            <v>196.57755</v>
          </cell>
          <cell r="J1167">
            <v>200.50910100000002</v>
          </cell>
          <cell r="K1167">
            <v>235.89306000000002</v>
          </cell>
          <cell r="L1167">
            <v>1</v>
          </cell>
          <cell r="M1167">
            <v>248.30848421052636</v>
          </cell>
          <cell r="N1167">
            <v>260.72390842105267</v>
          </cell>
          <cell r="O1167">
            <v>292.12762848297217</v>
          </cell>
          <cell r="P1167">
            <v>321.34039133126942</v>
          </cell>
          <cell r="Q1167">
            <v>1</v>
          </cell>
          <cell r="R1167">
            <v>324.58625386996908</v>
          </cell>
        </row>
        <row r="1168">
          <cell r="A1168">
            <v>8510472</v>
          </cell>
          <cell r="D1168" t="str">
            <v>MOUNT ASSY,HOSE SUPPORT</v>
          </cell>
          <cell r="F1168">
            <v>40.35</v>
          </cell>
          <cell r="G1168">
            <v>54.472500000000004</v>
          </cell>
          <cell r="H1168">
            <v>1.1499999999999999</v>
          </cell>
          <cell r="I1168">
            <v>62.643374999999999</v>
          </cell>
          <cell r="J1168">
            <v>67.968061875000004</v>
          </cell>
          <cell r="K1168">
            <v>84.960077343750001</v>
          </cell>
          <cell r="L1168">
            <v>2</v>
          </cell>
          <cell r="M1168">
            <v>94.400085937499995</v>
          </cell>
          <cell r="N1168">
            <v>99.120090234374999</v>
          </cell>
          <cell r="O1168">
            <v>111.05892463235294</v>
          </cell>
          <cell r="P1168">
            <v>122.16481709558825</v>
          </cell>
          <cell r="Q1168">
            <v>3</v>
          </cell>
          <cell r="R1168">
            <v>138.82365579044117</v>
          </cell>
        </row>
        <row r="1169">
          <cell r="A1169">
            <v>8516814</v>
          </cell>
          <cell r="C1169" t="str">
            <v>BM</v>
          </cell>
          <cell r="D1169" t="str">
            <v>Valvula de zafe de vacio (Vacuum Relief Valve)</v>
          </cell>
          <cell r="E1169">
            <v>1</v>
          </cell>
          <cell r="F1169">
            <v>103.75</v>
          </cell>
          <cell r="G1169">
            <v>140.0625</v>
          </cell>
          <cell r="H1169">
            <v>1.1499999999999999</v>
          </cell>
          <cell r="I1169">
            <v>161.07187499999998</v>
          </cell>
          <cell r="J1169">
            <v>174.76298437499997</v>
          </cell>
          <cell r="K1169">
            <v>218.45373046874997</v>
          </cell>
          <cell r="L1169">
            <v>2</v>
          </cell>
          <cell r="M1169">
            <v>242.72636718749996</v>
          </cell>
          <cell r="N1169">
            <v>254.86268554687496</v>
          </cell>
          <cell r="O1169">
            <v>285.56043198529409</v>
          </cell>
          <cell r="P1169">
            <v>314.11647518382352</v>
          </cell>
          <cell r="Q1169">
            <v>3</v>
          </cell>
          <cell r="R1169">
            <v>356.95053998161757</v>
          </cell>
        </row>
        <row r="1170">
          <cell r="A1170">
            <v>8511715</v>
          </cell>
          <cell r="C1170" t="str">
            <v>BM</v>
          </cell>
          <cell r="D1170" t="str">
            <v>Conector (NIPPLE ASSY,G-NECK,5/8 ID,PRL 4 ")</v>
          </cell>
          <cell r="E1170">
            <v>1</v>
          </cell>
          <cell r="F1170">
            <v>46</v>
          </cell>
          <cell r="G1170">
            <v>62.1</v>
          </cell>
          <cell r="H1170">
            <v>1.1499999999999999</v>
          </cell>
          <cell r="I1170">
            <v>71.414999999999992</v>
          </cell>
          <cell r="J1170">
            <v>77.485274999999987</v>
          </cell>
          <cell r="K1170">
            <v>96.856593749999973</v>
          </cell>
          <cell r="L1170">
            <v>2</v>
          </cell>
          <cell r="M1170">
            <v>107.61843749999997</v>
          </cell>
          <cell r="N1170">
            <v>112.99935937499997</v>
          </cell>
          <cell r="O1170">
            <v>126.60992647058821</v>
          </cell>
          <cell r="P1170">
            <v>139.27091911764703</v>
          </cell>
          <cell r="Q1170">
            <v>3</v>
          </cell>
          <cell r="R1170">
            <v>158.26240808823525</v>
          </cell>
        </row>
        <row r="1171">
          <cell r="A1171">
            <v>2510</v>
          </cell>
          <cell r="D1171" t="str">
            <v>BRACKETS, PVC TANK SUPPORT</v>
          </cell>
          <cell r="F1171">
            <v>70.040000000000006</v>
          </cell>
          <cell r="G1171">
            <v>94.554000000000016</v>
          </cell>
          <cell r="H1171">
            <v>1.1499999999999999</v>
          </cell>
          <cell r="I1171">
            <v>108.73710000000001</v>
          </cell>
          <cell r="J1171">
            <v>117.97975350000002</v>
          </cell>
          <cell r="K1171">
            <v>147.47469187500002</v>
          </cell>
          <cell r="L1171">
            <v>2</v>
          </cell>
          <cell r="M1171">
            <v>163.86076875000001</v>
          </cell>
          <cell r="N1171">
            <v>172.05380718750001</v>
          </cell>
          <cell r="O1171">
            <v>192.77737500000001</v>
          </cell>
          <cell r="P1171">
            <v>212.05511250000004</v>
          </cell>
          <cell r="Q1171">
            <v>3</v>
          </cell>
          <cell r="R1171">
            <v>240.97171875000001</v>
          </cell>
        </row>
        <row r="1172">
          <cell r="A1172">
            <v>8507953</v>
          </cell>
          <cell r="C1172" t="str">
            <v>BM</v>
          </cell>
          <cell r="D1172" t="str">
            <v>Codo(ELBOW,45 DEG,SS,CLP,2)</v>
          </cell>
          <cell r="E1172">
            <v>1</v>
          </cell>
          <cell r="F1172">
            <v>35.82</v>
          </cell>
          <cell r="G1172">
            <v>48.357000000000006</v>
          </cell>
          <cell r="H1172">
            <v>1.1499999999999999</v>
          </cell>
          <cell r="I1172">
            <v>55.610550000000003</v>
          </cell>
          <cell r="J1172">
            <v>60.337446750000005</v>
          </cell>
          <cell r="K1172">
            <v>75.421808437500005</v>
          </cell>
          <cell r="L1172">
            <v>1</v>
          </cell>
          <cell r="M1172">
            <v>79.391377302631582</v>
          </cell>
          <cell r="N1172">
            <v>83.36094616776316</v>
          </cell>
          <cell r="O1172">
            <v>93.401620356037157</v>
          </cell>
          <cell r="P1172">
            <v>102.74178239164088</v>
          </cell>
          <cell r="Q1172">
            <v>3</v>
          </cell>
          <cell r="R1172">
            <v>116.75202544504644</v>
          </cell>
        </row>
        <row r="1173">
          <cell r="A1173">
            <v>8502367</v>
          </cell>
          <cell r="C1173" t="str">
            <v>BM</v>
          </cell>
          <cell r="D1173" t="str">
            <v>Kit de poteals(KIT,PULLEY,BP-200,7.5HP MOTOR</v>
          </cell>
          <cell r="E1173">
            <v>1</v>
          </cell>
          <cell r="F1173">
            <v>68.06</v>
          </cell>
          <cell r="G1173">
            <v>91.881000000000014</v>
          </cell>
          <cell r="H1173">
            <v>1.1499999999999999</v>
          </cell>
          <cell r="I1173">
            <v>105.66315</v>
          </cell>
          <cell r="J1173">
            <v>114.64451774999999</v>
          </cell>
          <cell r="K1173">
            <v>143.30564718749997</v>
          </cell>
          <cell r="L1173">
            <v>1</v>
          </cell>
          <cell r="M1173">
            <v>150.84804967105262</v>
          </cell>
          <cell r="N1173">
            <v>158.39045215460527</v>
          </cell>
          <cell r="O1173">
            <v>177.46829373065015</v>
          </cell>
          <cell r="P1173">
            <v>195.21512310371517</v>
          </cell>
          <cell r="Q1173">
            <v>3</v>
          </cell>
          <cell r="R1173">
            <v>221.83536716331267</v>
          </cell>
        </row>
        <row r="1174">
          <cell r="A1174">
            <v>8502404</v>
          </cell>
          <cell r="C1174" t="str">
            <v>BM</v>
          </cell>
          <cell r="D1174" t="str">
            <v>Kit de poteals(KIT,PULLEY,VSVP,BP-140,7.5-10</v>
          </cell>
          <cell r="E1174">
            <v>1</v>
          </cell>
          <cell r="F1174">
            <v>68.06</v>
          </cell>
          <cell r="G1174">
            <v>91.881000000000014</v>
          </cell>
          <cell r="H1174">
            <v>1.1499999999999999</v>
          </cell>
          <cell r="I1174">
            <v>105.66315</v>
          </cell>
          <cell r="J1174">
            <v>114.64451774999999</v>
          </cell>
          <cell r="K1174">
            <v>143.30564718749997</v>
          </cell>
          <cell r="L1174">
            <v>1</v>
          </cell>
          <cell r="M1174">
            <v>150.84804967105262</v>
          </cell>
          <cell r="N1174">
            <v>158.39045215460527</v>
          </cell>
          <cell r="O1174">
            <v>177.46829373065015</v>
          </cell>
          <cell r="P1174">
            <v>195.21512310371517</v>
          </cell>
          <cell r="Q1174">
            <v>3</v>
          </cell>
          <cell r="R1174">
            <v>221.83536716331267</v>
          </cell>
        </row>
        <row r="1175">
          <cell r="A1175">
            <v>8518111</v>
          </cell>
          <cell r="C1175" t="str">
            <v>BM</v>
          </cell>
          <cell r="D1175" t="str">
            <v>Kit de Poleas(KIT,PULLEY,BP-140, 7.5 HP)</v>
          </cell>
          <cell r="E1175">
            <v>1</v>
          </cell>
          <cell r="F1175">
            <v>68.06</v>
          </cell>
          <cell r="G1175">
            <v>91.881000000000014</v>
          </cell>
          <cell r="H1175">
            <v>1.1499999999999999</v>
          </cell>
          <cell r="I1175">
            <v>105.66315</v>
          </cell>
          <cell r="J1175">
            <v>114.64451774999999</v>
          </cell>
          <cell r="K1175">
            <v>143.30564718749997</v>
          </cell>
          <cell r="L1175">
            <v>1</v>
          </cell>
          <cell r="M1175">
            <v>150.84804967105262</v>
          </cell>
          <cell r="N1175">
            <v>158.39045215460527</v>
          </cell>
          <cell r="O1175">
            <v>177.46829373065015</v>
          </cell>
          <cell r="P1175">
            <v>195.21512310371517</v>
          </cell>
          <cell r="Q1175">
            <v>3</v>
          </cell>
          <cell r="R1175">
            <v>221.83536716331267</v>
          </cell>
        </row>
        <row r="1176">
          <cell r="A1176">
            <v>32615</v>
          </cell>
          <cell r="D1176" t="str">
            <v>ELBOW, DRAIN, 1.5", W/FRLS, 7/</v>
          </cell>
          <cell r="F1176">
            <v>49.13</v>
          </cell>
          <cell r="G1176">
            <v>66.325500000000005</v>
          </cell>
          <cell r="H1176">
            <v>1.1499999999999999</v>
          </cell>
          <cell r="I1176">
            <v>76.274325000000005</v>
          </cell>
          <cell r="J1176">
            <v>82.757642625000003</v>
          </cell>
          <cell r="K1176">
            <v>103.44705328124999</v>
          </cell>
          <cell r="L1176">
            <v>2</v>
          </cell>
          <cell r="M1176">
            <v>114.94117031249999</v>
          </cell>
          <cell r="N1176">
            <v>120.68822882812499</v>
          </cell>
          <cell r="O1176">
            <v>135.22490625</v>
          </cell>
          <cell r="P1176">
            <v>148.74739687500002</v>
          </cell>
          <cell r="Q1176">
            <v>3</v>
          </cell>
          <cell r="R1176">
            <v>169.0311328125</v>
          </cell>
        </row>
        <row r="1177">
          <cell r="A1177">
            <v>8500819</v>
          </cell>
          <cell r="C1177" t="str">
            <v>BM</v>
          </cell>
          <cell r="D1177" t="str">
            <v>Conector (NIPPLE ASSY,STR,PLSTC,2 IN)</v>
          </cell>
          <cell r="E1177">
            <v>1</v>
          </cell>
          <cell r="F1177">
            <v>10.75</v>
          </cell>
          <cell r="G1177">
            <v>14.512500000000001</v>
          </cell>
          <cell r="H1177">
            <v>1.1499999999999999</v>
          </cell>
          <cell r="I1177">
            <v>16.689374999999998</v>
          </cell>
          <cell r="J1177">
            <v>18.107971874999997</v>
          </cell>
          <cell r="K1177">
            <v>22.634964843749994</v>
          </cell>
          <cell r="L1177">
            <v>1</v>
          </cell>
          <cell r="M1177">
            <v>23.826278782894732</v>
          </cell>
          <cell r="N1177">
            <v>25.01759272203947</v>
          </cell>
          <cell r="O1177">
            <v>28.030916215170276</v>
          </cell>
          <cell r="P1177">
            <v>30.834007836687306</v>
          </cell>
          <cell r="Q1177">
            <v>3</v>
          </cell>
          <cell r="R1177">
            <v>35.038645268962846</v>
          </cell>
        </row>
        <row r="1178">
          <cell r="A1178" t="str">
            <v>D480154</v>
          </cell>
          <cell r="C1178" t="str">
            <v>GM</v>
          </cell>
          <cell r="D1178" t="str">
            <v>remote switch and led</v>
          </cell>
          <cell r="E1178">
            <v>1</v>
          </cell>
          <cell r="F1178">
            <v>48.16</v>
          </cell>
          <cell r="G1178">
            <v>65.016000000000005</v>
          </cell>
          <cell r="H1178">
            <v>1.1499999999999999</v>
          </cell>
          <cell r="I1178">
            <v>74.7684</v>
          </cell>
          <cell r="J1178">
            <v>81.123713999999993</v>
          </cell>
          <cell r="K1178">
            <v>115.89102</v>
          </cell>
          <cell r="L1178">
            <v>1</v>
          </cell>
          <cell r="M1178">
            <v>121.99054736842106</v>
          </cell>
          <cell r="N1178">
            <v>128.09007473684213</v>
          </cell>
          <cell r="O1178">
            <v>143.51829102167184</v>
          </cell>
          <cell r="P1178">
            <v>157.87012012383903</v>
          </cell>
          <cell r="Q1178">
            <v>3</v>
          </cell>
          <cell r="R1178">
            <v>179.39786377708978</v>
          </cell>
        </row>
        <row r="1179">
          <cell r="A1179">
            <v>14294</v>
          </cell>
          <cell r="D1179" t="str">
            <v>PULLEY, PUMP, 2B9.4, 2 GROOVE</v>
          </cell>
          <cell r="F1179">
            <v>55.37</v>
          </cell>
          <cell r="G1179">
            <v>74.749499999999998</v>
          </cell>
          <cell r="H1179">
            <v>1.1499999999999999</v>
          </cell>
          <cell r="I1179">
            <v>85.961924999999994</v>
          </cell>
          <cell r="J1179">
            <v>93.268688624999996</v>
          </cell>
          <cell r="K1179">
            <v>116.58586078124999</v>
          </cell>
          <cell r="L1179">
            <v>1</v>
          </cell>
          <cell r="M1179">
            <v>122.72195871710527</v>
          </cell>
          <cell r="N1179">
            <v>128.85805665296053</v>
          </cell>
          <cell r="O1179">
            <v>144.37877496130031</v>
          </cell>
          <cell r="P1179">
            <v>158.81665245743037</v>
          </cell>
          <cell r="Q1179">
            <v>3</v>
          </cell>
          <cell r="R1179">
            <v>180.47346870162536</v>
          </cell>
        </row>
        <row r="1180">
          <cell r="A1180">
            <v>8517041</v>
          </cell>
          <cell r="D1180" t="str">
            <v>VALVE,GATE,3IN.ID</v>
          </cell>
          <cell r="E1180">
            <v>1</v>
          </cell>
          <cell r="F1180">
            <v>26.68</v>
          </cell>
          <cell r="G1180">
            <v>36.018000000000001</v>
          </cell>
          <cell r="H1180">
            <v>1.1499999999999999</v>
          </cell>
          <cell r="I1180">
            <v>41.420699999999997</v>
          </cell>
          <cell r="J1180">
            <v>44.941459499999993</v>
          </cell>
          <cell r="K1180">
            <v>56.176824374999988</v>
          </cell>
          <cell r="L1180">
            <v>1</v>
          </cell>
          <cell r="M1180">
            <v>59.133499342105253</v>
          </cell>
          <cell r="N1180">
            <v>62.090174309210518</v>
          </cell>
          <cell r="O1180">
            <v>69.568822755417941</v>
          </cell>
          <cell r="P1180">
            <v>76.525705030959742</v>
          </cell>
          <cell r="Q1180">
            <v>3</v>
          </cell>
          <cell r="R1180">
            <v>86.961028444272415</v>
          </cell>
        </row>
        <row r="1181">
          <cell r="A1181" t="str">
            <v>D433481</v>
          </cell>
          <cell r="C1181" t="str">
            <v>GM</v>
          </cell>
          <cell r="D1181" t="str">
            <v>LID 1 NOZZLE DIA 76 ASSEMBLY</v>
          </cell>
          <cell r="E1181">
            <v>1</v>
          </cell>
          <cell r="F1181">
            <v>42.59</v>
          </cell>
          <cell r="G1181">
            <v>57.496500000000012</v>
          </cell>
          <cell r="H1181">
            <v>1.1499999999999999</v>
          </cell>
          <cell r="I1181">
            <v>66.120975000000001</v>
          </cell>
          <cell r="J1181">
            <v>71.741257875000002</v>
          </cell>
          <cell r="K1181">
            <v>89.676572343749996</v>
          </cell>
          <cell r="L1181">
            <v>1</v>
          </cell>
          <cell r="M1181">
            <v>94.396391940789471</v>
          </cell>
          <cell r="N1181">
            <v>99.116211537828946</v>
          </cell>
          <cell r="O1181">
            <v>111.05457875386996</v>
          </cell>
          <cell r="P1181">
            <v>122.16003662925696</v>
          </cell>
          <cell r="Q1181">
            <v>3</v>
          </cell>
          <cell r="R1181">
            <v>138.81822344233746</v>
          </cell>
        </row>
        <row r="1182">
          <cell r="A1182">
            <v>8500560</v>
          </cell>
          <cell r="C1182" t="str">
            <v>BM</v>
          </cell>
          <cell r="D1182" t="str">
            <v>Tapon inox. Final (CAP,END,SS,3 IN.)</v>
          </cell>
          <cell r="E1182">
            <v>1</v>
          </cell>
          <cell r="F1182">
            <v>10.78</v>
          </cell>
          <cell r="G1182">
            <v>14.553000000000001</v>
          </cell>
          <cell r="H1182">
            <v>1.1499999999999999</v>
          </cell>
          <cell r="I1182">
            <v>16.735949999999999</v>
          </cell>
          <cell r="J1182">
            <v>18.15850575</v>
          </cell>
          <cell r="K1182">
            <v>22.698132187499997</v>
          </cell>
          <cell r="L1182">
            <v>2</v>
          </cell>
          <cell r="M1182">
            <v>25.220146874999998</v>
          </cell>
          <cell r="N1182">
            <v>26.48115421875</v>
          </cell>
          <cell r="O1182">
            <v>29.670761029411764</v>
          </cell>
          <cell r="P1182">
            <v>32.637837132352942</v>
          </cell>
          <cell r="Q1182">
            <v>3</v>
          </cell>
          <cell r="R1182">
            <v>37.088451286764702</v>
          </cell>
        </row>
        <row r="1183">
          <cell r="A1183">
            <v>8500327</v>
          </cell>
          <cell r="C1183" t="str">
            <v>BM</v>
          </cell>
          <cell r="D1183" t="str">
            <v>Codo (ELBOW,45 DEG,SS,CLP,3)</v>
          </cell>
          <cell r="E1183">
            <v>1</v>
          </cell>
          <cell r="F1183">
            <v>54.93</v>
          </cell>
          <cell r="G1183">
            <v>74.155500000000004</v>
          </cell>
          <cell r="H1183">
            <v>1.1499999999999999</v>
          </cell>
          <cell r="I1183">
            <v>85.278824999999998</v>
          </cell>
          <cell r="J1183">
            <v>92.527525124999997</v>
          </cell>
          <cell r="K1183">
            <v>115.65940640624999</v>
          </cell>
          <cell r="L1183">
            <v>2</v>
          </cell>
          <cell r="M1183">
            <v>128.51045156249998</v>
          </cell>
          <cell r="N1183">
            <v>134.93597414062498</v>
          </cell>
          <cell r="O1183">
            <v>151.18876654411764</v>
          </cell>
          <cell r="P1183">
            <v>166.30764319852941</v>
          </cell>
          <cell r="Q1183">
            <v>3</v>
          </cell>
          <cell r="R1183">
            <v>188.98595818014704</v>
          </cell>
        </row>
        <row r="1184">
          <cell r="A1184">
            <v>8511510</v>
          </cell>
          <cell r="C1184" t="str">
            <v>BM</v>
          </cell>
          <cell r="D1184" t="str">
            <v>Conector( NIPPLE ASSY,STR,5/8 ID)</v>
          </cell>
          <cell r="E1184">
            <v>1</v>
          </cell>
          <cell r="F1184">
            <v>35.94</v>
          </cell>
          <cell r="G1184">
            <v>48.518999999999998</v>
          </cell>
          <cell r="H1184">
            <v>1.1499999999999999</v>
          </cell>
          <cell r="I1184">
            <v>55.796849999999992</v>
          </cell>
          <cell r="J1184">
            <v>60.539582249999988</v>
          </cell>
          <cell r="K1184">
            <v>75.674477812499987</v>
          </cell>
          <cell r="L1184">
            <v>2</v>
          </cell>
          <cell r="M1184">
            <v>84.082753124999982</v>
          </cell>
          <cell r="N1184">
            <v>88.28689078124998</v>
          </cell>
          <cell r="O1184">
            <v>98.920886029411747</v>
          </cell>
          <cell r="P1184">
            <v>108.81297463235293</v>
          </cell>
          <cell r="Q1184">
            <v>3</v>
          </cell>
          <cell r="R1184">
            <v>123.65110753676468</v>
          </cell>
        </row>
        <row r="1185">
          <cell r="A1185">
            <v>8507620</v>
          </cell>
          <cell r="C1185" t="str">
            <v>BM</v>
          </cell>
          <cell r="D1185" t="str">
            <v>TUBE,RD, 2.00X.065,304,DAIRY</v>
          </cell>
          <cell r="E1185">
            <v>20</v>
          </cell>
          <cell r="F1185">
            <v>16.96</v>
          </cell>
          <cell r="G1185">
            <v>22.896000000000004</v>
          </cell>
          <cell r="H1185">
            <v>1.1499999999999999</v>
          </cell>
          <cell r="I1185">
            <v>26.330400000000004</v>
          </cell>
          <cell r="J1185">
            <v>28.568484000000005</v>
          </cell>
          <cell r="K1185">
            <v>35.710605000000001</v>
          </cell>
          <cell r="L1185">
            <v>2</v>
          </cell>
          <cell r="M1185">
            <v>39.678449999999998</v>
          </cell>
          <cell r="N1185">
            <v>41.662372499999996</v>
          </cell>
          <cell r="O1185">
            <v>46.680529411764702</v>
          </cell>
          <cell r="P1185">
            <v>51.348582352941179</v>
          </cell>
          <cell r="Q1185">
            <v>3</v>
          </cell>
          <cell r="R1185">
            <v>58.350661764705876</v>
          </cell>
        </row>
        <row r="1186">
          <cell r="A1186">
            <v>8500322</v>
          </cell>
          <cell r="C1186" t="str">
            <v>BM</v>
          </cell>
          <cell r="D1186" t="str">
            <v>Codo (ELBOW,45 DEG,SS,CLP,2.5)</v>
          </cell>
          <cell r="E1186">
            <v>1</v>
          </cell>
          <cell r="F1186">
            <v>40.11</v>
          </cell>
          <cell r="G1186">
            <v>54.148500000000006</v>
          </cell>
          <cell r="H1186">
            <v>1.1499999999999999</v>
          </cell>
          <cell r="I1186">
            <v>62.270775</v>
          </cell>
          <cell r="J1186">
            <v>67.563790874999995</v>
          </cell>
          <cell r="K1186">
            <v>84.454738593749994</v>
          </cell>
          <cell r="L1186">
            <v>2</v>
          </cell>
          <cell r="M1186">
            <v>93.838598437499996</v>
          </cell>
          <cell r="N1186">
            <v>98.530528359374998</v>
          </cell>
          <cell r="O1186">
            <v>110.39835110294118</v>
          </cell>
          <cell r="P1186">
            <v>121.4381862132353</v>
          </cell>
          <cell r="Q1186">
            <v>3</v>
          </cell>
          <cell r="R1186">
            <v>137.99793887867645</v>
          </cell>
        </row>
        <row r="1187">
          <cell r="A1187">
            <v>8511713</v>
          </cell>
          <cell r="C1187" t="str">
            <v>BM</v>
          </cell>
          <cell r="D1187" t="str">
            <v>Adaptador para filtro de aire(ADAPTER KIT,FRESH AIR)</v>
          </cell>
          <cell r="E1187">
            <v>1</v>
          </cell>
          <cell r="F1187">
            <v>12.38</v>
          </cell>
          <cell r="G1187">
            <v>16.713000000000001</v>
          </cell>
          <cell r="H1187">
            <v>1.1499999999999999</v>
          </cell>
          <cell r="I1187">
            <v>19.219950000000001</v>
          </cell>
          <cell r="J1187">
            <v>20.853645750000002</v>
          </cell>
          <cell r="K1187">
            <v>26.067057187500001</v>
          </cell>
          <cell r="L1187">
            <v>1</v>
          </cell>
          <cell r="M1187">
            <v>27.439007565789478</v>
          </cell>
          <cell r="N1187">
            <v>28.810957944078954</v>
          </cell>
          <cell r="O1187">
            <v>32.281185371517033</v>
          </cell>
          <cell r="P1187">
            <v>35.509303908668741</v>
          </cell>
          <cell r="Q1187">
            <v>3</v>
          </cell>
          <cell r="R1187">
            <v>40.351481714396286</v>
          </cell>
        </row>
        <row r="1188">
          <cell r="A1188" t="str">
            <v>142943B</v>
          </cell>
          <cell r="D1188" t="str">
            <v>BUSHING, PULLEY, SK X 30mm</v>
          </cell>
          <cell r="F1188">
            <v>18.07</v>
          </cell>
          <cell r="G1188">
            <v>24.394500000000001</v>
          </cell>
          <cell r="H1188">
            <v>1.1499999999999999</v>
          </cell>
          <cell r="I1188">
            <v>28.053674999999998</v>
          </cell>
          <cell r="J1188">
            <v>30.438237374999996</v>
          </cell>
          <cell r="K1188">
            <v>38.047796718749993</v>
          </cell>
          <cell r="L1188">
            <v>2</v>
          </cell>
          <cell r="M1188">
            <v>42.27532968749999</v>
          </cell>
          <cell r="N1188">
            <v>44.389096171874989</v>
          </cell>
          <cell r="O1188">
            <v>49.735681985294107</v>
          </cell>
          <cell r="P1188">
            <v>54.709250183823521</v>
          </cell>
          <cell r="Q1188">
            <v>3</v>
          </cell>
          <cell r="R1188">
            <v>62.16960248161763</v>
          </cell>
        </row>
        <row r="1189">
          <cell r="A1189">
            <v>8514721</v>
          </cell>
          <cell r="C1189" t="str">
            <v>BM</v>
          </cell>
          <cell r="D1189" t="str">
            <v>Distribuidor de lavado plastico(DISTRIBUTOR,PLASTIC,JETTER</v>
          </cell>
          <cell r="E1189">
            <v>1</v>
          </cell>
          <cell r="F1189">
            <v>4.2</v>
          </cell>
          <cell r="G1189">
            <v>5.6700000000000008</v>
          </cell>
          <cell r="H1189">
            <v>1.1499999999999999</v>
          </cell>
          <cell r="I1189">
            <v>6.5205000000000002</v>
          </cell>
          <cell r="J1189">
            <v>7.0747425000000002</v>
          </cell>
          <cell r="K1189">
            <v>8.8434281249999991</v>
          </cell>
          <cell r="L1189">
            <v>1</v>
          </cell>
          <cell r="M1189">
            <v>9.308871710526315</v>
          </cell>
          <cell r="N1189">
            <v>9.7743152960526309</v>
          </cell>
          <cell r="O1189">
            <v>10.951613777089783</v>
          </cell>
          <cell r="P1189">
            <v>12.046775154798762</v>
          </cell>
          <cell r="Q1189">
            <v>3</v>
          </cell>
          <cell r="R1189">
            <v>13.689517221362228</v>
          </cell>
        </row>
        <row r="1190">
          <cell r="A1190">
            <v>8514719</v>
          </cell>
          <cell r="C1190" t="str">
            <v>BM</v>
          </cell>
          <cell r="D1190" t="str">
            <v>T plastica para ducha lavado(TEE,PLASTIC,5/8 HOSE)</v>
          </cell>
          <cell r="E1190">
            <v>1</v>
          </cell>
          <cell r="F1190">
            <v>4.75</v>
          </cell>
          <cell r="G1190">
            <v>6.4125000000000005</v>
          </cell>
          <cell r="H1190">
            <v>1.1499999999999999</v>
          </cell>
          <cell r="I1190">
            <v>7.3743749999999997</v>
          </cell>
          <cell r="J1190">
            <v>8.0011968749999998</v>
          </cell>
          <cell r="K1190">
            <v>10.001496093749999</v>
          </cell>
          <cell r="L1190">
            <v>1</v>
          </cell>
          <cell r="M1190">
            <v>10.527890625</v>
          </cell>
          <cell r="N1190">
            <v>11.05428515625</v>
          </cell>
          <cell r="O1190">
            <v>12.385753676470587</v>
          </cell>
          <cell r="P1190">
            <v>13.624329044117648</v>
          </cell>
          <cell r="Q1190">
            <v>3</v>
          </cell>
          <cell r="R1190">
            <v>15.482192095588234</v>
          </cell>
        </row>
        <row r="1191">
          <cell r="A1191" t="str">
            <v>D381667</v>
          </cell>
          <cell r="D1191" t="str">
            <v>DIAPHRAGM,ISS M</v>
          </cell>
          <cell r="F1191">
            <v>3.17</v>
          </cell>
          <cell r="G1191">
            <v>4.2795000000000005</v>
          </cell>
          <cell r="H1191">
            <v>1.1499999999999999</v>
          </cell>
          <cell r="I1191">
            <v>4.9214250000000002</v>
          </cell>
          <cell r="J1191">
            <v>5.3397461249999996</v>
          </cell>
          <cell r="K1191">
            <v>6.674682656249999</v>
          </cell>
          <cell r="L1191">
            <v>3</v>
          </cell>
          <cell r="M1191">
            <v>7.8525678308823519</v>
          </cell>
          <cell r="N1191">
            <v>8.2451962224264701</v>
          </cell>
          <cell r="O1191">
            <v>9.2383150951557091</v>
          </cell>
          <cell r="P1191">
            <v>10.16214660467128</v>
          </cell>
          <cell r="Q1191">
            <v>3</v>
          </cell>
          <cell r="R1191">
            <v>11.547893868944636</v>
          </cell>
        </row>
        <row r="1192">
          <cell r="A1192" t="str">
            <v>D382762</v>
          </cell>
          <cell r="C1192" t="str">
            <v>GM</v>
          </cell>
          <cell r="D1192" t="str">
            <v>Sello eje sensor</v>
          </cell>
          <cell r="E1192">
            <v>1</v>
          </cell>
          <cell r="F1192">
            <v>1.77</v>
          </cell>
          <cell r="G1192">
            <v>2.3895000000000004</v>
          </cell>
          <cell r="H1192">
            <v>1.1499999999999999</v>
          </cell>
          <cell r="I1192">
            <v>2.7479250000000004</v>
          </cell>
          <cell r="J1192">
            <v>2.9814986250000004</v>
          </cell>
          <cell r="K1192">
            <v>4.2592837500000007</v>
          </cell>
          <cell r="L1192">
            <v>1</v>
          </cell>
          <cell r="M1192">
            <v>4.4834565789473695</v>
          </cell>
          <cell r="N1192">
            <v>4.7076294078947383</v>
          </cell>
          <cell r="O1192">
            <v>5.2746547987616115</v>
          </cell>
          <cell r="P1192">
            <v>5.8021202786377728</v>
          </cell>
          <cell r="Q1192">
            <v>3</v>
          </cell>
          <cell r="R1192">
            <v>6.5933184984520139</v>
          </cell>
        </row>
        <row r="1193">
          <cell r="A1193">
            <v>4032930</v>
          </cell>
          <cell r="D1193" t="str">
            <v>THERMA-STOR II-80-2</v>
          </cell>
          <cell r="F1193">
            <v>3036.29</v>
          </cell>
          <cell r="G1193">
            <v>4098.9915000000001</v>
          </cell>
          <cell r="H1193">
            <v>1.1499999999999999</v>
          </cell>
          <cell r="I1193">
            <v>4713.8402249999999</v>
          </cell>
          <cell r="J1193">
            <v>5114.5166441249994</v>
          </cell>
          <cell r="K1193">
            <v>6393.1458051562486</v>
          </cell>
          <cell r="L1193">
            <v>2</v>
          </cell>
          <cell r="M1193">
            <v>7103.4953390624978</v>
          </cell>
          <cell r="N1193">
            <v>7458.6701060156229</v>
          </cell>
          <cell r="O1193">
            <v>8357.0533400735276</v>
          </cell>
          <cell r="P1193">
            <v>9192.758674080882</v>
          </cell>
          <cell r="Q1193">
            <v>3</v>
          </cell>
          <cell r="R1193">
            <v>10446.316675091908</v>
          </cell>
        </row>
        <row r="1194">
          <cell r="A1194">
            <v>4018875</v>
          </cell>
          <cell r="C1194" t="str">
            <v>BM</v>
          </cell>
          <cell r="D1194" t="str">
            <v>DARI-KOOL II-80-1-A</v>
          </cell>
          <cell r="E1194">
            <v>1</v>
          </cell>
          <cell r="F1194">
            <v>2855.18</v>
          </cell>
          <cell r="G1194">
            <v>3854.4929999999999</v>
          </cell>
          <cell r="H1194">
            <v>1.1499999999999999</v>
          </cell>
          <cell r="I1194">
            <v>4432.6669499999998</v>
          </cell>
          <cell r="J1194">
            <v>4521.3202890000002</v>
          </cell>
          <cell r="K1194">
            <v>5319.2003400000003</v>
          </cell>
          <cell r="L1194">
            <v>3</v>
          </cell>
          <cell r="M1194">
            <v>6257.8827529411774</v>
          </cell>
          <cell r="N1194">
            <v>6570.7768905882367</v>
          </cell>
          <cell r="O1194">
            <v>7362.2150034602091</v>
          </cell>
          <cell r="P1194">
            <v>8098.4365038062306</v>
          </cell>
          <cell r="Q1194">
            <v>2</v>
          </cell>
          <cell r="R1194">
            <v>8661.4294158355406</v>
          </cell>
        </row>
        <row r="1195">
          <cell r="A1195">
            <v>4019880</v>
          </cell>
          <cell r="C1195" t="str">
            <v>BM</v>
          </cell>
          <cell r="D1195" t="str">
            <v>CHILLER ASSY, 4 PLATE,140</v>
          </cell>
          <cell r="E1195">
            <v>1</v>
          </cell>
          <cell r="F1195">
            <v>28322.41</v>
          </cell>
          <cell r="G1195">
            <v>38235.253499999999</v>
          </cell>
          <cell r="H1195">
            <v>1.1499999999999999</v>
          </cell>
          <cell r="I1195">
            <v>43970.541524999993</v>
          </cell>
          <cell r="J1195">
            <v>44849.952355499991</v>
          </cell>
          <cell r="K1195">
            <v>52764.649829999988</v>
          </cell>
          <cell r="L1195">
            <v>1</v>
          </cell>
          <cell r="M1195">
            <v>55541.736663157884</v>
          </cell>
          <cell r="N1195">
            <v>58318.823496315781</v>
          </cell>
          <cell r="O1195">
            <v>65343.219603715159</v>
          </cell>
          <cell r="P1195">
            <v>71877.541564086685</v>
          </cell>
          <cell r="Q1195">
            <v>1</v>
          </cell>
          <cell r="R1195">
            <v>72603.577337461291</v>
          </cell>
        </row>
        <row r="1196">
          <cell r="A1196">
            <v>4019879</v>
          </cell>
          <cell r="C1196" t="str">
            <v>BM</v>
          </cell>
          <cell r="D1196" t="str">
            <v>CHILLER ASSY, 3 PLATE,140</v>
          </cell>
          <cell r="E1196">
            <v>1</v>
          </cell>
          <cell r="F1196">
            <v>26104.959999999999</v>
          </cell>
          <cell r="G1196">
            <v>35241.696000000004</v>
          </cell>
          <cell r="H1196">
            <v>1.1499999999999999</v>
          </cell>
          <cell r="I1196">
            <v>40527.950400000002</v>
          </cell>
          <cell r="J1196">
            <v>41338.509408000005</v>
          </cell>
          <cell r="K1196">
            <v>48633.540480000011</v>
          </cell>
          <cell r="L1196">
            <v>1</v>
          </cell>
          <cell r="M1196">
            <v>51193.200505263172</v>
          </cell>
          <cell r="N1196">
            <v>53752.860530526334</v>
          </cell>
          <cell r="O1196">
            <v>60227.294712074319</v>
          </cell>
          <cell r="P1196">
            <v>66250.024183281756</v>
          </cell>
          <cell r="Q1196">
            <v>1</v>
          </cell>
          <cell r="R1196">
            <v>66919.216346749236</v>
          </cell>
        </row>
        <row r="1197">
          <cell r="A1197">
            <v>4019026</v>
          </cell>
          <cell r="C1197" t="str">
            <v>BM</v>
          </cell>
          <cell r="D1197" t="str">
            <v>DARI-KOOL II-120-2-A</v>
          </cell>
          <cell r="E1197">
            <v>1</v>
          </cell>
          <cell r="F1197">
            <v>3285.37</v>
          </cell>
          <cell r="G1197">
            <v>4435.2494999999999</v>
          </cell>
          <cell r="H1197">
            <v>1.1499999999999999</v>
          </cell>
          <cell r="I1197">
            <v>5100.5369249999994</v>
          </cell>
          <cell r="J1197">
            <v>5202.5476634999995</v>
          </cell>
          <cell r="K1197">
            <v>6120.6443099999997</v>
          </cell>
          <cell r="L1197">
            <v>2</v>
          </cell>
          <cell r="M1197">
            <v>6800.7158999999992</v>
          </cell>
          <cell r="N1197">
            <v>7140.7516949999999</v>
          </cell>
          <cell r="O1197">
            <v>8000.842235294117</v>
          </cell>
          <cell r="P1197">
            <v>8800.9264588235292</v>
          </cell>
          <cell r="Q1197">
            <v>2</v>
          </cell>
          <cell r="R1197">
            <v>9412.755570934256</v>
          </cell>
        </row>
        <row r="1198">
          <cell r="A1198" t="str">
            <v>D262513</v>
          </cell>
          <cell r="D1198" t="str">
            <v>SOLENOID 7745160,YELLOW,12VDC</v>
          </cell>
          <cell r="F1198">
            <v>4.05</v>
          </cell>
          <cell r="G1198">
            <v>5.4675000000000002</v>
          </cell>
          <cell r="H1198">
            <v>1.1499999999999999</v>
          </cell>
          <cell r="I1198">
            <v>6.2876250000000002</v>
          </cell>
          <cell r="J1198">
            <v>6.8220731250000002</v>
          </cell>
          <cell r="K1198">
            <v>8.52759140625</v>
          </cell>
          <cell r="L1198">
            <v>1</v>
          </cell>
          <cell r="M1198">
            <v>8.976412006578947</v>
          </cell>
          <cell r="N1198">
            <v>9.425232606907894</v>
          </cell>
          <cell r="O1198">
            <v>10.560484713622291</v>
          </cell>
          <cell r="P1198">
            <v>11.616533184984521</v>
          </cell>
          <cell r="Q1198">
            <v>3</v>
          </cell>
          <cell r="R1198">
            <v>13.200605892027863</v>
          </cell>
        </row>
        <row r="1199">
          <cell r="A1199">
            <v>3558013</v>
          </cell>
          <cell r="D1199" t="str">
            <v>SENSOR ASSY,W/NIPPLE</v>
          </cell>
          <cell r="F1199">
            <v>111.78</v>
          </cell>
          <cell r="G1199">
            <v>150.90300000000002</v>
          </cell>
          <cell r="H1199">
            <v>1</v>
          </cell>
          <cell r="I1199">
            <v>150.90300000000002</v>
          </cell>
          <cell r="J1199">
            <v>150.90300000000002</v>
          </cell>
          <cell r="K1199">
            <v>188.62875000000003</v>
          </cell>
          <cell r="L1199">
            <v>1</v>
          </cell>
          <cell r="M1199">
            <v>198.55657894736845</v>
          </cell>
          <cell r="N1199">
            <v>208.48440789473688</v>
          </cell>
          <cell r="O1199">
            <v>233.59597523219819</v>
          </cell>
          <cell r="P1199">
            <v>256.95557275541802</v>
          </cell>
          <cell r="Q1199">
            <v>3</v>
          </cell>
          <cell r="R1199">
            <v>291.99496904024772</v>
          </cell>
        </row>
        <row r="1200">
          <cell r="A1200">
            <v>3556365</v>
          </cell>
          <cell r="C1200" t="str">
            <v>BM</v>
          </cell>
          <cell r="D1200" t="str">
            <v>METER ASSY,LH,PERFECTION</v>
          </cell>
          <cell r="E1200">
            <v>1</v>
          </cell>
          <cell r="F1200">
            <v>949.9</v>
          </cell>
          <cell r="G1200">
            <v>1282.365</v>
          </cell>
          <cell r="H1200">
            <v>1.1499999999999999</v>
          </cell>
          <cell r="I1200">
            <v>1474.71975</v>
          </cell>
          <cell r="J1200">
            <v>1600.0709287499999</v>
          </cell>
          <cell r="K1200">
            <v>2000.0886609374998</v>
          </cell>
          <cell r="L1200">
            <v>1</v>
          </cell>
          <cell r="M1200">
            <v>2105.3564851973683</v>
          </cell>
          <cell r="N1200">
            <v>2210.6243094572369</v>
          </cell>
          <cell r="O1200">
            <v>2476.8899825851395</v>
          </cell>
          <cell r="P1200">
            <v>2724.5789808436534</v>
          </cell>
          <cell r="Q1200">
            <v>3</v>
          </cell>
          <cell r="R1200">
            <v>3096.1124782314241</v>
          </cell>
        </row>
        <row r="1201">
          <cell r="A1201">
            <v>3562407</v>
          </cell>
          <cell r="C1201" t="str">
            <v>BM</v>
          </cell>
          <cell r="D1201" t="str">
            <v>ENCLOSURE ASSY,VALVE,5/32"-VAC</v>
          </cell>
          <cell r="E1201">
            <v>1</v>
          </cell>
          <cell r="F1201">
            <v>208.74</v>
          </cell>
          <cell r="G1201">
            <v>281.79900000000004</v>
          </cell>
          <cell r="H1201">
            <v>1.1499999999999999</v>
          </cell>
          <cell r="I1201">
            <v>324.06885</v>
          </cell>
          <cell r="J1201">
            <v>351.61470224999999</v>
          </cell>
          <cell r="K1201">
            <v>439.51837781249998</v>
          </cell>
          <cell r="L1201">
            <v>1</v>
          </cell>
          <cell r="M1201">
            <v>462.65092401315792</v>
          </cell>
          <cell r="N1201">
            <v>485.78347021381586</v>
          </cell>
          <cell r="O1201">
            <v>544.29520472136232</v>
          </cell>
          <cell r="P1201">
            <v>598.72472519349856</v>
          </cell>
          <cell r="Q1201">
            <v>3</v>
          </cell>
          <cell r="R1201">
            <v>680.36900590170285</v>
          </cell>
        </row>
        <row r="1202">
          <cell r="A1202">
            <v>3556780</v>
          </cell>
          <cell r="C1202" t="str">
            <v>BM</v>
          </cell>
          <cell r="D1202" t="str">
            <v>KIT,METER MTG,RECESSED</v>
          </cell>
          <cell r="E1202">
            <v>1</v>
          </cell>
          <cell r="F1202">
            <v>59.06</v>
          </cell>
          <cell r="G1202">
            <v>79.731000000000009</v>
          </cell>
          <cell r="H1202">
            <v>1.1499999999999999</v>
          </cell>
          <cell r="I1202">
            <v>91.690650000000005</v>
          </cell>
          <cell r="J1202">
            <v>99.484355250000007</v>
          </cell>
          <cell r="K1202">
            <v>124.3554440625</v>
          </cell>
          <cell r="L1202">
            <v>2</v>
          </cell>
          <cell r="M1202">
            <v>138.172715625</v>
          </cell>
          <cell r="N1202">
            <v>145.08135140625001</v>
          </cell>
          <cell r="O1202">
            <v>162.55613602941176</v>
          </cell>
          <cell r="P1202">
            <v>178.81174963235296</v>
          </cell>
          <cell r="Q1202">
            <v>3</v>
          </cell>
          <cell r="R1202">
            <v>203.19517003676469</v>
          </cell>
        </row>
        <row r="1203">
          <cell r="A1203">
            <v>3562183</v>
          </cell>
          <cell r="C1203" t="str">
            <v>BM</v>
          </cell>
          <cell r="D1203" t="str">
            <v>SD BUNDLE HERD  1001-1500</v>
          </cell>
          <cell r="E1203">
            <v>1</v>
          </cell>
          <cell r="F1203">
            <v>6966.49</v>
          </cell>
          <cell r="G1203">
            <v>9404.7615000000005</v>
          </cell>
          <cell r="H1203">
            <v>1.1499999999999999</v>
          </cell>
          <cell r="I1203">
            <v>10815.475725</v>
          </cell>
          <cell r="J1203">
            <v>11734.791161625</v>
          </cell>
          <cell r="K1203">
            <v>14668.48895203125</v>
          </cell>
          <cell r="L1203">
            <v>1</v>
          </cell>
          <cell r="M1203">
            <v>15440.514686348684</v>
          </cell>
          <cell r="N1203">
            <v>16212.540420666119</v>
          </cell>
          <cell r="O1203">
            <v>18165.311395704335</v>
          </cell>
          <cell r="P1203">
            <v>19981.842535274769</v>
          </cell>
          <cell r="Q1203">
            <v>3</v>
          </cell>
          <cell r="R1203">
            <v>22706.639244630416</v>
          </cell>
        </row>
        <row r="1204">
          <cell r="A1204">
            <v>3559257</v>
          </cell>
          <cell r="C1204" t="str">
            <v>BM</v>
          </cell>
          <cell r="D1204" t="str">
            <v>CYLINDER PLASTIC GRAY 24 V DC</v>
          </cell>
          <cell r="E1204">
            <v>1</v>
          </cell>
          <cell r="F1204">
            <v>206.48</v>
          </cell>
          <cell r="G1204">
            <v>278.74799999999999</v>
          </cell>
          <cell r="H1204">
            <v>1.1499999999999999</v>
          </cell>
          <cell r="I1204">
            <v>320.56019999999995</v>
          </cell>
          <cell r="J1204">
            <v>347.80781699999994</v>
          </cell>
          <cell r="K1204">
            <v>434.75977124999991</v>
          </cell>
          <cell r="L1204">
            <v>1</v>
          </cell>
          <cell r="M1204">
            <v>457.64186447368417</v>
          </cell>
          <cell r="N1204">
            <v>480.52395769736842</v>
          </cell>
          <cell r="O1204">
            <v>538.40219349845199</v>
          </cell>
          <cell r="P1204">
            <v>592.24241284829725</v>
          </cell>
          <cell r="Q1204">
            <v>3</v>
          </cell>
          <cell r="R1204">
            <v>673.00274187306491</v>
          </cell>
        </row>
        <row r="1205">
          <cell r="A1205">
            <v>8518000</v>
          </cell>
          <cell r="C1205" t="str">
            <v>BM</v>
          </cell>
          <cell r="D1205" t="str">
            <v>HOSE,TWIN,PLSTC,.25 X .12W</v>
          </cell>
          <cell r="E1205">
            <v>1</v>
          </cell>
          <cell r="F1205">
            <v>1.5</v>
          </cell>
          <cell r="G1205">
            <v>2.0250000000000004</v>
          </cell>
          <cell r="H1205">
            <v>1.1499999999999999</v>
          </cell>
          <cell r="I1205">
            <v>2.3287500000000003</v>
          </cell>
          <cell r="J1205">
            <v>2.5266937500000002</v>
          </cell>
          <cell r="K1205">
            <v>3.1583671875000001</v>
          </cell>
          <cell r="L1205">
            <v>1</v>
          </cell>
          <cell r="M1205">
            <v>3.3245970394736846</v>
          </cell>
          <cell r="N1205">
            <v>3.490826891447369</v>
          </cell>
          <cell r="O1205">
            <v>3.911290634674923</v>
          </cell>
          <cell r="P1205">
            <v>4.3024196981424154</v>
          </cell>
          <cell r="Q1205">
            <v>3</v>
          </cell>
          <cell r="R1205">
            <v>4.8891132933436534</v>
          </cell>
        </row>
        <row r="1206">
          <cell r="A1206">
            <v>3558406</v>
          </cell>
          <cell r="D1206" t="str">
            <v>RETAINER,TEE,PULSATOR</v>
          </cell>
          <cell r="F1206">
            <v>6.14</v>
          </cell>
          <cell r="G1206">
            <v>8.2889999999999997</v>
          </cell>
          <cell r="H1206">
            <v>1.1499999999999999</v>
          </cell>
          <cell r="I1206">
            <v>9.5323499999999992</v>
          </cell>
          <cell r="J1206">
            <v>10.342599749999998</v>
          </cell>
          <cell r="K1206">
            <v>12.928249687499997</v>
          </cell>
          <cell r="L1206">
            <v>1</v>
          </cell>
          <cell r="M1206">
            <v>13.608683881578946</v>
          </cell>
          <cell r="N1206">
            <v>14.289118075657894</v>
          </cell>
          <cell r="O1206">
            <v>16.010216331269348</v>
          </cell>
          <cell r="P1206">
            <v>17.611237964396285</v>
          </cell>
          <cell r="Q1206">
            <v>3</v>
          </cell>
          <cell r="R1206">
            <v>20.012770414086685</v>
          </cell>
        </row>
        <row r="1207">
          <cell r="A1207">
            <v>8518191</v>
          </cell>
          <cell r="C1207" t="str">
            <v>BM</v>
          </cell>
          <cell r="D1207" t="str">
            <v xml:space="preserve"> Aplicador marca Boumatic (DIP CUP,NON RETURN, W/BM LO  )</v>
          </cell>
          <cell r="E1207">
            <v>1</v>
          </cell>
          <cell r="F1207">
            <v>9.69</v>
          </cell>
          <cell r="G1207">
            <v>13.0815</v>
          </cell>
          <cell r="H1207">
            <v>1.1499999999999999</v>
          </cell>
          <cell r="I1207">
            <v>15.043724999999998</v>
          </cell>
          <cell r="J1207">
            <v>16.322441624999996</v>
          </cell>
          <cell r="K1207">
            <v>20.403052031249995</v>
          </cell>
          <cell r="L1207">
            <v>1</v>
          </cell>
          <cell r="M1207">
            <v>21.476896874999994</v>
          </cell>
          <cell r="N1207">
            <v>22.550741718749993</v>
          </cell>
          <cell r="O1207">
            <v>25.266937499999994</v>
          </cell>
          <cell r="P1207">
            <v>27.793631249999997</v>
          </cell>
          <cell r="Q1207">
            <v>3</v>
          </cell>
          <cell r="R1207">
            <v>31.58367187499999</v>
          </cell>
        </row>
        <row r="1208">
          <cell r="A1208">
            <v>5100546</v>
          </cell>
          <cell r="C1208" t="str">
            <v>BM</v>
          </cell>
          <cell r="D1208" t="str">
            <v>Aplicador de sellador formador de espuma(MULTIFOAMER,AMBIC)</v>
          </cell>
          <cell r="E1208">
            <v>1</v>
          </cell>
          <cell r="F1208">
            <v>10.37</v>
          </cell>
          <cell r="G1208">
            <v>13.999499999999999</v>
          </cell>
          <cell r="H1208">
            <v>1.1499999999999999</v>
          </cell>
          <cell r="I1208">
            <v>16.099424999999997</v>
          </cell>
          <cell r="J1208">
            <v>17.467876124999997</v>
          </cell>
          <cell r="K1208">
            <v>21.834845156249994</v>
          </cell>
          <cell r="L1208">
            <v>2</v>
          </cell>
          <cell r="M1208">
            <v>24.260939062499993</v>
          </cell>
          <cell r="N1208">
            <v>25.473986015624995</v>
          </cell>
          <cell r="O1208">
            <v>28.542281249999991</v>
          </cell>
          <cell r="P1208">
            <v>31.396509374999994</v>
          </cell>
          <cell r="Q1208">
            <v>3</v>
          </cell>
          <cell r="R1208">
            <v>35.677851562499988</v>
          </cell>
        </row>
        <row r="1209">
          <cell r="A1209">
            <v>8583065</v>
          </cell>
          <cell r="D1209" t="str">
            <v>SUPPORT ASSY,HOSE,5/8",XCAL360</v>
          </cell>
          <cell r="F1209">
            <v>31.36</v>
          </cell>
          <cell r="G1209">
            <v>42.335999999999999</v>
          </cell>
          <cell r="H1209">
            <v>1.1499999999999999</v>
          </cell>
          <cell r="I1209">
            <v>48.686399999999992</v>
          </cell>
          <cell r="J1209">
            <v>52.824743999999988</v>
          </cell>
          <cell r="K1209">
            <v>66.030929999999984</v>
          </cell>
          <cell r="L1209">
            <v>1</v>
          </cell>
          <cell r="M1209">
            <v>69.506242105263141</v>
          </cell>
          <cell r="N1209">
            <v>72.981554210526298</v>
          </cell>
          <cell r="O1209">
            <v>81.772049535603699</v>
          </cell>
          <cell r="P1209">
            <v>89.949254489164076</v>
          </cell>
          <cell r="Q1209">
            <v>3</v>
          </cell>
          <cell r="R1209">
            <v>102.21506191950462</v>
          </cell>
        </row>
        <row r="1210">
          <cell r="A1210">
            <v>3558294</v>
          </cell>
          <cell r="D1210" t="str">
            <v>LED INDICATOR ASSY,RED/GRN</v>
          </cell>
          <cell r="E1210" t="str">
            <v>1</v>
          </cell>
          <cell r="F1210">
            <v>39.130000000000003</v>
          </cell>
          <cell r="G1210">
            <v>52.825500000000005</v>
          </cell>
          <cell r="H1210">
            <v>1.1499999999999999</v>
          </cell>
          <cell r="I1210">
            <v>60.749324999999999</v>
          </cell>
          <cell r="J1210">
            <v>65.913017624999995</v>
          </cell>
          <cell r="K1210">
            <v>82.391272031249983</v>
          </cell>
          <cell r="L1210">
            <v>1</v>
          </cell>
          <cell r="M1210">
            <v>86.72765476973683</v>
          </cell>
          <cell r="N1210">
            <v>91.064037508223677</v>
          </cell>
          <cell r="O1210">
            <v>102.03253502321981</v>
          </cell>
          <cell r="P1210">
            <v>112.23578852554179</v>
          </cell>
          <cell r="Q1210">
            <v>3</v>
          </cell>
          <cell r="R1210">
            <v>127.54066877902476</v>
          </cell>
        </row>
        <row r="1211">
          <cell r="A1211">
            <v>8570997</v>
          </cell>
          <cell r="D1211" t="str">
            <v>REGULATOR VALVE W/GAUGE,1/4NPT</v>
          </cell>
          <cell r="F1211">
            <v>47.59</v>
          </cell>
          <cell r="G1211">
            <v>64.246500000000012</v>
          </cell>
          <cell r="H1211">
            <v>1.1499999999999999</v>
          </cell>
          <cell r="I1211">
            <v>73.883475000000004</v>
          </cell>
          <cell r="J1211">
            <v>80.163570375000006</v>
          </cell>
          <cell r="K1211">
            <v>100.20446296875001</v>
          </cell>
          <cell r="L1211">
            <v>1</v>
          </cell>
          <cell r="M1211">
            <v>105.47838207236843</v>
          </cell>
          <cell r="N1211">
            <v>110.75230117598686</v>
          </cell>
          <cell r="O1211">
            <v>124.09221420278639</v>
          </cell>
          <cell r="P1211">
            <v>136.50143562306505</v>
          </cell>
          <cell r="Q1211">
            <v>3</v>
          </cell>
          <cell r="R1211">
            <v>155.11526775348298</v>
          </cell>
        </row>
        <row r="1212">
          <cell r="A1212">
            <v>3562412</v>
          </cell>
          <cell r="C1212" t="str">
            <v>BM</v>
          </cell>
          <cell r="D1212" t="str">
            <v>KIT,HDW,5450,CYL MT</v>
          </cell>
          <cell r="E1212">
            <v>1</v>
          </cell>
          <cell r="F1212">
            <v>55.17</v>
          </cell>
          <cell r="G1212">
            <v>74.479500000000002</v>
          </cell>
          <cell r="H1212">
            <v>1.1499999999999999</v>
          </cell>
          <cell r="I1212">
            <v>85.651424999999989</v>
          </cell>
          <cell r="J1212">
            <v>92.931796124999991</v>
          </cell>
          <cell r="K1212">
            <v>116.16474515624998</v>
          </cell>
          <cell r="L1212">
            <v>1</v>
          </cell>
          <cell r="M1212">
            <v>122.2786791118421</v>
          </cell>
          <cell r="N1212">
            <v>128.39261306743421</v>
          </cell>
          <cell r="O1212">
            <v>143.85726954334365</v>
          </cell>
          <cell r="P1212">
            <v>158.24299649767804</v>
          </cell>
          <cell r="Q1212">
            <v>3</v>
          </cell>
          <cell r="R1212">
            <v>179.82158692917955</v>
          </cell>
        </row>
        <row r="1213">
          <cell r="A1213">
            <v>3562475</v>
          </cell>
          <cell r="D1213" t="str">
            <v>TERM, PULSE MD, NTWRK</v>
          </cell>
          <cell r="F1213">
            <v>63.88</v>
          </cell>
          <cell r="G1213">
            <v>86.238000000000014</v>
          </cell>
          <cell r="H1213">
            <v>1</v>
          </cell>
          <cell r="I1213">
            <v>86.238000000000014</v>
          </cell>
          <cell r="J1213">
            <v>86.238000000000014</v>
          </cell>
          <cell r="K1213">
            <v>107.79750000000001</v>
          </cell>
          <cell r="L1213">
            <v>1</v>
          </cell>
          <cell r="M1213">
            <v>113.47105263157897</v>
          </cell>
          <cell r="N1213">
            <v>119.14460526315793</v>
          </cell>
          <cell r="O1213">
            <v>133.49535603715174</v>
          </cell>
          <cell r="P1213">
            <v>146.84489164086693</v>
          </cell>
          <cell r="Q1213">
            <v>3</v>
          </cell>
          <cell r="R1213">
            <v>166.86919504643967</v>
          </cell>
        </row>
        <row r="1214">
          <cell r="A1214">
            <v>3558118</v>
          </cell>
          <cell r="C1214" t="str">
            <v>BM</v>
          </cell>
          <cell r="D1214" t="str">
            <v>SHUTOFF ASSY,W/NIPPLE,VAC</v>
          </cell>
          <cell r="E1214">
            <v>1</v>
          </cell>
          <cell r="F1214">
            <v>77.63</v>
          </cell>
          <cell r="G1214">
            <v>104.8005</v>
          </cell>
          <cell r="H1214">
            <v>1.1499999999999999</v>
          </cell>
          <cell r="I1214">
            <v>120.52057499999999</v>
          </cell>
          <cell r="J1214">
            <v>130.76482387499999</v>
          </cell>
          <cell r="K1214">
            <v>163.45602984374997</v>
          </cell>
          <cell r="L1214">
            <v>1</v>
          </cell>
          <cell r="M1214">
            <v>172.05897878289471</v>
          </cell>
          <cell r="N1214">
            <v>180.66192772203945</v>
          </cell>
          <cell r="O1214">
            <v>202.42232797987614</v>
          </cell>
          <cell r="P1214">
            <v>222.66456077786378</v>
          </cell>
          <cell r="Q1214">
            <v>3</v>
          </cell>
          <cell r="R1214">
            <v>253.02790997484516</v>
          </cell>
        </row>
        <row r="1215">
          <cell r="A1215">
            <v>3559930</v>
          </cell>
          <cell r="D1215" t="str">
            <v>CABLE ASSY,DC POWR,W/CAP,M,50'</v>
          </cell>
          <cell r="F1215">
            <v>84.13</v>
          </cell>
          <cell r="G1215">
            <v>113.57550000000001</v>
          </cell>
          <cell r="H1215">
            <v>1.1499999999999999</v>
          </cell>
          <cell r="I1215">
            <v>130.61182499999998</v>
          </cell>
          <cell r="J1215">
            <v>141.71383012499999</v>
          </cell>
          <cell r="K1215">
            <v>177.14228765624998</v>
          </cell>
          <cell r="L1215">
            <v>1</v>
          </cell>
          <cell r="M1215">
            <v>186.46556595394736</v>
          </cell>
          <cell r="N1215">
            <v>195.78884425164475</v>
          </cell>
          <cell r="O1215">
            <v>219.37125406346749</v>
          </cell>
          <cell r="P1215">
            <v>241.30837946981427</v>
          </cell>
          <cell r="Q1215">
            <v>3</v>
          </cell>
          <cell r="R1215">
            <v>274.21406757933437</v>
          </cell>
        </row>
        <row r="1216">
          <cell r="A1216">
            <v>3558326</v>
          </cell>
          <cell r="C1216" t="str">
            <v>BM</v>
          </cell>
          <cell r="D1216" t="str">
            <v>SHUTOFF ASSY,TRICLAMP,VAC</v>
          </cell>
          <cell r="E1216">
            <v>1</v>
          </cell>
          <cell r="F1216">
            <v>126.85</v>
          </cell>
          <cell r="G1216">
            <v>171.2475</v>
          </cell>
          <cell r="H1216">
            <v>1.1499999999999999</v>
          </cell>
          <cell r="I1216">
            <v>196.93462499999998</v>
          </cell>
          <cell r="J1216">
            <v>213.67406812499996</v>
          </cell>
          <cell r="K1216">
            <v>267.09258515624992</v>
          </cell>
          <cell r="L1216">
            <v>1</v>
          </cell>
          <cell r="M1216">
            <v>281.15008963815785</v>
          </cell>
          <cell r="N1216">
            <v>295.20759412006578</v>
          </cell>
          <cell r="O1216">
            <v>330.76481133900927</v>
          </cell>
          <cell r="P1216">
            <v>363.84129247291025</v>
          </cell>
          <cell r="Q1216">
            <v>3</v>
          </cell>
          <cell r="R1216">
            <v>413.45601417376156</v>
          </cell>
        </row>
        <row r="1217">
          <cell r="A1217">
            <v>3562409</v>
          </cell>
          <cell r="C1217" t="str">
            <v>BM</v>
          </cell>
          <cell r="D1217" t="str">
            <v>CYLINDER ASSY,XP,BLU,4WIRE,24V</v>
          </cell>
          <cell r="E1217">
            <v>1</v>
          </cell>
          <cell r="F1217">
            <v>141.22999999999999</v>
          </cell>
          <cell r="G1217">
            <v>190.66049999999998</v>
          </cell>
          <cell r="H1217">
            <v>1.1499999999999999</v>
          </cell>
          <cell r="I1217">
            <v>219.25957499999996</v>
          </cell>
          <cell r="J1217">
            <v>237.89663887499995</v>
          </cell>
          <cell r="K1217">
            <v>297.3707985937499</v>
          </cell>
          <cell r="L1217">
            <v>2</v>
          </cell>
          <cell r="M1217">
            <v>330.4119984374999</v>
          </cell>
          <cell r="N1217">
            <v>346.93259835937494</v>
          </cell>
          <cell r="O1217">
            <v>388.71999816176458</v>
          </cell>
          <cell r="P1217">
            <v>427.59199797794105</v>
          </cell>
          <cell r="Q1217">
            <v>3</v>
          </cell>
          <cell r="R1217">
            <v>485.89999770220572</v>
          </cell>
        </row>
        <row r="1218">
          <cell r="A1218">
            <v>3562409</v>
          </cell>
          <cell r="D1218" t="str">
            <v>CYLINDER ASSY,XP,BLU,4WIRE,24V</v>
          </cell>
          <cell r="E1218" t="str">
            <v>1</v>
          </cell>
          <cell r="F1218">
            <v>141.22999999999999</v>
          </cell>
          <cell r="G1218">
            <v>190.66049999999998</v>
          </cell>
          <cell r="H1218">
            <v>1.1499999999999999</v>
          </cell>
          <cell r="I1218">
            <v>219.25957499999996</v>
          </cell>
          <cell r="J1218">
            <v>237.89663887499995</v>
          </cell>
          <cell r="K1218">
            <v>297.3707985937499</v>
          </cell>
          <cell r="L1218">
            <v>2</v>
          </cell>
          <cell r="M1218">
            <v>330.4119984374999</v>
          </cell>
          <cell r="N1218">
            <v>346.93259835937494</v>
          </cell>
          <cell r="O1218">
            <v>388.71999816176458</v>
          </cell>
          <cell r="P1218">
            <v>427.59199797794105</v>
          </cell>
          <cell r="Q1218">
            <v>3</v>
          </cell>
          <cell r="R1218">
            <v>485.89999770220572</v>
          </cell>
        </row>
        <row r="1219">
          <cell r="A1219">
            <v>8507941</v>
          </cell>
          <cell r="D1219" t="str">
            <v>ADAPTER,2.00TRI-CLPX2.0NPT</v>
          </cell>
          <cell r="F1219">
            <v>153.94</v>
          </cell>
          <cell r="G1219">
            <v>207.81900000000002</v>
          </cell>
          <cell r="H1219">
            <v>1.1499999999999999</v>
          </cell>
          <cell r="I1219">
            <v>238.99185</v>
          </cell>
          <cell r="J1219">
            <v>259.30615725000001</v>
          </cell>
          <cell r="K1219">
            <v>324.13269656249997</v>
          </cell>
          <cell r="L1219">
            <v>1</v>
          </cell>
          <cell r="M1219">
            <v>341.19231217105261</v>
          </cell>
          <cell r="N1219">
            <v>358.25192777960524</v>
          </cell>
          <cell r="O1219">
            <v>401.40272020123837</v>
          </cell>
          <cell r="P1219">
            <v>441.54299222136223</v>
          </cell>
          <cell r="Q1219">
            <v>3</v>
          </cell>
          <cell r="R1219">
            <v>501.75340025154793</v>
          </cell>
        </row>
        <row r="1220">
          <cell r="A1220">
            <v>8592166</v>
          </cell>
          <cell r="D1220" t="str">
            <v>POWER/COMM CAB MALE 10M/30'</v>
          </cell>
          <cell r="F1220">
            <v>159.99</v>
          </cell>
          <cell r="G1220">
            <v>215.98650000000004</v>
          </cell>
          <cell r="H1220">
            <v>1</v>
          </cell>
          <cell r="I1220">
            <v>215.98650000000004</v>
          </cell>
          <cell r="J1220">
            <v>215.98650000000004</v>
          </cell>
          <cell r="K1220">
            <v>269.98312500000003</v>
          </cell>
          <cell r="L1220">
            <v>1</v>
          </cell>
          <cell r="M1220">
            <v>284.19276315789477</v>
          </cell>
          <cell r="N1220">
            <v>298.40240131578952</v>
          </cell>
          <cell r="O1220">
            <v>334.34442724458211</v>
          </cell>
          <cell r="P1220">
            <v>367.77886996904033</v>
          </cell>
          <cell r="Q1220">
            <v>3</v>
          </cell>
          <cell r="R1220">
            <v>417.93053405572761</v>
          </cell>
        </row>
        <row r="1221">
          <cell r="A1221">
            <v>8592789</v>
          </cell>
          <cell r="D1221" t="str">
            <v>SMARTLITE BTN KIT, PIPE, MOUNT</v>
          </cell>
          <cell r="F1221">
            <v>171.34</v>
          </cell>
          <cell r="G1221">
            <v>231.30900000000003</v>
          </cell>
          <cell r="H1221">
            <v>1</v>
          </cell>
          <cell r="I1221">
            <v>231.30900000000003</v>
          </cell>
          <cell r="J1221">
            <v>231.30900000000003</v>
          </cell>
          <cell r="K1221">
            <v>289.13625000000002</v>
          </cell>
          <cell r="L1221">
            <v>1</v>
          </cell>
          <cell r="M1221">
            <v>304.35394736842107</v>
          </cell>
          <cell r="N1221">
            <v>319.57164473684213</v>
          </cell>
          <cell r="O1221">
            <v>358.06346749226009</v>
          </cell>
          <cell r="P1221">
            <v>393.86981424148615</v>
          </cell>
          <cell r="Q1221">
            <v>3</v>
          </cell>
          <cell r="R1221">
            <v>447.57933436532511</v>
          </cell>
        </row>
        <row r="1222">
          <cell r="A1222">
            <v>3558010</v>
          </cell>
          <cell r="C1222" t="str">
            <v>BM</v>
          </cell>
          <cell r="D1222" t="str">
            <v>SENSOR ASSY,TRICLAMP</v>
          </cell>
          <cell r="E1222">
            <v>1</v>
          </cell>
          <cell r="F1222">
            <v>186.55</v>
          </cell>
          <cell r="G1222">
            <v>251.84250000000003</v>
          </cell>
          <cell r="H1222">
            <v>1.1499999999999999</v>
          </cell>
          <cell r="I1222">
            <v>289.618875</v>
          </cell>
          <cell r="J1222">
            <v>314.23647937499999</v>
          </cell>
          <cell r="K1222">
            <v>392.79559921874994</v>
          </cell>
          <cell r="L1222">
            <v>1</v>
          </cell>
          <cell r="M1222">
            <v>413.4690518092105</v>
          </cell>
          <cell r="N1222">
            <v>434.14250439967105</v>
          </cell>
          <cell r="O1222">
            <v>486.43417859907117</v>
          </cell>
          <cell r="P1222">
            <v>535.07759645897829</v>
          </cell>
          <cell r="Q1222">
            <v>3</v>
          </cell>
          <cell r="R1222">
            <v>608.04272324883891</v>
          </cell>
        </row>
        <row r="1223">
          <cell r="A1223">
            <v>3555509</v>
          </cell>
          <cell r="C1223" t="str">
            <v>BM</v>
          </cell>
          <cell r="D1223" t="str">
            <v>KIT,RS-232,PC INTERFACE</v>
          </cell>
          <cell r="E1223">
            <v>1</v>
          </cell>
          <cell r="F1223">
            <v>195.39</v>
          </cell>
          <cell r="G1223">
            <v>263.7765</v>
          </cell>
          <cell r="H1223">
            <v>1.1499999999999999</v>
          </cell>
          <cell r="I1223">
            <v>303.34297499999997</v>
          </cell>
          <cell r="J1223">
            <v>309.40983449999999</v>
          </cell>
          <cell r="K1223">
            <v>364.01157000000001</v>
          </cell>
          <cell r="L1223">
            <v>2</v>
          </cell>
          <cell r="M1223">
            <v>404.45729999999998</v>
          </cell>
          <cell r="N1223">
            <v>424.68016499999999</v>
          </cell>
          <cell r="O1223">
            <v>475.83211764705879</v>
          </cell>
          <cell r="P1223">
            <v>523.41532941176467</v>
          </cell>
          <cell r="Q1223">
            <v>1</v>
          </cell>
          <cell r="R1223">
            <v>528.7023529411764</v>
          </cell>
        </row>
        <row r="1224">
          <cell r="A1224">
            <v>3562408</v>
          </cell>
          <cell r="C1224" t="str">
            <v>BM</v>
          </cell>
          <cell r="D1224" t="str">
            <v>PACKED PARTS,PARA/HERR,5450</v>
          </cell>
          <cell r="E1224">
            <v>1</v>
          </cell>
          <cell r="F1224">
            <v>196.1</v>
          </cell>
          <cell r="G1224">
            <v>264.73500000000001</v>
          </cell>
          <cell r="H1224">
            <v>1.1499999999999999</v>
          </cell>
          <cell r="I1224">
            <v>304.44524999999999</v>
          </cell>
          <cell r="J1224">
            <v>330.32309624999999</v>
          </cell>
          <cell r="K1224">
            <v>412.90387031249998</v>
          </cell>
          <cell r="L1224">
            <v>1</v>
          </cell>
          <cell r="M1224">
            <v>434.63565296052633</v>
          </cell>
          <cell r="N1224">
            <v>456.36743560855268</v>
          </cell>
          <cell r="O1224">
            <v>511.33606230650156</v>
          </cell>
          <cell r="P1224">
            <v>562.46966853715173</v>
          </cell>
          <cell r="Q1224">
            <v>3</v>
          </cell>
          <cell r="R1224">
            <v>639.17007788312696</v>
          </cell>
        </row>
        <row r="1225">
          <cell r="A1225">
            <v>3562334</v>
          </cell>
          <cell r="D1225" t="str">
            <v>COVER ASSY,5450</v>
          </cell>
          <cell r="E1225" t="str">
            <v>1</v>
          </cell>
          <cell r="F1225">
            <v>201.88</v>
          </cell>
          <cell r="G1225">
            <v>272.53800000000001</v>
          </cell>
          <cell r="H1225">
            <v>1.1499999999999999</v>
          </cell>
          <cell r="I1225">
            <v>313.4187</v>
          </cell>
          <cell r="J1225">
            <v>340.05928949999998</v>
          </cell>
          <cell r="K1225">
            <v>425.07411187499997</v>
          </cell>
          <cell r="L1225">
            <v>1</v>
          </cell>
          <cell r="M1225">
            <v>447.44643355263156</v>
          </cell>
          <cell r="N1225">
            <v>469.81875523026315</v>
          </cell>
          <cell r="O1225">
            <v>526.40756888544888</v>
          </cell>
          <cell r="P1225">
            <v>579.04832577399384</v>
          </cell>
          <cell r="Q1225">
            <v>3</v>
          </cell>
          <cell r="R1225">
            <v>658.00946110681105</v>
          </cell>
        </row>
        <row r="1226">
          <cell r="A1226">
            <v>8507215</v>
          </cell>
          <cell r="D1226" t="str">
            <v>CYLINDER,AIR,2.00 X 12.00</v>
          </cell>
          <cell r="F1226">
            <v>235.46</v>
          </cell>
          <cell r="G1226">
            <v>317.87100000000004</v>
          </cell>
          <cell r="H1226">
            <v>1.1499999999999999</v>
          </cell>
          <cell r="I1226">
            <v>365.55165</v>
          </cell>
          <cell r="J1226">
            <v>396.62354024999996</v>
          </cell>
          <cell r="K1226">
            <v>495.77942531249994</v>
          </cell>
          <cell r="L1226">
            <v>1</v>
          </cell>
          <cell r="M1226">
            <v>521.87307927631571</v>
          </cell>
          <cell r="N1226">
            <v>547.96673324013148</v>
          </cell>
          <cell r="O1226">
            <v>613.96832856037145</v>
          </cell>
          <cell r="P1226">
            <v>675.36516141640868</v>
          </cell>
          <cell r="Q1226">
            <v>3</v>
          </cell>
          <cell r="R1226">
            <v>767.46041070046431</v>
          </cell>
        </row>
        <row r="1227">
          <cell r="A1227">
            <v>3559117</v>
          </cell>
          <cell r="D1227" t="str">
            <v>PWB ASSY,SMARTCONTROL</v>
          </cell>
          <cell r="E1227" t="str">
            <v>1</v>
          </cell>
          <cell r="F1227">
            <v>254.86</v>
          </cell>
          <cell r="G1227">
            <v>344.06100000000004</v>
          </cell>
          <cell r="H1227">
            <v>1.1499999999999999</v>
          </cell>
          <cell r="I1227">
            <v>395.67015000000004</v>
          </cell>
          <cell r="J1227">
            <v>429.30211275000005</v>
          </cell>
          <cell r="K1227">
            <v>536.62764093750002</v>
          </cell>
          <cell r="L1227">
            <v>1</v>
          </cell>
          <cell r="M1227">
            <v>564.87120098684215</v>
          </cell>
          <cell r="N1227">
            <v>593.11476103618429</v>
          </cell>
          <cell r="O1227">
            <v>664.55435410216728</v>
          </cell>
          <cell r="P1227">
            <v>731.00978951238403</v>
          </cell>
          <cell r="Q1227">
            <v>3</v>
          </cell>
          <cell r="R1227">
            <v>830.69294262770904</v>
          </cell>
        </row>
        <row r="1228">
          <cell r="A1228">
            <v>8589528</v>
          </cell>
          <cell r="C1228" t="str">
            <v>BM</v>
          </cell>
          <cell r="D1228" t="str">
            <v>Pezonera venteada (flex 40)</v>
          </cell>
          <cell r="E1228">
            <v>100</v>
          </cell>
          <cell r="F1228">
            <v>294</v>
          </cell>
          <cell r="G1228">
            <v>396.90000000000003</v>
          </cell>
          <cell r="H1228">
            <v>1.1499999999999999</v>
          </cell>
          <cell r="I1228">
            <v>456.435</v>
          </cell>
          <cell r="J1228">
            <v>495.23197499999998</v>
          </cell>
          <cell r="K1228">
            <v>619.03996874999996</v>
          </cell>
          <cell r="L1228">
            <v>3</v>
          </cell>
          <cell r="M1228">
            <v>728.28231617647054</v>
          </cell>
          <cell r="N1228">
            <v>764.69643198529411</v>
          </cell>
          <cell r="O1228">
            <v>856.80272491349479</v>
          </cell>
          <cell r="P1228">
            <v>942.48299740484435</v>
          </cell>
          <cell r="Q1228">
            <v>3</v>
          </cell>
          <cell r="R1228">
            <v>1071.0034061418685</v>
          </cell>
        </row>
        <row r="1229">
          <cell r="A1229">
            <v>3562403</v>
          </cell>
          <cell r="D1229" t="str">
            <v>KIT,5450,SENSOR MOUNTING</v>
          </cell>
          <cell r="E1229" t="str">
            <v>1</v>
          </cell>
          <cell r="F1229">
            <v>325.54000000000002</v>
          </cell>
          <cell r="G1229">
            <v>439.47900000000004</v>
          </cell>
          <cell r="H1229">
            <v>1.1499999999999999</v>
          </cell>
          <cell r="I1229">
            <v>505.40084999999999</v>
          </cell>
          <cell r="J1229">
            <v>548.35992224999995</v>
          </cell>
          <cell r="K1229">
            <v>685.44990281249989</v>
          </cell>
          <cell r="L1229">
            <v>1</v>
          </cell>
          <cell r="M1229">
            <v>721.52621348684204</v>
          </cell>
          <cell r="N1229">
            <v>757.60252416118419</v>
          </cell>
          <cell r="O1229">
            <v>848.85436880804946</v>
          </cell>
          <cell r="P1229">
            <v>933.73980568885452</v>
          </cell>
          <cell r="Q1229">
            <v>3</v>
          </cell>
          <cell r="R1229">
            <v>1061.0679610100617</v>
          </cell>
        </row>
        <row r="1230">
          <cell r="A1230">
            <v>8589524</v>
          </cell>
          <cell r="C1230" t="str">
            <v>BM</v>
          </cell>
          <cell r="D1230" t="str">
            <v>Pezonera venteada (flex 50)</v>
          </cell>
          <cell r="E1230">
            <v>100</v>
          </cell>
          <cell r="F1230">
            <v>328.86</v>
          </cell>
          <cell r="G1230">
            <v>443.96100000000007</v>
          </cell>
          <cell r="H1230">
            <v>1.1499999999999999</v>
          </cell>
          <cell r="I1230">
            <v>510.55515000000003</v>
          </cell>
          <cell r="J1230">
            <v>553.95233774999997</v>
          </cell>
          <cell r="K1230">
            <v>692.44042218749996</v>
          </cell>
          <cell r="L1230">
            <v>3</v>
          </cell>
          <cell r="M1230">
            <v>814.63579080882346</v>
          </cell>
          <cell r="N1230">
            <v>855.3675803492647</v>
          </cell>
          <cell r="O1230">
            <v>958.39504801038061</v>
          </cell>
          <cell r="P1230">
            <v>1054.2345528114188</v>
          </cell>
          <cell r="Q1230">
            <v>3</v>
          </cell>
          <cell r="R1230">
            <v>1197.9938100129757</v>
          </cell>
        </row>
        <row r="1231">
          <cell r="A1231">
            <v>3556776</v>
          </cell>
          <cell r="C1231" t="str">
            <v>BM</v>
          </cell>
          <cell r="D1231" t="str">
            <v>KIT,PROGRAMMER,PC</v>
          </cell>
          <cell r="E1231">
            <v>1</v>
          </cell>
          <cell r="F1231">
            <v>353.11</v>
          </cell>
          <cell r="G1231">
            <v>476.69850000000002</v>
          </cell>
          <cell r="H1231">
            <v>1.1499999999999999</v>
          </cell>
          <cell r="I1231">
            <v>548.20327499999996</v>
          </cell>
          <cell r="J1231">
            <v>594.80055337499994</v>
          </cell>
          <cell r="K1231">
            <v>743.50069171874986</v>
          </cell>
          <cell r="L1231">
            <v>2</v>
          </cell>
          <cell r="M1231">
            <v>826.11187968749982</v>
          </cell>
          <cell r="N1231">
            <v>867.41747367187486</v>
          </cell>
          <cell r="O1231">
            <v>971.89632904411746</v>
          </cell>
          <cell r="P1231">
            <v>1069.0859619485293</v>
          </cell>
          <cell r="Q1231">
            <v>3</v>
          </cell>
          <cell r="R1231">
            <v>1214.8704113051467</v>
          </cell>
        </row>
        <row r="1232">
          <cell r="A1232">
            <v>3559221</v>
          </cell>
          <cell r="D1232" t="str">
            <v>MODULE,POWER SUPPLY,24V,ISO</v>
          </cell>
          <cell r="F1232">
            <v>485.67</v>
          </cell>
          <cell r="G1232">
            <v>655.6545000000001</v>
          </cell>
          <cell r="H1232">
            <v>1.1499999999999999</v>
          </cell>
          <cell r="I1232">
            <v>754.00267500000007</v>
          </cell>
          <cell r="J1232">
            <v>818.09290237499999</v>
          </cell>
          <cell r="K1232">
            <v>1022.61612796875</v>
          </cell>
          <cell r="L1232">
            <v>1</v>
          </cell>
          <cell r="M1232">
            <v>1076.4380294407895</v>
          </cell>
          <cell r="N1232">
            <v>1130.2599309128291</v>
          </cell>
          <cell r="O1232">
            <v>1266.3976816950465</v>
          </cell>
          <cell r="P1232">
            <v>1393.0374498645513</v>
          </cell>
          <cell r="Q1232">
            <v>3</v>
          </cell>
          <cell r="R1232">
            <v>1582.997102118808</v>
          </cell>
        </row>
        <row r="1233">
          <cell r="A1233">
            <v>8591435</v>
          </cell>
          <cell r="D1233" t="str">
            <v>CABLE PS/NW, SMARTLITE 3T 15M</v>
          </cell>
          <cell r="F1233">
            <v>499.02</v>
          </cell>
          <cell r="G1233">
            <v>673.67700000000002</v>
          </cell>
          <cell r="H1233">
            <v>1</v>
          </cell>
          <cell r="I1233">
            <v>673.67700000000002</v>
          </cell>
          <cell r="J1233">
            <v>673.67700000000002</v>
          </cell>
          <cell r="K1233">
            <v>842.09624999999994</v>
          </cell>
          <cell r="L1233">
            <v>1</v>
          </cell>
          <cell r="M1233">
            <v>886.41710526315785</v>
          </cell>
          <cell r="N1233">
            <v>930.73796052631576</v>
          </cell>
          <cell r="O1233">
            <v>1042.843653250774</v>
          </cell>
          <cell r="P1233">
            <v>1147.1280185758515</v>
          </cell>
          <cell r="Q1233">
            <v>3</v>
          </cell>
          <cell r="R1233">
            <v>1303.5545665634675</v>
          </cell>
        </row>
        <row r="1234">
          <cell r="A1234">
            <v>3558192</v>
          </cell>
          <cell r="C1234" t="str">
            <v>BM</v>
          </cell>
          <cell r="D1234" t="str">
            <v>CONTROL ASSY,SIGNATURE 4300</v>
          </cell>
          <cell r="E1234">
            <v>1</v>
          </cell>
          <cell r="F1234">
            <v>613.92999999999995</v>
          </cell>
          <cell r="G1234">
            <v>828.80549999999994</v>
          </cell>
          <cell r="H1234">
            <v>1</v>
          </cell>
          <cell r="I1234">
            <v>828.80549999999994</v>
          </cell>
          <cell r="J1234">
            <v>899.25396749999993</v>
          </cell>
          <cell r="K1234">
            <v>1124.0674593749998</v>
          </cell>
          <cell r="L1234">
            <v>1</v>
          </cell>
          <cell r="M1234">
            <v>1183.2289046052629</v>
          </cell>
          <cell r="N1234">
            <v>1242.390349835526</v>
          </cell>
          <cell r="O1234">
            <v>1242.390349835526</v>
          </cell>
          <cell r="P1234">
            <v>1366.6293848190787</v>
          </cell>
          <cell r="Q1234">
            <v>3</v>
          </cell>
          <cell r="R1234">
            <v>1552.9879372944074</v>
          </cell>
        </row>
        <row r="1235">
          <cell r="A1235">
            <v>8591563</v>
          </cell>
          <cell r="D1235" t="str">
            <v>I4 BOX ASSEMBLY</v>
          </cell>
          <cell r="F1235">
            <v>623.80999999999995</v>
          </cell>
          <cell r="G1235">
            <v>842.14350000000002</v>
          </cell>
          <cell r="H1235">
            <v>1</v>
          </cell>
          <cell r="I1235">
            <v>842.14350000000002</v>
          </cell>
          <cell r="J1235">
            <v>842.14350000000002</v>
          </cell>
          <cell r="K1235">
            <v>1052.6793749999999</v>
          </cell>
          <cell r="L1235">
            <v>1</v>
          </cell>
          <cell r="M1235">
            <v>1108.0835526315789</v>
          </cell>
          <cell r="N1235">
            <v>1163.4877302631578</v>
          </cell>
          <cell r="O1235">
            <v>1303.6277089783282</v>
          </cell>
          <cell r="P1235">
            <v>1433.9904798761611</v>
          </cell>
          <cell r="Q1235">
            <v>3</v>
          </cell>
          <cell r="R1235">
            <v>1629.5346362229102</v>
          </cell>
        </row>
        <row r="1236">
          <cell r="A1236">
            <v>8509979</v>
          </cell>
          <cell r="C1236" t="str">
            <v>BM</v>
          </cell>
          <cell r="D1236" t="str">
            <v>Caja comando pulsado, 12 unid.(CONTROL ASSY,PULSATION,PC-210)</v>
          </cell>
          <cell r="E1236">
            <v>1</v>
          </cell>
          <cell r="F1236">
            <v>783.86</v>
          </cell>
          <cell r="G1236">
            <v>1058.211</v>
          </cell>
          <cell r="H1236">
            <v>1</v>
          </cell>
          <cell r="I1236">
            <v>1058.211</v>
          </cell>
          <cell r="J1236">
            <v>1148.1589349999999</v>
          </cell>
          <cell r="K1236">
            <v>1435.1986687499998</v>
          </cell>
          <cell r="L1236">
            <v>1</v>
          </cell>
          <cell r="M1236">
            <v>1510.7354407894736</v>
          </cell>
          <cell r="N1236">
            <v>1586.2722128289474</v>
          </cell>
          <cell r="O1236">
            <v>1586.2722128289474</v>
          </cell>
          <cell r="P1236">
            <v>1744.8994341118423</v>
          </cell>
          <cell r="Q1236">
            <v>3</v>
          </cell>
          <cell r="R1236">
            <v>1982.8402660361842</v>
          </cell>
        </row>
        <row r="1237">
          <cell r="A1237">
            <v>3557161</v>
          </cell>
          <cell r="C1237" t="str">
            <v>BM</v>
          </cell>
          <cell r="D1237" t="str">
            <v>DETACHER,4000D,W/NIPPLE SENSOR</v>
          </cell>
          <cell r="E1237">
            <v>1</v>
          </cell>
          <cell r="F1237">
            <v>786.39</v>
          </cell>
          <cell r="G1237">
            <v>1061.6265000000001</v>
          </cell>
          <cell r="H1237">
            <v>1.1499999999999999</v>
          </cell>
          <cell r="I1237">
            <v>1220.8704749999999</v>
          </cell>
          <cell r="J1237">
            <v>1324.644465375</v>
          </cell>
          <cell r="K1237">
            <v>1655.8055817187499</v>
          </cell>
          <cell r="L1237">
            <v>2</v>
          </cell>
          <cell r="M1237">
            <v>1839.7839796874998</v>
          </cell>
          <cell r="N1237">
            <v>1931.7731786718748</v>
          </cell>
          <cell r="O1237">
            <v>2164.4517408088232</v>
          </cell>
          <cell r="P1237">
            <v>2380.8969148897058</v>
          </cell>
          <cell r="Q1237">
            <v>3</v>
          </cell>
          <cell r="R1237">
            <v>2705.564676011029</v>
          </cell>
        </row>
        <row r="1238">
          <cell r="A1238">
            <v>3555726</v>
          </cell>
          <cell r="C1238" t="str">
            <v>BM</v>
          </cell>
          <cell r="D1238" t="str">
            <v>METER ASSY,RH,PERFECTION</v>
          </cell>
          <cell r="E1238">
            <v>1</v>
          </cell>
          <cell r="F1238">
            <v>811.48</v>
          </cell>
          <cell r="G1238">
            <v>1095.498</v>
          </cell>
          <cell r="H1238">
            <v>1.1499999999999999</v>
          </cell>
          <cell r="I1238">
            <v>1259.8226999999999</v>
          </cell>
          <cell r="J1238">
            <v>1366.9076295</v>
          </cell>
          <cell r="K1238">
            <v>1708.6345368749999</v>
          </cell>
          <cell r="L1238">
            <v>1</v>
          </cell>
          <cell r="M1238">
            <v>1798.5626703947369</v>
          </cell>
          <cell r="N1238">
            <v>1888.4908039144739</v>
          </cell>
          <cell r="O1238">
            <v>2115.9560828173376</v>
          </cell>
          <cell r="P1238">
            <v>2327.5516910990714</v>
          </cell>
          <cell r="Q1238">
            <v>3</v>
          </cell>
          <cell r="R1238">
            <v>2644.9451035216716</v>
          </cell>
        </row>
        <row r="1239">
          <cell r="A1239">
            <v>3557160</v>
          </cell>
          <cell r="C1239" t="str">
            <v>BM</v>
          </cell>
          <cell r="D1239" t="str">
            <v>DETACHER,4000D,W/CLAMP SENSOR</v>
          </cell>
          <cell r="E1239">
            <v>1</v>
          </cell>
          <cell r="F1239">
            <v>831.02</v>
          </cell>
          <cell r="G1239">
            <v>1121.877</v>
          </cell>
          <cell r="H1239">
            <v>1.1499999999999999</v>
          </cell>
          <cell r="I1239">
            <v>1290.1585499999999</v>
          </cell>
          <cell r="J1239">
            <v>1399.8220267499998</v>
          </cell>
          <cell r="K1239">
            <v>1749.7775334374996</v>
          </cell>
          <cell r="L1239">
            <v>2</v>
          </cell>
          <cell r="M1239">
            <v>1944.1972593749995</v>
          </cell>
          <cell r="N1239">
            <v>2041.4071223437495</v>
          </cell>
          <cell r="O1239">
            <v>2287.2908933823524</v>
          </cell>
          <cell r="P1239">
            <v>2516.0199827205879</v>
          </cell>
          <cell r="Q1239">
            <v>3</v>
          </cell>
          <cell r="R1239">
            <v>2859.1136167279401</v>
          </cell>
        </row>
        <row r="1240">
          <cell r="A1240">
            <v>4022872</v>
          </cell>
          <cell r="C1240" t="str">
            <v>BM</v>
          </cell>
          <cell r="D1240" t="str">
            <v>KIT,VALVE/ADAPTER,2"-3"</v>
          </cell>
          <cell r="E1240">
            <v>1</v>
          </cell>
          <cell r="F1240">
            <v>855.24</v>
          </cell>
          <cell r="G1240">
            <v>1154.5740000000001</v>
          </cell>
          <cell r="H1240">
            <v>1.1499999999999999</v>
          </cell>
          <cell r="I1240">
            <v>1327.7601</v>
          </cell>
          <cell r="J1240">
            <v>1354.315302</v>
          </cell>
          <cell r="K1240">
            <v>1593.31212</v>
          </cell>
          <cell r="L1240">
            <v>1</v>
          </cell>
          <cell r="M1240">
            <v>1677.1706526315791</v>
          </cell>
          <cell r="N1240">
            <v>1761.0291852631581</v>
          </cell>
          <cell r="O1240">
            <v>1973.1419442724459</v>
          </cell>
          <cell r="P1240">
            <v>2170.4561386996907</v>
          </cell>
          <cell r="Q1240">
            <v>1</v>
          </cell>
          <cell r="R1240">
            <v>2192.3799380804953</v>
          </cell>
        </row>
        <row r="1241">
          <cell r="A1241">
            <v>3560107</v>
          </cell>
          <cell r="D1241" t="str">
            <v>METER ASSY,LH,AIR</v>
          </cell>
          <cell r="E1241" t="str">
            <v>1</v>
          </cell>
          <cell r="F1241">
            <v>909.02</v>
          </cell>
          <cell r="G1241">
            <v>1227.1770000000001</v>
          </cell>
          <cell r="H1241">
            <v>1.1499999999999999</v>
          </cell>
          <cell r="I1241">
            <v>1411.2535500000001</v>
          </cell>
          <cell r="J1241">
            <v>1531.2101017500001</v>
          </cell>
          <cell r="K1241">
            <v>1914.0126271875001</v>
          </cell>
          <cell r="L1241">
            <v>1</v>
          </cell>
          <cell r="M1241">
            <v>2014.7501338815791</v>
          </cell>
          <cell r="N1241">
            <v>2115.4876405756581</v>
          </cell>
          <cell r="O1241">
            <v>2370.2942751547989</v>
          </cell>
          <cell r="P1241">
            <v>2607.3237026702791</v>
          </cell>
          <cell r="Q1241">
            <v>3</v>
          </cell>
          <cell r="R1241">
            <v>2962.8678439434984</v>
          </cell>
        </row>
        <row r="1242">
          <cell r="A1242">
            <v>3560108</v>
          </cell>
          <cell r="D1242" t="str">
            <v>METER ASSY,RH,AIR</v>
          </cell>
          <cell r="E1242" t="str">
            <v>1</v>
          </cell>
          <cell r="F1242">
            <v>910.61</v>
          </cell>
          <cell r="G1242">
            <v>1229.3235000000002</v>
          </cell>
          <cell r="H1242">
            <v>1.1499999999999999</v>
          </cell>
          <cell r="I1242">
            <v>1413.722025</v>
          </cell>
          <cell r="J1242">
            <v>1533.888397125</v>
          </cell>
          <cell r="K1242">
            <v>1917.3604964062499</v>
          </cell>
          <cell r="L1242">
            <v>1</v>
          </cell>
          <cell r="M1242">
            <v>2018.274206743421</v>
          </cell>
          <cell r="N1242">
            <v>2119.1879170805923</v>
          </cell>
          <cell r="O1242">
            <v>2374.4402432275542</v>
          </cell>
          <cell r="P1242">
            <v>2611.8842675503097</v>
          </cell>
          <cell r="Q1242">
            <v>3</v>
          </cell>
          <cell r="R1242">
            <v>2968.0503040344424</v>
          </cell>
        </row>
        <row r="1243">
          <cell r="A1243">
            <v>3562513</v>
          </cell>
          <cell r="C1243" t="str">
            <v>BM</v>
          </cell>
          <cell r="D1243" t="str">
            <v>PKG,AMI5450,PVC CYLINDER</v>
          </cell>
          <cell r="E1243">
            <v>1</v>
          </cell>
          <cell r="F1243">
            <v>926.76</v>
          </cell>
          <cell r="G1243">
            <v>1251.126</v>
          </cell>
          <cell r="H1243">
            <v>1.1499999999999999</v>
          </cell>
          <cell r="I1243">
            <v>1438.7948999999999</v>
          </cell>
          <cell r="J1243">
            <v>1561.0924664999998</v>
          </cell>
          <cell r="K1243">
            <v>1951.3655831249996</v>
          </cell>
          <cell r="L1243">
            <v>1</v>
          </cell>
          <cell r="M1243">
            <v>2054.0690348684207</v>
          </cell>
          <cell r="N1243">
            <v>2156.7724866118419</v>
          </cell>
          <cell r="O1243">
            <v>2416.551805727554</v>
          </cell>
          <cell r="P1243">
            <v>2658.2069863003094</v>
          </cell>
          <cell r="Q1243">
            <v>3</v>
          </cell>
          <cell r="R1243">
            <v>3020.6897571594423</v>
          </cell>
        </row>
        <row r="1244">
          <cell r="A1244">
            <v>4015856</v>
          </cell>
          <cell r="C1244" t="str">
            <v>BM</v>
          </cell>
          <cell r="D1244" t="str">
            <v>VALVE PKG,2 X 2,NY APPV</v>
          </cell>
          <cell r="E1244">
            <v>1</v>
          </cell>
          <cell r="F1244">
            <v>937.4</v>
          </cell>
          <cell r="G1244">
            <v>1265.49</v>
          </cell>
          <cell r="H1244">
            <v>1.1499999999999999</v>
          </cell>
          <cell r="I1244">
            <v>1455.3135</v>
          </cell>
          <cell r="J1244">
            <v>1484.41977</v>
          </cell>
          <cell r="K1244">
            <v>1746.3761999999999</v>
          </cell>
          <cell r="L1244">
            <v>2</v>
          </cell>
          <cell r="M1244">
            <v>1940.4179999999999</v>
          </cell>
          <cell r="N1244">
            <v>2037.4388999999999</v>
          </cell>
          <cell r="O1244">
            <v>2282.8447058823531</v>
          </cell>
          <cell r="P1244">
            <v>2511.1291764705884</v>
          </cell>
          <cell r="Q1244">
            <v>1</v>
          </cell>
          <cell r="R1244">
            <v>2536.4941176470588</v>
          </cell>
        </row>
        <row r="1245">
          <cell r="A1245">
            <v>3559530</v>
          </cell>
          <cell r="D1245" t="str">
            <v>Control touchpoint (Frente)</v>
          </cell>
          <cell r="F1245">
            <v>1068.47</v>
          </cell>
          <cell r="G1245">
            <v>1442.4345000000001</v>
          </cell>
          <cell r="H1245">
            <v>1.1499999999999999</v>
          </cell>
          <cell r="I1245">
            <v>1658.799675</v>
          </cell>
          <cell r="J1245">
            <v>1799.797647375</v>
          </cell>
          <cell r="K1245">
            <v>2249.7470592187497</v>
          </cell>
          <cell r="L1245">
            <v>1</v>
          </cell>
          <cell r="M1245">
            <v>2368.1547991776315</v>
          </cell>
          <cell r="N1245">
            <v>2486.5625391365134</v>
          </cell>
          <cell r="O1245">
            <v>2786.0644696207432</v>
          </cell>
          <cell r="P1245">
            <v>3064.6709165828179</v>
          </cell>
          <cell r="Q1245">
            <v>3</v>
          </cell>
          <cell r="R1245">
            <v>3482.5805870259287</v>
          </cell>
        </row>
        <row r="1246">
          <cell r="A1246">
            <v>4020817</v>
          </cell>
          <cell r="C1246" t="str">
            <v>BM</v>
          </cell>
          <cell r="D1246" t="str">
            <v xml:space="preserve"> Bomba de leche (Pump, 2 Hp, 208-230/460V, 3-phase)</v>
          </cell>
          <cell r="E1246">
            <v>1</v>
          </cell>
          <cell r="F1246">
            <v>1162.9000000000001</v>
          </cell>
          <cell r="G1246">
            <v>1569.9150000000002</v>
          </cell>
          <cell r="H1246">
            <v>1.1499999999999999</v>
          </cell>
          <cell r="I1246">
            <v>1805.4022500000001</v>
          </cell>
          <cell r="J1246">
            <v>1841.510295</v>
          </cell>
          <cell r="K1246">
            <v>2166.4827</v>
          </cell>
          <cell r="L1246">
            <v>3</v>
          </cell>
          <cell r="M1246">
            <v>2548.8031764705884</v>
          </cell>
          <cell r="N1246">
            <v>2676.243335294118</v>
          </cell>
          <cell r="O1246">
            <v>2998.5919723183392</v>
          </cell>
          <cell r="P1246">
            <v>3298.4511695501733</v>
          </cell>
          <cell r="Q1246">
            <v>2</v>
          </cell>
          <cell r="R1246">
            <v>3527.7552615509876</v>
          </cell>
        </row>
        <row r="1247">
          <cell r="A1247">
            <v>4020818</v>
          </cell>
          <cell r="C1247" t="str">
            <v>BM</v>
          </cell>
          <cell r="D1247" t="str">
            <v>Bomba de leche ( Pump, 3 Hp, 208-230/460V, 3-phase)</v>
          </cell>
          <cell r="E1247">
            <v>1</v>
          </cell>
          <cell r="F1247">
            <v>1259.1199999999999</v>
          </cell>
          <cell r="G1247">
            <v>1699.8119999999999</v>
          </cell>
          <cell r="H1247">
            <v>1.1499999999999999</v>
          </cell>
          <cell r="I1247">
            <v>1954.7837999999997</v>
          </cell>
          <cell r="J1247">
            <v>1993.8794759999998</v>
          </cell>
          <cell r="K1247">
            <v>2345.7405599999997</v>
          </cell>
          <cell r="L1247">
            <v>3</v>
          </cell>
          <cell r="M1247">
            <v>2759.6947764705878</v>
          </cell>
          <cell r="N1247">
            <v>2897.6795152941172</v>
          </cell>
          <cell r="O1247">
            <v>3246.6997370242211</v>
          </cell>
          <cell r="P1247">
            <v>3571.3697107266435</v>
          </cell>
          <cell r="Q1247">
            <v>2</v>
          </cell>
          <cell r="R1247">
            <v>3819.6467494402605</v>
          </cell>
        </row>
        <row r="1248">
          <cell r="A1248">
            <v>3562478</v>
          </cell>
          <cell r="D1248" t="str">
            <v>DC POWER SUPPLY,240W,24V</v>
          </cell>
          <cell r="F1248">
            <v>1395.4</v>
          </cell>
          <cell r="G1248">
            <v>1883.7900000000002</v>
          </cell>
          <cell r="H1248">
            <v>1</v>
          </cell>
          <cell r="I1248">
            <v>1883.7900000000002</v>
          </cell>
          <cell r="J1248">
            <v>1883.7900000000002</v>
          </cell>
          <cell r="K1248">
            <v>2354.7375000000002</v>
          </cell>
          <cell r="L1248">
            <v>1</v>
          </cell>
          <cell r="M1248">
            <v>2478.6710526315792</v>
          </cell>
          <cell r="N1248">
            <v>2602.6046052631582</v>
          </cell>
          <cell r="O1248">
            <v>2916.0835913312699</v>
          </cell>
          <cell r="P1248">
            <v>3207.691950464397</v>
          </cell>
          <cell r="Q1248">
            <v>3</v>
          </cell>
          <cell r="R1248">
            <v>3645.1044891640872</v>
          </cell>
        </row>
        <row r="1249">
          <cell r="A1249">
            <v>3557559</v>
          </cell>
          <cell r="C1249" t="str">
            <v>BM</v>
          </cell>
          <cell r="D1249" t="str">
            <v>DETACHER,4200D,HINGE,CLAMP</v>
          </cell>
          <cell r="E1249">
            <v>1</v>
          </cell>
          <cell r="F1249">
            <v>1415.86</v>
          </cell>
          <cell r="G1249">
            <v>1911.4110000000001</v>
          </cell>
          <cell r="H1249">
            <v>1.1499999999999999</v>
          </cell>
          <cell r="I1249">
            <v>2198.1226499999998</v>
          </cell>
          <cell r="J1249">
            <v>2384.9630752499997</v>
          </cell>
          <cell r="K1249">
            <v>2981.2038440624997</v>
          </cell>
          <cell r="L1249">
            <v>2</v>
          </cell>
          <cell r="M1249">
            <v>3312.4487156249997</v>
          </cell>
          <cell r="N1249">
            <v>3478.07115140625</v>
          </cell>
          <cell r="O1249">
            <v>3896.9984889705879</v>
          </cell>
          <cell r="P1249">
            <v>4286.6983378676468</v>
          </cell>
          <cell r="Q1249">
            <v>3</v>
          </cell>
          <cell r="R1249">
            <v>4871.2481112132346</v>
          </cell>
        </row>
        <row r="1250">
          <cell r="A1250">
            <v>3557582</v>
          </cell>
          <cell r="C1250" t="str">
            <v>BM</v>
          </cell>
          <cell r="D1250" t="str">
            <v>DETACHER,4600D,W/O ARM,NIP</v>
          </cell>
          <cell r="E1250">
            <v>1</v>
          </cell>
          <cell r="F1250">
            <v>1473.41</v>
          </cell>
          <cell r="G1250">
            <v>1989.1035000000002</v>
          </cell>
          <cell r="H1250">
            <v>1.1499999999999999</v>
          </cell>
          <cell r="I1250">
            <v>2287.4690249999999</v>
          </cell>
          <cell r="J1250">
            <v>2481.9038921249999</v>
          </cell>
          <cell r="K1250">
            <v>3102.3798651562497</v>
          </cell>
          <cell r="L1250">
            <v>2</v>
          </cell>
          <cell r="M1250">
            <v>3447.0887390624994</v>
          </cell>
          <cell r="N1250">
            <v>3619.4431760156244</v>
          </cell>
          <cell r="O1250">
            <v>4055.3985165441172</v>
          </cell>
          <cell r="P1250">
            <v>4460.9383681985291</v>
          </cell>
          <cell r="Q1250">
            <v>3</v>
          </cell>
          <cell r="R1250">
            <v>5069.2481456801461</v>
          </cell>
        </row>
        <row r="1251">
          <cell r="A1251">
            <v>3557443</v>
          </cell>
          <cell r="C1251" t="str">
            <v>BM</v>
          </cell>
          <cell r="D1251" t="str">
            <v>DETACHER,4400D,HINGE,W/NIP</v>
          </cell>
          <cell r="E1251">
            <v>1</v>
          </cell>
          <cell r="F1251">
            <v>1477.02</v>
          </cell>
          <cell r="G1251">
            <v>1993.9770000000001</v>
          </cell>
          <cell r="H1251">
            <v>1.1499999999999999</v>
          </cell>
          <cell r="I1251">
            <v>2293.0735500000001</v>
          </cell>
          <cell r="J1251">
            <v>2487.9848017499999</v>
          </cell>
          <cell r="K1251">
            <v>3109.9810021874996</v>
          </cell>
          <cell r="L1251">
            <v>2</v>
          </cell>
          <cell r="M1251">
            <v>3455.5344468749995</v>
          </cell>
          <cell r="N1251">
            <v>3628.3111692187495</v>
          </cell>
          <cell r="O1251">
            <v>4065.3346433823526</v>
          </cell>
          <cell r="P1251">
            <v>4471.8681077205883</v>
          </cell>
          <cell r="Q1251">
            <v>3</v>
          </cell>
          <cell r="R1251">
            <v>5081.6683042279401</v>
          </cell>
        </row>
        <row r="1252">
          <cell r="A1252">
            <v>3557578</v>
          </cell>
          <cell r="C1252" t="str">
            <v>BM</v>
          </cell>
          <cell r="D1252" t="str">
            <v>DETACHER,4600D,W/0 ARM,TRI</v>
          </cell>
          <cell r="E1252">
            <v>1</v>
          </cell>
          <cell r="F1252">
            <v>1504.16</v>
          </cell>
          <cell r="G1252">
            <v>2030.6160000000002</v>
          </cell>
          <cell r="H1252">
            <v>1.1499999999999999</v>
          </cell>
          <cell r="I1252">
            <v>2335.2084</v>
          </cell>
          <cell r="J1252">
            <v>2533.701114</v>
          </cell>
          <cell r="K1252">
            <v>3167.1263924999998</v>
          </cell>
          <cell r="L1252">
            <v>2</v>
          </cell>
          <cell r="M1252">
            <v>3519.0293249999995</v>
          </cell>
          <cell r="N1252">
            <v>3694.9807912499996</v>
          </cell>
          <cell r="O1252">
            <v>4140.0344999999998</v>
          </cell>
          <cell r="P1252">
            <v>4554.0379499999999</v>
          </cell>
          <cell r="Q1252">
            <v>3</v>
          </cell>
          <cell r="R1252">
            <v>5175.0431249999992</v>
          </cell>
        </row>
        <row r="1253">
          <cell r="A1253">
            <v>3557444</v>
          </cell>
          <cell r="C1253" t="str">
            <v>BM</v>
          </cell>
          <cell r="D1253" t="str">
            <v>DETACHER,4400D,HINGE,TRI</v>
          </cell>
          <cell r="E1253">
            <v>1</v>
          </cell>
          <cell r="F1253">
            <v>1507.16</v>
          </cell>
          <cell r="G1253">
            <v>2034.6660000000002</v>
          </cell>
          <cell r="H1253">
            <v>1.1499999999999999</v>
          </cell>
          <cell r="I1253">
            <v>2339.8659000000002</v>
          </cell>
          <cell r="J1253">
            <v>2538.7545015000001</v>
          </cell>
          <cell r="K1253">
            <v>3173.443126875</v>
          </cell>
          <cell r="L1253">
            <v>2</v>
          </cell>
          <cell r="M1253">
            <v>3526.04791875</v>
          </cell>
          <cell r="N1253">
            <v>3702.3503146875</v>
          </cell>
          <cell r="O1253">
            <v>4148.291669117647</v>
          </cell>
          <cell r="P1253">
            <v>4563.1208360294122</v>
          </cell>
          <cell r="Q1253">
            <v>3</v>
          </cell>
          <cell r="R1253">
            <v>5185.3645863970587</v>
          </cell>
        </row>
        <row r="1254">
          <cell r="A1254">
            <v>3558281</v>
          </cell>
          <cell r="C1254" t="str">
            <v>BM</v>
          </cell>
          <cell r="D1254" t="str">
            <v>KIT,INDICATOR,HERD COMPANION</v>
          </cell>
          <cell r="E1254">
            <v>1</v>
          </cell>
          <cell r="F1254">
            <v>1577.31</v>
          </cell>
          <cell r="G1254">
            <v>2129.3685</v>
          </cell>
          <cell r="H1254">
            <v>1.1499999999999999</v>
          </cell>
          <cell r="I1254">
            <v>2448.7737749999997</v>
          </cell>
          <cell r="J1254">
            <v>2656.9195458749996</v>
          </cell>
          <cell r="K1254">
            <v>3321.1494323437491</v>
          </cell>
          <cell r="L1254">
            <v>2</v>
          </cell>
          <cell r="M1254">
            <v>3690.1660359374991</v>
          </cell>
          <cell r="N1254">
            <v>3874.6743377343741</v>
          </cell>
          <cell r="O1254">
            <v>4341.371806985293</v>
          </cell>
          <cell r="P1254">
            <v>4775.5089876838229</v>
          </cell>
          <cell r="Q1254">
            <v>3</v>
          </cell>
          <cell r="R1254">
            <v>5426.7147587316158</v>
          </cell>
        </row>
        <row r="1255">
          <cell r="A1255">
            <v>4020794</v>
          </cell>
          <cell r="D1255" t="str">
            <v>PUMP,CHILLER,5HP,60HZ,230V,3PH</v>
          </cell>
          <cell r="F1255">
            <v>1627.59</v>
          </cell>
          <cell r="G1255">
            <v>2197.2465000000002</v>
          </cell>
          <cell r="H1255">
            <v>1.1499999999999999</v>
          </cell>
          <cell r="I1255">
            <v>2526.8334749999999</v>
          </cell>
          <cell r="J1255">
            <v>2741.6143203749998</v>
          </cell>
          <cell r="K1255">
            <v>3427.0179004687498</v>
          </cell>
          <cell r="L1255">
            <v>1</v>
          </cell>
          <cell r="M1255">
            <v>3607.3872636513156</v>
          </cell>
          <cell r="N1255">
            <v>3787.7566268338815</v>
          </cell>
          <cell r="O1255">
            <v>4243.985016060371</v>
          </cell>
          <cell r="P1255">
            <v>4668.3835176664088</v>
          </cell>
          <cell r="Q1255">
            <v>3</v>
          </cell>
          <cell r="R1255">
            <v>5304.9812700754637</v>
          </cell>
        </row>
        <row r="1256">
          <cell r="A1256">
            <v>4019499</v>
          </cell>
          <cell r="C1256" t="str">
            <v>BM</v>
          </cell>
          <cell r="D1256" t="str">
            <v>VALVE PKG,3 X 3</v>
          </cell>
          <cell r="E1256">
            <v>1</v>
          </cell>
          <cell r="F1256">
            <v>1654.77</v>
          </cell>
          <cell r="G1256">
            <v>2233.9395</v>
          </cell>
          <cell r="H1256">
            <v>1.1499999999999999</v>
          </cell>
          <cell r="I1256">
            <v>2569.0304249999999</v>
          </cell>
          <cell r="J1256">
            <v>2620.4110335</v>
          </cell>
          <cell r="K1256">
            <v>3082.8365100000001</v>
          </cell>
          <cell r="L1256">
            <v>1</v>
          </cell>
          <cell r="M1256">
            <v>3245.091063157895</v>
          </cell>
          <cell r="N1256">
            <v>3407.3456163157898</v>
          </cell>
          <cell r="O1256">
            <v>3817.7541919504647</v>
          </cell>
          <cell r="P1256">
            <v>4199.5296111455118</v>
          </cell>
          <cell r="Q1256">
            <v>1</v>
          </cell>
          <cell r="R1256">
            <v>4241.9491021671829</v>
          </cell>
        </row>
        <row r="1257">
          <cell r="A1257">
            <v>3557940</v>
          </cell>
          <cell r="C1257" t="str">
            <v>BM</v>
          </cell>
          <cell r="D1257" t="str">
            <v>DETACHER,3020M</v>
          </cell>
          <cell r="E1257">
            <v>1</v>
          </cell>
          <cell r="F1257">
            <v>1730.25</v>
          </cell>
          <cell r="G1257">
            <v>2335.8375000000001</v>
          </cell>
          <cell r="H1257">
            <v>1.1499999999999999</v>
          </cell>
          <cell r="I1257">
            <v>2686.2131249999998</v>
          </cell>
          <cell r="J1257">
            <v>2914.5412406249998</v>
          </cell>
          <cell r="K1257">
            <v>3643.1765507812497</v>
          </cell>
          <cell r="L1257">
            <v>2</v>
          </cell>
          <cell r="M1257">
            <v>4047.9739453124994</v>
          </cell>
          <cell r="N1257">
            <v>4250.3726425781242</v>
          </cell>
          <cell r="O1257">
            <v>4762.3222886029407</v>
          </cell>
          <cell r="P1257">
            <v>5238.5545174632352</v>
          </cell>
          <cell r="Q1257">
            <v>3</v>
          </cell>
          <cell r="R1257">
            <v>5952.9028607536757</v>
          </cell>
        </row>
        <row r="1258">
          <cell r="A1258">
            <v>4025981</v>
          </cell>
          <cell r="C1258" t="str">
            <v>BM</v>
          </cell>
          <cell r="D1258" t="str">
            <v>Intercambiador de calor (KIT,COOLER,PLATE,N35SC0.5)</v>
          </cell>
          <cell r="E1258">
            <v>1</v>
          </cell>
          <cell r="F1258">
            <v>1801</v>
          </cell>
          <cell r="G1258">
            <v>2431.3500000000004</v>
          </cell>
          <cell r="H1258">
            <v>1.1499999999999999</v>
          </cell>
          <cell r="I1258">
            <v>2796.0525000000002</v>
          </cell>
          <cell r="J1258">
            <v>3033.7169625000001</v>
          </cell>
          <cell r="K1258">
            <v>3792.1462031249998</v>
          </cell>
          <cell r="L1258">
            <v>1</v>
          </cell>
          <cell r="M1258">
            <v>3991.7328453947371</v>
          </cell>
          <cell r="N1258">
            <v>4191.3194876644739</v>
          </cell>
          <cell r="O1258">
            <v>4696.1562886996908</v>
          </cell>
          <cell r="P1258">
            <v>5165.7719175696602</v>
          </cell>
          <cell r="Q1258">
            <v>3</v>
          </cell>
          <cell r="R1258">
            <v>5870.1953608746135</v>
          </cell>
        </row>
        <row r="1259">
          <cell r="A1259">
            <v>4025982</v>
          </cell>
          <cell r="C1259" t="str">
            <v>BM</v>
          </cell>
          <cell r="D1259" t="str">
            <v>Intercambiador de calor (KIT,COOLER,PLATE,N53SC0.5)</v>
          </cell>
          <cell r="E1259">
            <v>1</v>
          </cell>
          <cell r="F1259">
            <v>2398.27</v>
          </cell>
          <cell r="G1259">
            <v>3237.6645000000003</v>
          </cell>
          <cell r="H1259">
            <v>1.1499999999999999</v>
          </cell>
          <cell r="I1259">
            <v>3723.314175</v>
          </cell>
          <cell r="J1259">
            <v>4039.7958798749996</v>
          </cell>
          <cell r="K1259">
            <v>5049.7448498437489</v>
          </cell>
          <cell r="L1259">
            <v>3</v>
          </cell>
          <cell r="M1259">
            <v>5940.8762939338221</v>
          </cell>
          <cell r="N1259">
            <v>6237.9201086305138</v>
          </cell>
          <cell r="O1259">
            <v>6989.2662281574376</v>
          </cell>
          <cell r="P1259">
            <v>7688.1928509731815</v>
          </cell>
          <cell r="Q1259">
            <v>3</v>
          </cell>
          <cell r="R1259">
            <v>8736.582785196797</v>
          </cell>
        </row>
        <row r="1260">
          <cell r="A1260">
            <v>4025751</v>
          </cell>
          <cell r="C1260" t="str">
            <v>BM</v>
          </cell>
          <cell r="D1260" t="str">
            <v>Intercambiador de calor (COOLER,PLATE,N37SC1)</v>
          </cell>
          <cell r="E1260">
            <v>1</v>
          </cell>
          <cell r="F1260">
            <v>2785.33</v>
          </cell>
          <cell r="G1260">
            <v>3760.1955000000003</v>
          </cell>
          <cell r="H1260">
            <v>1.1499999999999999</v>
          </cell>
          <cell r="I1260">
            <v>4324.2248250000002</v>
          </cell>
          <cell r="J1260">
            <v>4691.7839351250004</v>
          </cell>
          <cell r="K1260">
            <v>5864.7299189062505</v>
          </cell>
          <cell r="L1260">
            <v>3</v>
          </cell>
          <cell r="M1260">
            <v>6899.6822575367651</v>
          </cell>
          <cell r="N1260">
            <v>7244.6663704136035</v>
          </cell>
          <cell r="O1260">
            <v>8117.2732441609005</v>
          </cell>
          <cell r="P1260">
            <v>8929.000568576992</v>
          </cell>
          <cell r="Q1260">
            <v>3</v>
          </cell>
          <cell r="R1260">
            <v>10146.591555201125</v>
          </cell>
        </row>
        <row r="1261">
          <cell r="A1261">
            <v>8592062</v>
          </cell>
          <cell r="D1261" t="str">
            <v>SMARTCONNECT,CONTROLLER</v>
          </cell>
          <cell r="F1261">
            <v>2877.51</v>
          </cell>
          <cell r="G1261">
            <v>3884.6385000000005</v>
          </cell>
          <cell r="H1261">
            <v>1</v>
          </cell>
          <cell r="I1261">
            <v>3884.6385000000005</v>
          </cell>
          <cell r="J1261">
            <v>3884.6385000000005</v>
          </cell>
          <cell r="K1261">
            <v>4855.7981250000003</v>
          </cell>
          <cell r="L1261">
            <v>1</v>
          </cell>
          <cell r="M1261">
            <v>5111.3664473684212</v>
          </cell>
          <cell r="N1261">
            <v>5366.9347697368421</v>
          </cell>
          <cell r="O1261">
            <v>6013.372291021672</v>
          </cell>
          <cell r="P1261">
            <v>6614.7095201238399</v>
          </cell>
          <cell r="Q1261">
            <v>3</v>
          </cell>
          <cell r="R1261">
            <v>7516.7153637770898</v>
          </cell>
        </row>
        <row r="1262">
          <cell r="A1262">
            <v>4020811</v>
          </cell>
          <cell r="D1262" t="str">
            <v>PUMP PKG,WSHR,1.5HP,3-4000,50H</v>
          </cell>
          <cell r="F1262">
            <v>2890.55</v>
          </cell>
          <cell r="G1262">
            <v>3902.2425000000003</v>
          </cell>
          <cell r="H1262">
            <v>1.1499999999999999</v>
          </cell>
          <cell r="I1262">
            <v>4487.5788750000002</v>
          </cell>
          <cell r="J1262">
            <v>4869.0230793749997</v>
          </cell>
          <cell r="K1262">
            <v>6086.2788492187492</v>
          </cell>
          <cell r="L1262">
            <v>1</v>
          </cell>
          <cell r="M1262">
            <v>6406.6093149671051</v>
          </cell>
          <cell r="N1262">
            <v>6726.939780715461</v>
          </cell>
          <cell r="O1262">
            <v>7537.1874293730652</v>
          </cell>
          <cell r="P1262">
            <v>8290.9061723103732</v>
          </cell>
          <cell r="Q1262">
            <v>3</v>
          </cell>
          <cell r="R1262">
            <v>9421.4842867163316</v>
          </cell>
        </row>
        <row r="1263">
          <cell r="A1263">
            <v>4018910</v>
          </cell>
          <cell r="C1263" t="str">
            <v>BM</v>
          </cell>
          <cell r="D1263" t="str">
            <v>THERMA-STOR II-120-2-A</v>
          </cell>
          <cell r="E1263">
            <v>1</v>
          </cell>
          <cell r="F1263">
            <v>3442.24</v>
          </cell>
          <cell r="G1263">
            <v>4647.0240000000003</v>
          </cell>
          <cell r="H1263">
            <v>1.1499999999999999</v>
          </cell>
          <cell r="I1263">
            <v>5344.0775999999996</v>
          </cell>
          <cell r="J1263">
            <v>5450.9591519999994</v>
          </cell>
          <cell r="K1263">
            <v>6412.8931199999997</v>
          </cell>
          <cell r="L1263">
            <v>3</v>
          </cell>
          <cell r="M1263">
            <v>7544.5801411764705</v>
          </cell>
          <cell r="N1263">
            <v>7921.8091482352947</v>
          </cell>
          <cell r="O1263">
            <v>8875.9766366782005</v>
          </cell>
          <cell r="P1263">
            <v>9763.5743003460211</v>
          </cell>
          <cell r="Q1263">
            <v>2</v>
          </cell>
          <cell r="R1263">
            <v>10442.32545491553</v>
          </cell>
        </row>
        <row r="1264">
          <cell r="A1264">
            <v>4023262</v>
          </cell>
          <cell r="C1264" t="str">
            <v>BM</v>
          </cell>
          <cell r="D1264" t="str">
            <v>Programador de lavado (WASHER,GLACIER GUARD,W/O VALVE)</v>
          </cell>
          <cell r="E1264">
            <v>1</v>
          </cell>
          <cell r="F1264">
            <v>3509.89</v>
          </cell>
          <cell r="G1264">
            <v>4738.3514999999998</v>
          </cell>
          <cell r="H1264">
            <v>1.1499999999999999</v>
          </cell>
          <cell r="I1264">
            <v>5449.1042249999991</v>
          </cell>
          <cell r="J1264">
            <v>5558.0863094999995</v>
          </cell>
          <cell r="K1264">
            <v>6538.9250699999993</v>
          </cell>
          <cell r="L1264">
            <v>1</v>
          </cell>
          <cell r="M1264">
            <v>6883.0790210526311</v>
          </cell>
          <cell r="N1264">
            <v>7227.2329721052629</v>
          </cell>
          <cell r="O1264">
            <v>8097.7400247678015</v>
          </cell>
          <cell r="P1264">
            <v>8907.5140272445824</v>
          </cell>
          <cell r="Q1264">
            <v>1</v>
          </cell>
          <cell r="R1264">
            <v>8997.488916408669</v>
          </cell>
        </row>
        <row r="1265">
          <cell r="A1265">
            <v>4016547</v>
          </cell>
          <cell r="C1265" t="str">
            <v>BM</v>
          </cell>
          <cell r="D1265" t="str">
            <v>THERMA-STOR III-120-2</v>
          </cell>
          <cell r="E1265">
            <v>1</v>
          </cell>
          <cell r="F1265">
            <v>3909.7</v>
          </cell>
          <cell r="G1265">
            <v>5278.0950000000003</v>
          </cell>
          <cell r="H1265">
            <v>1.1499999999999999</v>
          </cell>
          <cell r="I1265">
            <v>6069.8092500000002</v>
          </cell>
          <cell r="J1265">
            <v>6191.2054350000008</v>
          </cell>
          <cell r="K1265">
            <v>7283.7711000000008</v>
          </cell>
          <cell r="L1265">
            <v>3</v>
          </cell>
          <cell r="M1265">
            <v>8569.1424705882364</v>
          </cell>
          <cell r="N1265">
            <v>8997.5995941176479</v>
          </cell>
          <cell r="O1265">
            <v>10081.344083044984</v>
          </cell>
          <cell r="P1265">
            <v>11089.478491349482</v>
          </cell>
          <cell r="Q1265">
            <v>2</v>
          </cell>
          <cell r="R1265">
            <v>11860.404803582334</v>
          </cell>
        </row>
        <row r="1266">
          <cell r="A1266">
            <v>4016975</v>
          </cell>
          <cell r="C1266" t="str">
            <v>BM</v>
          </cell>
          <cell r="D1266" t="str">
            <v>DARI-KOOL III-120-2</v>
          </cell>
          <cell r="E1266">
            <v>1</v>
          </cell>
          <cell r="F1266">
            <v>4373.04</v>
          </cell>
          <cell r="G1266">
            <v>5903.6040000000003</v>
          </cell>
          <cell r="H1266">
            <v>1.1499999999999999</v>
          </cell>
          <cell r="I1266">
            <v>6789.1445999999996</v>
          </cell>
          <cell r="J1266">
            <v>6924.9274919999998</v>
          </cell>
          <cell r="K1266">
            <v>8146.9735199999996</v>
          </cell>
          <cell r="L1266">
            <v>3</v>
          </cell>
          <cell r="M1266">
            <v>9584.6747294117649</v>
          </cell>
          <cell r="N1266">
            <v>10063.908465882354</v>
          </cell>
          <cell r="O1266">
            <v>11276.087916955017</v>
          </cell>
          <cell r="P1266">
            <v>12403.696708650519</v>
          </cell>
          <cell r="Q1266">
            <v>2</v>
          </cell>
          <cell r="R1266">
            <v>13265.985784652961</v>
          </cell>
        </row>
        <row r="1267">
          <cell r="A1267">
            <v>4025752</v>
          </cell>
          <cell r="C1267" t="str">
            <v>BM</v>
          </cell>
          <cell r="D1267" t="str">
            <v>Intercambiador de calor (COOLER,PLATE,N81SC1)</v>
          </cell>
          <cell r="E1267">
            <v>1</v>
          </cell>
          <cell r="F1267">
            <v>4973.13</v>
          </cell>
          <cell r="G1267">
            <v>6713.7255000000005</v>
          </cell>
          <cell r="H1267">
            <v>1.1499999999999999</v>
          </cell>
          <cell r="I1267">
            <v>7720.7843249999996</v>
          </cell>
          <cell r="J1267">
            <v>8377.0509926249997</v>
          </cell>
          <cell r="K1267">
            <v>10471.313740781248</v>
          </cell>
          <cell r="L1267">
            <v>1</v>
          </cell>
          <cell r="M1267">
            <v>11022.43551661184</v>
          </cell>
          <cell r="N1267">
            <v>11573.557292442432</v>
          </cell>
          <cell r="O1267">
            <v>12967.571196013931</v>
          </cell>
          <cell r="P1267">
            <v>14264.328315615325</v>
          </cell>
          <cell r="Q1267">
            <v>3</v>
          </cell>
          <cell r="R1267">
            <v>16209.463995017413</v>
          </cell>
        </row>
        <row r="1268">
          <cell r="A1268">
            <v>3562186</v>
          </cell>
          <cell r="C1268" t="str">
            <v>BM</v>
          </cell>
          <cell r="D1268" t="str">
            <v>SD BUNDLE HERD 1-200</v>
          </cell>
          <cell r="E1268">
            <v>1</v>
          </cell>
          <cell r="F1268">
            <v>5336.49</v>
          </cell>
          <cell r="G1268">
            <v>7204.2615000000005</v>
          </cell>
          <cell r="H1268">
            <v>1.1499999999999999</v>
          </cell>
          <cell r="I1268">
            <v>8284.9007249999995</v>
          </cell>
          <cell r="J1268">
            <v>8989.1172866249999</v>
          </cell>
          <cell r="K1268">
            <v>11236.396608281249</v>
          </cell>
          <cell r="L1268">
            <v>1</v>
          </cell>
          <cell r="M1268">
            <v>11827.785903453947</v>
          </cell>
          <cell r="N1268">
            <v>12419.175198626644</v>
          </cell>
          <cell r="O1268">
            <v>13915.042239357585</v>
          </cell>
          <cell r="P1268">
            <v>15306.546463293344</v>
          </cell>
          <cell r="Q1268">
            <v>3</v>
          </cell>
          <cell r="R1268">
            <v>17393.802799196979</v>
          </cell>
        </row>
        <row r="1269">
          <cell r="A1269">
            <v>4040688</v>
          </cell>
          <cell r="D1269" t="str">
            <v>CONTROL ASSY,CHILLGUARD</v>
          </cell>
          <cell r="F1269">
            <v>5756.53</v>
          </cell>
          <cell r="G1269">
            <v>7771.3155000000006</v>
          </cell>
          <cell r="H1269">
            <v>1.1499999999999999</v>
          </cell>
          <cell r="I1269">
            <v>8937.0128249999998</v>
          </cell>
          <cell r="J1269">
            <v>9696.6589151249991</v>
          </cell>
          <cell r="K1269">
            <v>12120.823643906248</v>
          </cell>
          <cell r="L1269">
            <v>1</v>
          </cell>
          <cell r="M1269">
            <v>12758.76173042763</v>
          </cell>
          <cell r="N1269">
            <v>13396.699816949013</v>
          </cell>
          <cell r="O1269">
            <v>15010.307918150153</v>
          </cell>
          <cell r="P1269">
            <v>16511.33870996517</v>
          </cell>
          <cell r="Q1269">
            <v>3</v>
          </cell>
          <cell r="R1269">
            <v>18762.884897687691</v>
          </cell>
        </row>
        <row r="1270">
          <cell r="A1270">
            <v>3562184</v>
          </cell>
          <cell r="C1270" t="str">
            <v>BM</v>
          </cell>
          <cell r="D1270" t="str">
            <v>SD BUNDLE HERD  501-1000</v>
          </cell>
          <cell r="E1270">
            <v>1</v>
          </cell>
          <cell r="F1270">
            <v>6490.93</v>
          </cell>
          <cell r="G1270">
            <v>8762.7555000000011</v>
          </cell>
          <cell r="H1270">
            <v>1.1499999999999999</v>
          </cell>
          <cell r="I1270">
            <v>10077.168825000001</v>
          </cell>
          <cell r="J1270">
            <v>10933.728175125001</v>
          </cell>
          <cell r="K1270">
            <v>13667.160218906251</v>
          </cell>
          <cell r="L1270">
            <v>1</v>
          </cell>
          <cell r="M1270">
            <v>14386.484440953949</v>
          </cell>
          <cell r="N1270">
            <v>15105.808663001648</v>
          </cell>
          <cell r="O1270">
            <v>16925.275812887001</v>
          </cell>
          <cell r="P1270">
            <v>18617.803394175702</v>
          </cell>
          <cell r="Q1270">
            <v>3</v>
          </cell>
          <cell r="R1270">
            <v>21156.594766108748</v>
          </cell>
        </row>
        <row r="1271">
          <cell r="A1271">
            <v>3562182</v>
          </cell>
          <cell r="C1271" t="str">
            <v>BM</v>
          </cell>
          <cell r="D1271" t="str">
            <v>SD BUNDLE HERD  1501 +</v>
          </cell>
          <cell r="E1271">
            <v>1</v>
          </cell>
          <cell r="F1271">
            <v>7811.83</v>
          </cell>
          <cell r="G1271">
            <v>10545.970500000001</v>
          </cell>
          <cell r="H1271">
            <v>1.1499999999999999</v>
          </cell>
          <cell r="I1271">
            <v>12127.866075</v>
          </cell>
          <cell r="J1271">
            <v>13158.734691374999</v>
          </cell>
          <cell r="K1271">
            <v>16448.418364218749</v>
          </cell>
          <cell r="L1271">
            <v>1</v>
          </cell>
          <cell r="M1271">
            <v>17314.124593914472</v>
          </cell>
          <cell r="N1271">
            <v>18179.830823610195</v>
          </cell>
          <cell r="O1271">
            <v>20369.558345781734</v>
          </cell>
          <cell r="P1271">
            <v>22406.514180359907</v>
          </cell>
          <cell r="Q1271">
            <v>3</v>
          </cell>
          <cell r="R1271">
            <v>25461.947932227165</v>
          </cell>
        </row>
        <row r="1272">
          <cell r="A1272">
            <v>8592165</v>
          </cell>
          <cell r="D1272" t="str">
            <v>PWR/COMM CABLE FEMALE 10M/30'</v>
          </cell>
          <cell r="F1272">
            <v>154.76</v>
          </cell>
          <cell r="G1272">
            <v>208.92599999999999</v>
          </cell>
          <cell r="H1272">
            <v>1</v>
          </cell>
          <cell r="I1272">
            <v>208.92599999999999</v>
          </cell>
          <cell r="J1272">
            <v>208.92599999999999</v>
          </cell>
          <cell r="K1272">
            <v>261.15749999999997</v>
          </cell>
          <cell r="L1272">
            <v>1</v>
          </cell>
          <cell r="M1272">
            <v>274.90263157894736</v>
          </cell>
          <cell r="N1272">
            <v>288.64776315789476</v>
          </cell>
          <cell r="O1272">
            <v>323.41486068111453</v>
          </cell>
          <cell r="P1272">
            <v>355.756346749226</v>
          </cell>
          <cell r="Q1272">
            <v>3</v>
          </cell>
          <cell r="R1272">
            <v>404.26857585139317</v>
          </cell>
        </row>
        <row r="1273">
          <cell r="A1273">
            <v>3557558</v>
          </cell>
          <cell r="C1273" t="str">
            <v>BM</v>
          </cell>
          <cell r="D1273" t="str">
            <v>DETACHER,4200D,HINGE,W/NIP</v>
          </cell>
          <cell r="E1273">
            <v>1</v>
          </cell>
          <cell r="F1273">
            <v>1277.8599999999999</v>
          </cell>
          <cell r="G1273">
            <v>1725.1109999999999</v>
          </cell>
          <cell r="H1273">
            <v>1.1499999999999999</v>
          </cell>
          <cell r="I1273">
            <v>1983.8776499999997</v>
          </cell>
          <cell r="J1273">
            <v>2152.5072502499997</v>
          </cell>
          <cell r="K1273">
            <v>2690.6340628124995</v>
          </cell>
          <cell r="L1273">
            <v>2</v>
          </cell>
          <cell r="M1273">
            <v>2989.5934031249994</v>
          </cell>
          <cell r="N1273">
            <v>3139.0730732812494</v>
          </cell>
          <cell r="O1273">
            <v>3517.1687095588231</v>
          </cell>
          <cell r="P1273">
            <v>3868.8855805147059</v>
          </cell>
          <cell r="Q1273">
            <v>3</v>
          </cell>
          <cell r="R1273">
            <v>4396.4608869485282</v>
          </cell>
        </row>
        <row r="1274">
          <cell r="A1274">
            <v>3562185</v>
          </cell>
          <cell r="C1274" t="str">
            <v>BM</v>
          </cell>
          <cell r="D1274" t="str">
            <v>SD BUNDLE HERD  201-500</v>
          </cell>
          <cell r="E1274">
            <v>1</v>
          </cell>
          <cell r="F1274">
            <v>5835.68</v>
          </cell>
          <cell r="G1274">
            <v>7878.1680000000006</v>
          </cell>
          <cell r="H1274">
            <v>1.1499999999999999</v>
          </cell>
          <cell r="I1274">
            <v>9059.8932000000004</v>
          </cell>
          <cell r="J1274">
            <v>9829.9841219999998</v>
          </cell>
          <cell r="K1274">
            <v>12287.480152499998</v>
          </cell>
          <cell r="L1274">
            <v>1</v>
          </cell>
          <cell r="M1274">
            <v>12934.189634210525</v>
          </cell>
          <cell r="N1274">
            <v>13580.899115921051</v>
          </cell>
          <cell r="O1274">
            <v>15216.693687306501</v>
          </cell>
          <cell r="P1274">
            <v>16738.363056037153</v>
          </cell>
          <cell r="Q1274">
            <v>3</v>
          </cell>
          <cell r="R1274">
            <v>19020.867109133123</v>
          </cell>
        </row>
        <row r="1275">
          <cell r="A1275">
            <v>8591439</v>
          </cell>
          <cell r="D1275" t="str">
            <v>BOX,CONTROL,SMARTLITE</v>
          </cell>
          <cell r="F1275">
            <v>564.61</v>
          </cell>
          <cell r="G1275">
            <v>762.22350000000006</v>
          </cell>
          <cell r="H1275">
            <v>1</v>
          </cell>
          <cell r="I1275">
            <v>762.22350000000006</v>
          </cell>
          <cell r="J1275">
            <v>762.22350000000006</v>
          </cell>
          <cell r="K1275">
            <v>952.77937500000007</v>
          </cell>
          <cell r="L1275">
            <v>1</v>
          </cell>
          <cell r="M1275">
            <v>1002.925657894737</v>
          </cell>
          <cell r="N1275">
            <v>1053.071940789474</v>
          </cell>
          <cell r="O1275">
            <v>1179.9125386996907</v>
          </cell>
          <cell r="P1275">
            <v>1297.9037925696598</v>
          </cell>
          <cell r="Q1275">
            <v>3</v>
          </cell>
          <cell r="R1275">
            <v>1474.8906733746132</v>
          </cell>
        </row>
        <row r="1276">
          <cell r="A1276">
            <v>8512007</v>
          </cell>
          <cell r="C1276" t="str">
            <v>BM</v>
          </cell>
          <cell r="D1276" t="str">
            <v>Tubo Corto(TUBE,7",PULSE,SHORT,CLR CS/100)</v>
          </cell>
          <cell r="E1276">
            <v>100</v>
          </cell>
          <cell r="F1276">
            <v>98.82</v>
          </cell>
          <cell r="G1276">
            <v>133.40700000000001</v>
          </cell>
          <cell r="H1276">
            <v>1.1499999999999999</v>
          </cell>
          <cell r="I1276">
            <v>153.41804999999999</v>
          </cell>
          <cell r="J1276">
            <v>166.45858425</v>
          </cell>
          <cell r="K1276">
            <v>208.07323031249999</v>
          </cell>
          <cell r="L1276">
            <v>3</v>
          </cell>
          <cell r="M1276">
            <v>244.79203566176469</v>
          </cell>
          <cell r="N1276">
            <v>257.03163744485295</v>
          </cell>
          <cell r="O1276">
            <v>287.99063019031138</v>
          </cell>
          <cell r="P1276">
            <v>316.78969320934254</v>
          </cell>
          <cell r="Q1276">
            <v>3</v>
          </cell>
          <cell r="R1276">
            <v>359.98828773788921</v>
          </cell>
        </row>
        <row r="1277">
          <cell r="A1277">
            <v>8501242</v>
          </cell>
          <cell r="C1277" t="str">
            <v>BM</v>
          </cell>
          <cell r="D1277" t="str">
            <v>T inox(TEE,RDCR,SS,3X3X2,CLP)</v>
          </cell>
          <cell r="E1277">
            <v>1</v>
          </cell>
          <cell r="F1277">
            <v>229.5</v>
          </cell>
          <cell r="G1277">
            <v>309.82500000000005</v>
          </cell>
          <cell r="H1277">
            <v>1.1499999999999999</v>
          </cell>
          <cell r="I1277">
            <v>356.29875000000004</v>
          </cell>
          <cell r="J1277">
            <v>386.58414375000001</v>
          </cell>
          <cell r="K1277">
            <v>483.23017968749997</v>
          </cell>
          <cell r="L1277">
            <v>1</v>
          </cell>
          <cell r="M1277">
            <v>508.66334703947365</v>
          </cell>
          <cell r="N1277">
            <v>534.09651439144739</v>
          </cell>
          <cell r="O1277">
            <v>598.42746710526308</v>
          </cell>
          <cell r="P1277">
            <v>658.27021381578948</v>
          </cell>
          <cell r="Q1277">
            <v>3</v>
          </cell>
          <cell r="R1277">
            <v>748.03433388157885</v>
          </cell>
        </row>
        <row r="1278">
          <cell r="A1278">
            <v>8500323</v>
          </cell>
          <cell r="D1278" t="str">
            <v>TEE,SS,2.5,CLP</v>
          </cell>
          <cell r="F1278">
            <v>75.48</v>
          </cell>
          <cell r="G1278">
            <v>101.89800000000001</v>
          </cell>
          <cell r="H1278">
            <v>1.1499999999999999</v>
          </cell>
          <cell r="I1278">
            <v>117.1827</v>
          </cell>
          <cell r="J1278">
            <v>127.14322949999999</v>
          </cell>
          <cell r="K1278">
            <v>158.92903687499998</v>
          </cell>
          <cell r="L1278">
            <v>1</v>
          </cell>
          <cell r="M1278">
            <v>167.29372302631577</v>
          </cell>
          <cell r="N1278">
            <v>175.65840917763157</v>
          </cell>
          <cell r="O1278">
            <v>196.81614473684209</v>
          </cell>
          <cell r="P1278">
            <v>216.49775921052631</v>
          </cell>
          <cell r="Q1278">
            <v>3</v>
          </cell>
          <cell r="R1278">
            <v>246.0201809210526</v>
          </cell>
        </row>
        <row r="1279">
          <cell r="A1279">
            <v>8507901</v>
          </cell>
          <cell r="C1279" t="str">
            <v>BM</v>
          </cell>
          <cell r="D1279" t="str">
            <v>Codo (ELBOW,90 DEG,SS,CLP,1.5)</v>
          </cell>
          <cell r="E1279">
            <v>1</v>
          </cell>
          <cell r="F1279">
            <v>25.5</v>
          </cell>
          <cell r="G1279">
            <v>34.425000000000004</v>
          </cell>
          <cell r="H1279">
            <v>1.1499999999999999</v>
          </cell>
          <cell r="I1279">
            <v>39.588750000000005</v>
          </cell>
          <cell r="J1279">
            <v>42.953793750000003</v>
          </cell>
          <cell r="K1279">
            <v>53.6922421875</v>
          </cell>
          <cell r="L1279">
            <v>1</v>
          </cell>
          <cell r="M1279">
            <v>56.518149671052633</v>
          </cell>
          <cell r="N1279">
            <v>59.344057154605267</v>
          </cell>
          <cell r="O1279">
            <v>66.491940789473688</v>
          </cell>
          <cell r="P1279">
            <v>73.141134868421062</v>
          </cell>
          <cell r="Q1279">
            <v>3</v>
          </cell>
          <cell r="R1279">
            <v>83.11492598684211</v>
          </cell>
        </row>
        <row r="1280">
          <cell r="A1280">
            <v>8507954</v>
          </cell>
          <cell r="C1280" t="str">
            <v>BM</v>
          </cell>
          <cell r="D1280" t="str">
            <v>Codo (ELBOW,90 DEG,SS,CLP,2)</v>
          </cell>
          <cell r="E1280">
            <v>1</v>
          </cell>
          <cell r="F1280">
            <v>31.81</v>
          </cell>
          <cell r="G1280">
            <v>42.9435</v>
          </cell>
          <cell r="H1280">
            <v>1.1499999999999999</v>
          </cell>
          <cell r="I1280">
            <v>49.385024999999999</v>
          </cell>
          <cell r="J1280">
            <v>53.582752124999999</v>
          </cell>
          <cell r="K1280">
            <v>66.978440156249988</v>
          </cell>
          <cell r="L1280">
            <v>1</v>
          </cell>
          <cell r="M1280">
            <v>70.503621217105248</v>
          </cell>
          <cell r="N1280">
            <v>74.028802277960509</v>
          </cell>
          <cell r="O1280">
            <v>82.945436726006179</v>
          </cell>
          <cell r="P1280">
            <v>91.239980398606804</v>
          </cell>
          <cell r="Q1280">
            <v>3</v>
          </cell>
          <cell r="R1280">
            <v>103.68179590750772</v>
          </cell>
        </row>
        <row r="1281">
          <cell r="A1281">
            <v>8500320</v>
          </cell>
          <cell r="C1281" t="str">
            <v>BM</v>
          </cell>
          <cell r="D1281" t="str">
            <v>Codo (ELBOW,90 DEG,SS,CLP,2.5)</v>
          </cell>
          <cell r="E1281">
            <v>1</v>
          </cell>
          <cell r="F1281">
            <v>44.88</v>
          </cell>
          <cell r="G1281">
            <v>60.588000000000008</v>
          </cell>
          <cell r="H1281">
            <v>1.1499999999999999</v>
          </cell>
          <cell r="I1281">
            <v>69.676200000000009</v>
          </cell>
          <cell r="J1281">
            <v>75.598677000000009</v>
          </cell>
          <cell r="K1281">
            <v>94.498346250000012</v>
          </cell>
          <cell r="L1281">
            <v>2</v>
          </cell>
          <cell r="M1281">
            <v>104.99816250000001</v>
          </cell>
          <cell r="N1281">
            <v>110.24807062500001</v>
          </cell>
          <cell r="O1281">
            <v>123.52725000000001</v>
          </cell>
          <cell r="P1281">
            <v>135.87997500000003</v>
          </cell>
          <cell r="Q1281">
            <v>3</v>
          </cell>
          <cell r="R1281">
            <v>154.4090625</v>
          </cell>
        </row>
        <row r="1282">
          <cell r="A1282">
            <v>8500321</v>
          </cell>
          <cell r="C1282" t="str">
            <v>BM</v>
          </cell>
          <cell r="D1282" t="str">
            <v>Codo (ELBOW,90 DEG,SS,CLP,3)</v>
          </cell>
          <cell r="E1282">
            <v>1</v>
          </cell>
          <cell r="F1282">
            <v>56.1</v>
          </cell>
          <cell r="G1282">
            <v>75.735000000000014</v>
          </cell>
          <cell r="H1282">
            <v>1.1499999999999999</v>
          </cell>
          <cell r="I1282">
            <v>87.095250000000007</v>
          </cell>
          <cell r="J1282">
            <v>94.498346250000012</v>
          </cell>
          <cell r="K1282">
            <v>118.12293281250001</v>
          </cell>
          <cell r="L1282">
            <v>1</v>
          </cell>
          <cell r="M1282">
            <v>124.3399292763158</v>
          </cell>
          <cell r="N1282">
            <v>130.55692574013159</v>
          </cell>
          <cell r="O1282">
            <v>146.28226973684212</v>
          </cell>
          <cell r="P1282">
            <v>160.91049671052636</v>
          </cell>
          <cell r="Q1282">
            <v>3</v>
          </cell>
          <cell r="R1282">
            <v>182.85283717105264</v>
          </cell>
        </row>
        <row r="1283">
          <cell r="A1283">
            <v>8500350</v>
          </cell>
          <cell r="C1283" t="str">
            <v>BM</v>
          </cell>
          <cell r="D1283" t="str">
            <v>Reductor(REDUCER,CONC,SS,CLP,3 X 2)</v>
          </cell>
          <cell r="E1283">
            <v>1</v>
          </cell>
          <cell r="F1283">
            <v>65.239999999999995</v>
          </cell>
          <cell r="G1283">
            <v>88.073999999999998</v>
          </cell>
          <cell r="H1283">
            <v>1.1499999999999999</v>
          </cell>
          <cell r="I1283">
            <v>101.28509999999999</v>
          </cell>
          <cell r="J1283">
            <v>109.89433349999999</v>
          </cell>
          <cell r="K1283">
            <v>137.36791687499996</v>
          </cell>
          <cell r="L1283">
            <v>1</v>
          </cell>
          <cell r="M1283">
            <v>144.59780723684207</v>
          </cell>
          <cell r="N1283">
            <v>151.82769759868418</v>
          </cell>
          <cell r="O1283">
            <v>170.11506733746126</v>
          </cell>
          <cell r="P1283">
            <v>187.12657407120739</v>
          </cell>
          <cell r="Q1283">
            <v>3</v>
          </cell>
          <cell r="R1283">
            <v>212.64383417182657</v>
          </cell>
        </row>
        <row r="1284">
          <cell r="A1284">
            <v>8519958</v>
          </cell>
          <cell r="C1284" t="str">
            <v>BM</v>
          </cell>
          <cell r="D1284" t="str">
            <v>Junta de goma ferula(GASKET,TRI-CLAMP,FLG,4.0"</v>
          </cell>
          <cell r="E1284">
            <v>1</v>
          </cell>
          <cell r="F1284">
            <v>3.48</v>
          </cell>
          <cell r="G1284">
            <v>4.6980000000000004</v>
          </cell>
          <cell r="H1284">
            <v>1.1499999999999999</v>
          </cell>
          <cell r="I1284">
            <v>5.4027000000000003</v>
          </cell>
          <cell r="J1284">
            <v>5.8619295000000005</v>
          </cell>
          <cell r="K1284">
            <v>7.3274118750000001</v>
          </cell>
          <cell r="L1284">
            <v>1</v>
          </cell>
          <cell r="M1284">
            <v>7.713065131578948</v>
          </cell>
          <cell r="N1284">
            <v>8.098718388157895</v>
          </cell>
          <cell r="O1284">
            <v>9.0741942724458209</v>
          </cell>
          <cell r="P1284">
            <v>9.9816136996904046</v>
          </cell>
          <cell r="Q1284">
            <v>3</v>
          </cell>
          <cell r="R1284">
            <v>11.342742840557275</v>
          </cell>
        </row>
        <row r="1285">
          <cell r="A1285">
            <v>8500860</v>
          </cell>
          <cell r="C1285" t="str">
            <v>BM</v>
          </cell>
          <cell r="D1285" t="str">
            <v>Codo (ELBOW,45 DEG,SS,CLP,4)</v>
          </cell>
          <cell r="E1285">
            <v>1</v>
          </cell>
          <cell r="F1285">
            <v>106.08</v>
          </cell>
          <cell r="G1285">
            <v>143.208</v>
          </cell>
          <cell r="H1285">
            <v>1.1499999999999999</v>
          </cell>
          <cell r="I1285">
            <v>164.6892</v>
          </cell>
          <cell r="J1285">
            <v>178.687782</v>
          </cell>
          <cell r="K1285">
            <v>223.35972749999999</v>
          </cell>
          <cell r="L1285">
            <v>1</v>
          </cell>
          <cell r="M1285">
            <v>235.11550263157895</v>
          </cell>
          <cell r="N1285">
            <v>246.87127776315791</v>
          </cell>
          <cell r="O1285">
            <v>276.60647368421053</v>
          </cell>
          <cell r="P1285">
            <v>304.26712105263158</v>
          </cell>
          <cell r="Q1285">
            <v>3</v>
          </cell>
          <cell r="R1285">
            <v>345.75809210526313</v>
          </cell>
        </row>
        <row r="1286">
          <cell r="A1286">
            <v>8507902</v>
          </cell>
          <cell r="C1286" t="str">
            <v>BM</v>
          </cell>
          <cell r="D1286" t="str">
            <v>Codo(ELBOW,45 DEG,SS,CLP,1.5)</v>
          </cell>
          <cell r="E1286">
            <v>1</v>
          </cell>
          <cell r="F1286">
            <v>25.5</v>
          </cell>
          <cell r="G1286">
            <v>34.425000000000004</v>
          </cell>
          <cell r="H1286">
            <v>1.1499999999999999</v>
          </cell>
          <cell r="I1286">
            <v>39.588750000000005</v>
          </cell>
          <cell r="J1286">
            <v>42.953793750000003</v>
          </cell>
          <cell r="K1286">
            <v>53.6922421875</v>
          </cell>
          <cell r="L1286">
            <v>1</v>
          </cell>
          <cell r="M1286">
            <v>56.518149671052633</v>
          </cell>
          <cell r="N1286">
            <v>59.344057154605267</v>
          </cell>
          <cell r="O1286">
            <v>66.491940789473688</v>
          </cell>
          <cell r="P1286">
            <v>73.141134868421062</v>
          </cell>
          <cell r="Q1286">
            <v>3</v>
          </cell>
          <cell r="R1286">
            <v>83.11492598684211</v>
          </cell>
        </row>
        <row r="1287">
          <cell r="A1287">
            <v>8507908</v>
          </cell>
          <cell r="C1287" t="str">
            <v>BM</v>
          </cell>
          <cell r="D1287" t="str">
            <v>Tapon inox. Final (CAP,END,SS 1.5 IN.)</v>
          </cell>
          <cell r="E1287">
            <v>1</v>
          </cell>
          <cell r="F1287">
            <v>4.59</v>
          </cell>
          <cell r="G1287">
            <v>6.1965000000000003</v>
          </cell>
          <cell r="H1287">
            <v>1.1499999999999999</v>
          </cell>
          <cell r="I1287">
            <v>7.1259749999999995</v>
          </cell>
          <cell r="J1287">
            <v>7.7316828749999988</v>
          </cell>
          <cell r="K1287">
            <v>9.6646035937499981</v>
          </cell>
          <cell r="L1287">
            <v>1</v>
          </cell>
          <cell r="M1287">
            <v>10.173266940789473</v>
          </cell>
          <cell r="N1287">
            <v>10.681930287828948</v>
          </cell>
          <cell r="O1287">
            <v>11.968549342105263</v>
          </cell>
          <cell r="P1287">
            <v>13.16540427631579</v>
          </cell>
          <cell r="Q1287">
            <v>3</v>
          </cell>
          <cell r="R1287">
            <v>14.960686677631578</v>
          </cell>
        </row>
        <row r="1288">
          <cell r="A1288">
            <v>8500862</v>
          </cell>
          <cell r="C1288" t="str">
            <v>BM</v>
          </cell>
          <cell r="D1288" t="str">
            <v>Reductor (REDUCER,CONC,SS,CLP,4 X 3)</v>
          </cell>
          <cell r="E1288">
            <v>1</v>
          </cell>
          <cell r="F1288">
            <v>96.9</v>
          </cell>
          <cell r="G1288">
            <v>130.81500000000003</v>
          </cell>
          <cell r="H1288">
            <v>1.1499999999999999</v>
          </cell>
          <cell r="I1288">
            <v>150.43725000000001</v>
          </cell>
          <cell r="J1288">
            <v>163.22441624999999</v>
          </cell>
          <cell r="K1288">
            <v>204.03052031249999</v>
          </cell>
          <cell r="L1288">
            <v>1</v>
          </cell>
          <cell r="M1288">
            <v>214.76896875</v>
          </cell>
          <cell r="N1288">
            <v>225.50741718750001</v>
          </cell>
          <cell r="O1288">
            <v>252.669375</v>
          </cell>
          <cell r="P1288">
            <v>277.93631250000004</v>
          </cell>
          <cell r="Q1288">
            <v>3</v>
          </cell>
          <cell r="R1288">
            <v>315.83671874999999</v>
          </cell>
        </row>
        <row r="1289">
          <cell r="A1289">
            <v>8500859</v>
          </cell>
          <cell r="C1289" t="str">
            <v>BM</v>
          </cell>
          <cell r="D1289" t="str">
            <v>Codo (ELBOW,90 DEG,SS,CLP,4)</v>
          </cell>
          <cell r="E1289">
            <v>1</v>
          </cell>
          <cell r="F1289">
            <v>86.7</v>
          </cell>
          <cell r="G1289">
            <v>117.04500000000002</v>
          </cell>
          <cell r="H1289">
            <v>1.1499999999999999</v>
          </cell>
          <cell r="I1289">
            <v>134.60175000000001</v>
          </cell>
          <cell r="J1289">
            <v>146.04289875000001</v>
          </cell>
          <cell r="K1289">
            <v>182.55362343749999</v>
          </cell>
          <cell r="L1289">
            <v>1</v>
          </cell>
          <cell r="M1289">
            <v>192.16170888157896</v>
          </cell>
          <cell r="N1289">
            <v>201.76979432565793</v>
          </cell>
          <cell r="O1289">
            <v>226.07259868421056</v>
          </cell>
          <cell r="P1289">
            <v>248.67985855263163</v>
          </cell>
          <cell r="Q1289">
            <v>3</v>
          </cell>
          <cell r="R1289">
            <v>282.5907483552632</v>
          </cell>
        </row>
        <row r="1290">
          <cell r="A1290">
            <v>8507956</v>
          </cell>
          <cell r="C1290" t="str">
            <v>BM</v>
          </cell>
          <cell r="D1290" t="str">
            <v xml:space="preserve"> T inox(TEE,SS,2.0,CLP)</v>
          </cell>
          <cell r="E1290">
            <v>1</v>
          </cell>
          <cell r="F1290">
            <v>69.36</v>
          </cell>
          <cell r="G1290">
            <v>93.63600000000001</v>
          </cell>
          <cell r="H1290">
            <v>1.1499999999999999</v>
          </cell>
          <cell r="I1290">
            <v>107.6814</v>
          </cell>
          <cell r="J1290">
            <v>116.83431899999999</v>
          </cell>
          <cell r="K1290">
            <v>146.04289874999998</v>
          </cell>
          <cell r="L1290">
            <v>1</v>
          </cell>
          <cell r="M1290">
            <v>153.72936710526315</v>
          </cell>
          <cell r="N1290">
            <v>161.41583546052632</v>
          </cell>
          <cell r="O1290">
            <v>180.85807894736843</v>
          </cell>
          <cell r="P1290">
            <v>198.94388684210529</v>
          </cell>
          <cell r="Q1290">
            <v>3</v>
          </cell>
          <cell r="R1290">
            <v>226.07259868421053</v>
          </cell>
        </row>
        <row r="1291">
          <cell r="A1291">
            <v>8500559</v>
          </cell>
          <cell r="C1291" t="str">
            <v>BM</v>
          </cell>
          <cell r="D1291" t="str">
            <v>Tapon inox. Final (CAP,END,SS,2-1/2 IN.)</v>
          </cell>
          <cell r="E1291">
            <v>1</v>
          </cell>
          <cell r="F1291">
            <v>7.14</v>
          </cell>
          <cell r="G1291">
            <v>9.6389999999999993</v>
          </cell>
          <cell r="H1291">
            <v>1.1499999999999999</v>
          </cell>
          <cell r="I1291">
            <v>11.084849999999998</v>
          </cell>
          <cell r="J1291">
            <v>12.027062249999997</v>
          </cell>
          <cell r="K1291">
            <v>15.033827812499995</v>
          </cell>
          <cell r="L1291">
            <v>1</v>
          </cell>
          <cell r="M1291">
            <v>15.825081907894733</v>
          </cell>
          <cell r="N1291">
            <v>16.616336003289469</v>
          </cell>
          <cell r="O1291">
            <v>18.617743421052626</v>
          </cell>
          <cell r="P1291">
            <v>20.47951776315789</v>
          </cell>
          <cell r="Q1291">
            <v>3</v>
          </cell>
          <cell r="R1291">
            <v>23.272179276315782</v>
          </cell>
        </row>
        <row r="1399">
          <cell r="A1399" t="str">
            <v>xx</v>
          </cell>
          <cell r="B1399" t="str">
            <v>xx</v>
          </cell>
          <cell r="C1399" t="str">
            <v>xx</v>
          </cell>
          <cell r="D1399" t="str">
            <v>xx</v>
          </cell>
          <cell r="E1399" t="str">
            <v>xx</v>
          </cell>
          <cell r="F1399" t="str">
            <v>xx</v>
          </cell>
          <cell r="G1399" t="str">
            <v>xx</v>
          </cell>
          <cell r="H1399" t="str">
            <v>xx</v>
          </cell>
          <cell r="I1399" t="str">
            <v>xx</v>
          </cell>
          <cell r="J1399" t="str">
            <v>xx</v>
          </cell>
          <cell r="K1399" t="str">
            <v>xx</v>
          </cell>
          <cell r="L1399" t="str">
            <v>xx</v>
          </cell>
          <cell r="M1399" t="str">
            <v>xx</v>
          </cell>
          <cell r="O1399" t="str">
            <v>xx</v>
          </cell>
          <cell r="P1399" t="str">
            <v>xx</v>
          </cell>
          <cell r="Q1399" t="str">
            <v>xx</v>
          </cell>
          <cell r="R1399" t="str">
            <v>xx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13" Type="http://schemas.openxmlformats.org/officeDocument/2006/relationships/ctrlProp" Target="../ctrlProps/ctrlProp30.xml"/><Relationship Id="rId18" Type="http://schemas.openxmlformats.org/officeDocument/2006/relationships/ctrlProp" Target="../ctrlProps/ctrlProp3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8.x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17" Type="http://schemas.openxmlformats.org/officeDocument/2006/relationships/ctrlProp" Target="../ctrlProps/ctrlProp3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3.xml"/><Relationship Id="rId20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5" Type="http://schemas.openxmlformats.org/officeDocument/2006/relationships/ctrlProp" Target="../ctrlProps/ctrlProp32.xml"/><Relationship Id="rId10" Type="http://schemas.openxmlformats.org/officeDocument/2006/relationships/ctrlProp" Target="../ctrlProps/ctrlProp27.xml"/><Relationship Id="rId19" Type="http://schemas.openxmlformats.org/officeDocument/2006/relationships/ctrlProp" Target="../ctrlProps/ctrlProp36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Relationship Id="rId14" Type="http://schemas.openxmlformats.org/officeDocument/2006/relationships/ctrlProp" Target="../ctrlProps/ctrlProp31.xml"/><Relationship Id="rId22" Type="http://schemas.openxmlformats.org/officeDocument/2006/relationships/ctrlProp" Target="../ctrlProps/ctrlProp3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ctrlProp" Target="../ctrlProps/ctrlProp48.x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.xml"/><Relationship Id="rId3" Type="http://schemas.openxmlformats.org/officeDocument/2006/relationships/ctrlProp" Target="../ctrlProps/ctrlProp73.xml"/><Relationship Id="rId7" Type="http://schemas.openxmlformats.org/officeDocument/2006/relationships/ctrlProp" Target="../ctrlProps/ctrlProp7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76.xml"/><Relationship Id="rId5" Type="http://schemas.openxmlformats.org/officeDocument/2006/relationships/ctrlProp" Target="../ctrlProps/ctrlProp75.xml"/><Relationship Id="rId10" Type="http://schemas.openxmlformats.org/officeDocument/2006/relationships/ctrlProp" Target="../ctrlProps/ctrlProp80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ctrlProp" Target="../ctrlProps/ctrlProp81.xml"/><Relationship Id="rId7" Type="http://schemas.openxmlformats.org/officeDocument/2006/relationships/ctrlProp" Target="../ctrlProps/ctrlProp8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5" Type="http://schemas.openxmlformats.org/officeDocument/2006/relationships/ctrlProp" Target="../ctrlProps/ctrlProp83.xml"/><Relationship Id="rId10" Type="http://schemas.openxmlformats.org/officeDocument/2006/relationships/ctrlProp" Target="../ctrlProps/ctrlProp88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13" Type="http://schemas.openxmlformats.org/officeDocument/2006/relationships/ctrlProp" Target="../ctrlProps/ctrlProp101.xml"/><Relationship Id="rId3" Type="http://schemas.openxmlformats.org/officeDocument/2006/relationships/ctrlProp" Target="../ctrlProps/ctrlProp91.xml"/><Relationship Id="rId7" Type="http://schemas.openxmlformats.org/officeDocument/2006/relationships/ctrlProp" Target="../ctrlProps/ctrlProp95.xml"/><Relationship Id="rId12" Type="http://schemas.openxmlformats.org/officeDocument/2006/relationships/ctrlProp" Target="../ctrlProps/ctrlProp10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94.xml"/><Relationship Id="rId11" Type="http://schemas.openxmlformats.org/officeDocument/2006/relationships/ctrlProp" Target="../ctrlProps/ctrlProp99.xml"/><Relationship Id="rId5" Type="http://schemas.openxmlformats.org/officeDocument/2006/relationships/ctrlProp" Target="../ctrlProps/ctrlProp93.xml"/><Relationship Id="rId15" Type="http://schemas.openxmlformats.org/officeDocument/2006/relationships/ctrlProp" Target="../ctrlProps/ctrlProp103.xml"/><Relationship Id="rId10" Type="http://schemas.openxmlformats.org/officeDocument/2006/relationships/ctrlProp" Target="../ctrlProps/ctrlProp98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Relationship Id="rId14" Type="http://schemas.openxmlformats.org/officeDocument/2006/relationships/ctrlProp" Target="../ctrlProps/ctrlProp10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8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0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06.xml"/><Relationship Id="rId5" Type="http://schemas.openxmlformats.org/officeDocument/2006/relationships/ctrlProp" Target="../ctrlProps/ctrlProp105.xml"/><Relationship Id="rId10" Type="http://schemas.openxmlformats.org/officeDocument/2006/relationships/ctrlProp" Target="../ctrlProps/ctrlProp110.xml"/><Relationship Id="rId4" Type="http://schemas.openxmlformats.org/officeDocument/2006/relationships/ctrlProp" Target="../ctrlProps/ctrlProp104.xml"/><Relationship Id="rId9" Type="http://schemas.openxmlformats.org/officeDocument/2006/relationships/ctrlProp" Target="../ctrlProps/ctrlProp10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6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1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14.xml"/><Relationship Id="rId11" Type="http://schemas.openxmlformats.org/officeDocument/2006/relationships/ctrlProp" Target="../ctrlProps/ctrlProp119.xml"/><Relationship Id="rId5" Type="http://schemas.openxmlformats.org/officeDocument/2006/relationships/ctrlProp" Target="../ctrlProps/ctrlProp113.xml"/><Relationship Id="rId10" Type="http://schemas.openxmlformats.org/officeDocument/2006/relationships/ctrlProp" Target="../ctrlProps/ctrlProp118.xml"/><Relationship Id="rId4" Type="http://schemas.openxmlformats.org/officeDocument/2006/relationships/ctrlProp" Target="../ctrlProps/ctrlProp112.xml"/><Relationship Id="rId9" Type="http://schemas.openxmlformats.org/officeDocument/2006/relationships/ctrlProp" Target="../ctrlProps/ctrlProp1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E8DA2-3262-4AFE-BCA8-2E880DEFD1EA}">
  <sheetPr codeName="Sheet9">
    <pageSetUpPr fitToPage="1"/>
  </sheetPr>
  <dimension ref="A2:L386"/>
  <sheetViews>
    <sheetView topLeftCell="A46" zoomScale="85" zoomScaleNormal="85" workbookViewId="0">
      <selection activeCell="A329" sqref="A329"/>
    </sheetView>
  </sheetViews>
  <sheetFormatPr baseColWidth="10" defaultColWidth="8.7109375" defaultRowHeight="15" x14ac:dyDescent="0.25"/>
  <cols>
    <col min="1" max="1" width="13.140625" customWidth="1"/>
    <col min="2" max="2" width="77.5703125" bestFit="1" customWidth="1"/>
    <col min="3" max="3" width="5.85546875" bestFit="1" customWidth="1"/>
    <col min="4" max="4" width="8.28515625" style="87" bestFit="1" customWidth="1"/>
    <col min="5" max="5" width="12.7109375" style="87" customWidth="1"/>
    <col min="10" max="10" width="31.28515625" bestFit="1" customWidth="1"/>
  </cols>
  <sheetData>
    <row r="2" spans="1:5" x14ac:dyDescent="0.25">
      <c r="A2" s="160"/>
      <c r="B2" s="160"/>
      <c r="C2" s="160"/>
      <c r="D2" s="245"/>
      <c r="E2" s="245"/>
    </row>
    <row r="3" spans="1:5" x14ac:dyDescent="0.25">
      <c r="A3" s="160"/>
      <c r="B3" s="161" t="s">
        <v>1883</v>
      </c>
      <c r="C3" s="160"/>
      <c r="D3" s="245"/>
      <c r="E3" s="245"/>
    </row>
    <row r="4" spans="1:5" x14ac:dyDescent="0.25">
      <c r="A4" s="160"/>
      <c r="B4" s="161" t="s">
        <v>1884</v>
      </c>
      <c r="C4" s="160"/>
      <c r="D4" s="245"/>
      <c r="E4" s="245"/>
    </row>
    <row r="5" spans="1:5" x14ac:dyDescent="0.25">
      <c r="A5" s="160"/>
      <c r="B5" s="160"/>
      <c r="C5" s="160"/>
      <c r="D5" s="245"/>
      <c r="E5" s="245"/>
    </row>
    <row r="6" spans="1:5" x14ac:dyDescent="0.25">
      <c r="A6" s="160"/>
      <c r="B6" s="160"/>
      <c r="C6" s="160"/>
      <c r="D6" s="245"/>
      <c r="E6" s="245"/>
    </row>
    <row r="7" spans="1:5" x14ac:dyDescent="0.25">
      <c r="A7" s="160"/>
      <c r="B7" s="160"/>
      <c r="C7" s="160"/>
      <c r="D7" s="245"/>
      <c r="E7" s="245"/>
    </row>
    <row r="8" spans="1:5" x14ac:dyDescent="0.25">
      <c r="A8" s="160"/>
      <c r="B8" s="160"/>
      <c r="C8" s="160"/>
      <c r="D8" s="245"/>
      <c r="E8" s="245"/>
    </row>
    <row r="9" spans="1:5" x14ac:dyDescent="0.25">
      <c r="A9" s="441" t="s">
        <v>1885</v>
      </c>
      <c r="B9" s="442"/>
      <c r="C9" s="442"/>
      <c r="D9" s="442"/>
      <c r="E9" s="443"/>
    </row>
    <row r="10" spans="1:5" x14ac:dyDescent="0.25">
      <c r="A10" s="162" t="s">
        <v>1834</v>
      </c>
      <c r="B10" s="162" t="s">
        <v>1829</v>
      </c>
      <c r="C10" s="162" t="s">
        <v>1886</v>
      </c>
      <c r="D10" s="246" t="s">
        <v>1887</v>
      </c>
      <c r="E10" s="246" t="s">
        <v>1888</v>
      </c>
    </row>
    <row r="11" spans="1:5" x14ac:dyDescent="0.25">
      <c r="A11" s="163">
        <v>8582767</v>
      </c>
      <c r="B11" s="164" t="s">
        <v>461</v>
      </c>
      <c r="C11" s="163">
        <v>1</v>
      </c>
      <c r="D11" s="247">
        <f>+VLOOKUP(A11,Base!$A$5:$E$1610,4,FALSE)</f>
        <v>6602.8838876644741</v>
      </c>
      <c r="E11" s="247">
        <f>+VLOOKUP(A11,Base!$A$5:$F$1610,5,FALSE)</f>
        <v>8253.6048595805914</v>
      </c>
    </row>
    <row r="12" spans="1:5" x14ac:dyDescent="0.25">
      <c r="A12" s="163">
        <v>8582765</v>
      </c>
      <c r="B12" s="164" t="s">
        <v>459</v>
      </c>
      <c r="C12" s="163">
        <v>1</v>
      </c>
      <c r="D12" s="247">
        <f>+VLOOKUP(A12,Base!$A$5:$E$1610,4,FALSE)</f>
        <v>8469.6566891447383</v>
      </c>
      <c r="E12" s="247">
        <f>+VLOOKUP(A12,Base!$A$5:$F$1610,5,FALSE)</f>
        <v>10587.070861430922</v>
      </c>
    </row>
    <row r="13" spans="1:5" x14ac:dyDescent="0.25">
      <c r="A13" s="163">
        <v>8582766</v>
      </c>
      <c r="B13" s="164" t="s">
        <v>460</v>
      </c>
      <c r="C13" s="163">
        <v>1</v>
      </c>
      <c r="D13" s="247">
        <f>+VLOOKUP(A13,Base!$A$5:$E$1610,4,FALSE)</f>
        <v>9203.1755432565806</v>
      </c>
      <c r="E13" s="247">
        <f>+VLOOKUP(A13,Base!$A$5:$F$1610,5,FALSE)</f>
        <v>11503.969429070725</v>
      </c>
    </row>
    <row r="14" spans="1:5" x14ac:dyDescent="0.25">
      <c r="A14" s="444" t="s">
        <v>1889</v>
      </c>
      <c r="B14" s="445"/>
      <c r="C14" s="445"/>
      <c r="D14" s="445"/>
      <c r="E14" s="446"/>
    </row>
    <row r="15" spans="1:5" x14ac:dyDescent="0.25">
      <c r="A15" s="164"/>
      <c r="B15" s="164"/>
      <c r="C15" s="164"/>
      <c r="D15" s="248"/>
      <c r="E15" s="248"/>
    </row>
    <row r="16" spans="1:5" x14ac:dyDescent="0.25">
      <c r="A16" s="163">
        <v>8517751</v>
      </c>
      <c r="B16" s="164" t="s">
        <v>422</v>
      </c>
      <c r="C16" s="163">
        <v>1</v>
      </c>
      <c r="D16" s="247">
        <f>+VLOOKUP(A16,Base!$A$5:$E$1610,4,FALSE)</f>
        <v>2340.3447926575082</v>
      </c>
      <c r="E16" s="247">
        <f>+VLOOKUP(A16,Base!$A$5:$F$1610,5,FALSE)</f>
        <v>2925.4309908218852</v>
      </c>
    </row>
    <row r="17" spans="1:10" x14ac:dyDescent="0.25">
      <c r="A17" s="163">
        <v>8517752</v>
      </c>
      <c r="B17" s="164" t="s">
        <v>423</v>
      </c>
      <c r="C17" s="163">
        <v>1</v>
      </c>
      <c r="D17" s="247">
        <f>+VLOOKUP(A17,Base!$A$5:$E$1610,4,FALSE)</f>
        <v>3665.6615828173385</v>
      </c>
      <c r="E17" s="247">
        <f>+VLOOKUP(A17,Base!$A$5:$F$1610,5,FALSE)</f>
        <v>4582.0769785216726</v>
      </c>
    </row>
    <row r="18" spans="1:10" x14ac:dyDescent="0.25">
      <c r="A18" s="163">
        <v>8517753</v>
      </c>
      <c r="B18" s="164" t="s">
        <v>424</v>
      </c>
      <c r="C18" s="163">
        <v>1</v>
      </c>
      <c r="D18" s="247">
        <f>+VLOOKUP(A18,Base!$A$5:$E$1610,4,FALSE)</f>
        <v>3734.5002979876167</v>
      </c>
      <c r="E18" s="247">
        <f>+VLOOKUP(A18,Base!$A$5:$F$1610,5,FALSE)</f>
        <v>4668.125372484521</v>
      </c>
    </row>
    <row r="19" spans="1:10" x14ac:dyDescent="0.25">
      <c r="A19" s="447" t="s">
        <v>1890</v>
      </c>
      <c r="B19" s="448"/>
      <c r="C19" s="448"/>
      <c r="D19" s="448"/>
      <c r="E19" s="449"/>
    </row>
    <row r="20" spans="1:10" x14ac:dyDescent="0.25">
      <c r="A20" s="164"/>
      <c r="B20" s="164"/>
      <c r="C20" s="164"/>
      <c r="D20" s="248"/>
      <c r="E20" s="248"/>
      <c r="J20" t="s">
        <v>1837</v>
      </c>
    </row>
    <row r="21" spans="1:10" x14ac:dyDescent="0.25">
      <c r="A21" s="163">
        <v>8502366</v>
      </c>
      <c r="B21" s="164" t="s">
        <v>269</v>
      </c>
      <c r="C21" s="163">
        <v>1</v>
      </c>
      <c r="D21" s="247">
        <f>+VLOOKUP(A21,Base!$A$5:$E$1610,4,FALSE)</f>
        <v>81.745974264705879</v>
      </c>
      <c r="E21" s="247">
        <f>+VLOOKUP(A21,Base!$A$5:$F$1610,5,FALSE)</f>
        <v>102.18246783088235</v>
      </c>
    </row>
    <row r="22" spans="1:10" x14ac:dyDescent="0.25">
      <c r="A22" s="163">
        <v>8518111</v>
      </c>
      <c r="B22" s="164" t="s">
        <v>428</v>
      </c>
      <c r="C22" s="163">
        <v>1</v>
      </c>
      <c r="D22" s="247">
        <f>+VLOOKUP(A22,Base!$A$5:$E$1610,4,FALSE)</f>
        <v>177.46829373065015</v>
      </c>
      <c r="E22" s="247">
        <f>+VLOOKUP(A22,Base!$A$5:$F$1610,5,FALSE)</f>
        <v>221.83536716331267</v>
      </c>
    </row>
    <row r="23" spans="1:10" x14ac:dyDescent="0.25">
      <c r="A23" s="163">
        <v>8502367</v>
      </c>
      <c r="B23" s="164" t="s">
        <v>270</v>
      </c>
      <c r="C23" s="163">
        <v>1</v>
      </c>
      <c r="D23" s="247">
        <f>+VLOOKUP(A23,Base!$A$5:$E$1610,4,FALSE)</f>
        <v>177.46829373065015</v>
      </c>
      <c r="E23" s="247">
        <f>+VLOOKUP(A23,Base!$A$5:$F$1610,5,FALSE)</f>
        <v>221.83536716331267</v>
      </c>
    </row>
    <row r="24" spans="1:10" x14ac:dyDescent="0.25">
      <c r="A24" s="163">
        <v>8519332</v>
      </c>
      <c r="B24" s="164" t="s">
        <v>438</v>
      </c>
      <c r="C24" s="163">
        <v>1</v>
      </c>
      <c r="D24" s="247">
        <f>+VLOOKUP(A24,Base!$A$5:$E$1610,4,FALSE)</f>
        <v>115.04988970588235</v>
      </c>
      <c r="E24" s="247">
        <f>+VLOOKUP(A24,Base!$A$5:$F$1610,5,FALSE)</f>
        <v>143.81236213235292</v>
      </c>
    </row>
    <row r="25" spans="1:10" x14ac:dyDescent="0.25">
      <c r="A25" s="163">
        <v>8519333</v>
      </c>
      <c r="B25" s="164" t="s">
        <v>439</v>
      </c>
      <c r="C25" s="163">
        <v>1</v>
      </c>
      <c r="D25" s="247">
        <f>+VLOOKUP(A25,Base!$A$5:$E$1610,4,FALSE)</f>
        <v>121.10514705882352</v>
      </c>
      <c r="E25" s="247">
        <f>+VLOOKUP(A25,Base!$A$5:$F$1610,5,FALSE)</f>
        <v>151.38143382352939</v>
      </c>
    </row>
    <row r="26" spans="1:10" x14ac:dyDescent="0.25">
      <c r="A26" s="163">
        <v>8519334</v>
      </c>
      <c r="B26" s="164" t="s">
        <v>440</v>
      </c>
      <c r="C26" s="163">
        <v>1</v>
      </c>
      <c r="D26" s="247">
        <f>+VLOOKUP(A26,Base!$A$5:$E$1610,4,FALSE)</f>
        <v>370.03416931114549</v>
      </c>
      <c r="E26" s="247">
        <f>+VLOOKUP(A26,Base!$A$5:$F$1610,5,FALSE)</f>
        <v>462.54271163893185</v>
      </c>
    </row>
    <row r="27" spans="1:10" x14ac:dyDescent="0.25">
      <c r="A27" s="447" t="s">
        <v>1891</v>
      </c>
      <c r="B27" s="448"/>
      <c r="C27" s="448"/>
      <c r="D27" s="448"/>
      <c r="E27" s="449"/>
    </row>
    <row r="28" spans="1:10" x14ac:dyDescent="0.25">
      <c r="A28" s="166"/>
      <c r="B28" s="167"/>
      <c r="C28" s="167"/>
      <c r="D28" s="249"/>
      <c r="E28" s="250"/>
    </row>
    <row r="29" spans="1:10" x14ac:dyDescent="0.25">
      <c r="A29" s="163">
        <v>8516146</v>
      </c>
      <c r="B29" s="164" t="s">
        <v>403</v>
      </c>
      <c r="C29" s="163">
        <v>1</v>
      </c>
      <c r="D29" s="247">
        <f>+VLOOKUP(A29,Base!$A$5:$E$1610,4,FALSE)</f>
        <v>43.936831462848311</v>
      </c>
      <c r="E29" s="247">
        <f>+VLOOKUP(A29,Base!$A$5:$F$1610,5,FALSE)</f>
        <v>54.921039328560383</v>
      </c>
    </row>
    <row r="30" spans="1:10" x14ac:dyDescent="0.25">
      <c r="A30" s="163"/>
      <c r="B30" s="164"/>
      <c r="C30" s="163"/>
      <c r="D30" s="247"/>
      <c r="E30" s="247"/>
    </row>
    <row r="31" spans="1:10" x14ac:dyDescent="0.25">
      <c r="A31" s="163">
        <v>8507139</v>
      </c>
      <c r="B31" s="164" t="s">
        <v>306</v>
      </c>
      <c r="C31" s="163">
        <v>1</v>
      </c>
      <c r="D31" s="247">
        <f>+VLOOKUP(A31,Base!$A$5:$E$1610,4,FALSE)</f>
        <v>1429.1141743421053</v>
      </c>
      <c r="E31" s="247">
        <f>+VLOOKUP(A31,Base!$A$5:$F$1610,5,FALSE)</f>
        <v>1786.3927179276316</v>
      </c>
    </row>
    <row r="32" spans="1:10" x14ac:dyDescent="0.25">
      <c r="A32" s="163">
        <v>8516814</v>
      </c>
      <c r="B32" s="164" t="s">
        <v>407</v>
      </c>
      <c r="C32" s="163">
        <v>1</v>
      </c>
      <c r="D32" s="247">
        <f>+VLOOKUP(A32,Base!$A$5:$E$1610,4,FALSE)</f>
        <v>285.56043198529409</v>
      </c>
      <c r="E32" s="247">
        <f>+VLOOKUP(A32,Base!$A$5:$F$1610,5,FALSE)</f>
        <v>356.95053998161757</v>
      </c>
    </row>
    <row r="33" spans="1:5" x14ac:dyDescent="0.25">
      <c r="A33" s="163"/>
      <c r="B33" s="164"/>
      <c r="C33" s="163"/>
      <c r="D33" s="247"/>
      <c r="E33" s="247"/>
    </row>
    <row r="34" spans="1:5" x14ac:dyDescent="0.25">
      <c r="A34" s="163">
        <v>8512719</v>
      </c>
      <c r="B34" s="164" t="s">
        <v>367</v>
      </c>
      <c r="C34" s="163">
        <v>1</v>
      </c>
      <c r="D34" s="247">
        <f>+VLOOKUP(A34,Base!$A$5:$E$1610,4,FALSE)</f>
        <v>6898.6561956269352</v>
      </c>
      <c r="E34" s="247">
        <f>+VLOOKUP(A34,Base!$A$5:$F$1610,5,FALSE)</f>
        <v>8623.3202445336683</v>
      </c>
    </row>
    <row r="35" spans="1:5" x14ac:dyDescent="0.25">
      <c r="A35" s="163">
        <v>8512720</v>
      </c>
      <c r="B35" s="164" t="s">
        <v>368</v>
      </c>
      <c r="C35" s="163">
        <v>1</v>
      </c>
      <c r="D35" s="247">
        <f>+VLOOKUP(A35,Base!$A$5:$E$1610,4,FALSE)</f>
        <v>8191.4159761996907</v>
      </c>
      <c r="E35" s="247">
        <f>+VLOOKUP(A35,Base!$A$5:$F$1610,5,FALSE)</f>
        <v>10239.269970249612</v>
      </c>
    </row>
    <row r="36" spans="1:5" x14ac:dyDescent="0.25">
      <c r="A36" s="163">
        <v>8512721</v>
      </c>
      <c r="B36" s="164" t="s">
        <v>369</v>
      </c>
      <c r="C36" s="163">
        <v>1</v>
      </c>
      <c r="D36" s="247">
        <f>+VLOOKUP(A36,Base!$A$5:$E$1610,4,FALSE)</f>
        <v>9713.2470116099066</v>
      </c>
      <c r="E36" s="247">
        <f>+VLOOKUP(A36,Base!$A$5:$F$1610,5,FALSE)</f>
        <v>12141.558764512383</v>
      </c>
    </row>
    <row r="37" spans="1:5" x14ac:dyDescent="0.25">
      <c r="A37" s="163">
        <v>8512722</v>
      </c>
      <c r="B37" s="164" t="s">
        <v>370</v>
      </c>
      <c r="C37" s="163">
        <v>1</v>
      </c>
      <c r="D37" s="247">
        <f>+VLOOKUP(A37,Base!$A$5:$E$1610,4,FALSE)</f>
        <v>11608.710603715172</v>
      </c>
      <c r="E37" s="247">
        <f>+VLOOKUP(A37,Base!$A$5:$F$1610,5,FALSE)</f>
        <v>14510.888254643964</v>
      </c>
    </row>
    <row r="38" spans="1:5" x14ac:dyDescent="0.25">
      <c r="A38" s="163"/>
      <c r="B38" s="164"/>
      <c r="C38" s="164"/>
      <c r="D38" s="248"/>
      <c r="E38" s="248"/>
    </row>
    <row r="39" spans="1:5" x14ac:dyDescent="0.25">
      <c r="A39" s="163">
        <v>8502404</v>
      </c>
      <c r="B39" s="164" t="s">
        <v>271</v>
      </c>
      <c r="C39" s="163">
        <v>1</v>
      </c>
      <c r="D39" s="247">
        <f>+VLOOKUP(A39,Base!$A$5:$E$1610,4,FALSE)</f>
        <v>177.46829373065015</v>
      </c>
      <c r="E39" s="247">
        <f>+VLOOKUP(A39,Base!$A$5:$F$1610,5,FALSE)</f>
        <v>221.83536716331267</v>
      </c>
    </row>
    <row r="40" spans="1:5" x14ac:dyDescent="0.25">
      <c r="A40" s="163">
        <v>8502405</v>
      </c>
      <c r="B40" s="164" t="s">
        <v>272</v>
      </c>
      <c r="C40" s="163">
        <v>1</v>
      </c>
      <c r="D40" s="247">
        <f>+VLOOKUP(A40,Base!$A$5:$E$1610,4,FALSE)</f>
        <v>412.91350367647055</v>
      </c>
      <c r="E40" s="247">
        <f>+VLOOKUP(A40,Base!$A$5:$F$1610,5,FALSE)</f>
        <v>516.14187959558819</v>
      </c>
    </row>
    <row r="41" spans="1:5" x14ac:dyDescent="0.25">
      <c r="A41" s="163">
        <v>8502406</v>
      </c>
      <c r="B41" s="164" t="s">
        <v>273</v>
      </c>
      <c r="C41" s="163">
        <v>1</v>
      </c>
      <c r="D41" s="247">
        <f>+VLOOKUP(A41,Base!$A$5:$E$1610,4,FALSE)</f>
        <v>411.26206985294101</v>
      </c>
      <c r="E41" s="247">
        <f>+VLOOKUP(A41,Base!$A$5:$F$1610,5,FALSE)</f>
        <v>514.07758731617628</v>
      </c>
    </row>
    <row r="42" spans="1:5" x14ac:dyDescent="0.25">
      <c r="A42" s="450" t="s">
        <v>1892</v>
      </c>
      <c r="B42" s="450"/>
      <c r="C42" s="450"/>
      <c r="D42" s="450"/>
      <c r="E42" s="450"/>
    </row>
    <row r="43" spans="1:5" x14ac:dyDescent="0.25">
      <c r="A43" s="168"/>
      <c r="B43" s="168"/>
      <c r="C43" s="168"/>
      <c r="D43" s="251"/>
      <c r="E43" s="251"/>
    </row>
    <row r="44" spans="1:5" x14ac:dyDescent="0.25">
      <c r="A44" s="169">
        <v>8553787</v>
      </c>
      <c r="B44" s="164" t="s">
        <v>1893</v>
      </c>
      <c r="C44" s="163">
        <v>1</v>
      </c>
      <c r="D44" s="247">
        <f>+VLOOKUP(A44,Base!$A$5:$E$1610,4,FALSE)</f>
        <v>106.15967095588235</v>
      </c>
      <c r="E44" s="247">
        <f>+VLOOKUP(A44,Base!$A$5:$F$1610,5,FALSE)</f>
        <v>132.69958869485293</v>
      </c>
    </row>
    <row r="45" spans="1:5" x14ac:dyDescent="0.25">
      <c r="A45" s="168"/>
      <c r="B45" s="168"/>
      <c r="C45" s="168"/>
      <c r="D45" s="251"/>
      <c r="E45" s="251"/>
    </row>
    <row r="46" spans="1:5" x14ac:dyDescent="0.25">
      <c r="A46" s="441" t="s">
        <v>1894</v>
      </c>
      <c r="B46" s="442"/>
      <c r="C46" s="442"/>
      <c r="D46" s="442"/>
      <c r="E46" s="443"/>
    </row>
    <row r="47" spans="1:5" x14ac:dyDescent="0.25">
      <c r="A47" s="162" t="s">
        <v>1834</v>
      </c>
      <c r="B47" s="162" t="s">
        <v>1829</v>
      </c>
      <c r="C47" s="162" t="s">
        <v>1886</v>
      </c>
      <c r="D47" s="246" t="s">
        <v>1887</v>
      </c>
      <c r="E47" s="246" t="s">
        <v>1888</v>
      </c>
    </row>
    <row r="48" spans="1:5" x14ac:dyDescent="0.25">
      <c r="A48" s="163">
        <v>14033</v>
      </c>
      <c r="B48" s="164" t="s">
        <v>1895</v>
      </c>
      <c r="C48" s="163">
        <v>1</v>
      </c>
      <c r="D48" s="247">
        <f>+VLOOKUP(A48,Base!$A$5:$E$1610,4,FALSE)</f>
        <v>2983.5904411764704</v>
      </c>
      <c r="E48" s="247">
        <f>+VLOOKUP(A48,Base!$A$5:$F$1610,5,FALSE)</f>
        <v>3729.4880514705878</v>
      </c>
    </row>
    <row r="49" spans="1:5" x14ac:dyDescent="0.25">
      <c r="A49" s="170" t="s">
        <v>474</v>
      </c>
      <c r="B49" s="164" t="s">
        <v>1896</v>
      </c>
      <c r="C49" s="163">
        <v>1</v>
      </c>
      <c r="D49" s="247">
        <f>+VLOOKUP(A49,Base!$A$5:$E$1610,4,FALSE)</f>
        <v>6358.0202205882342</v>
      </c>
      <c r="E49" s="247">
        <f>+VLOOKUP(A49,Base!$A$5:$F$1610,5,FALSE)</f>
        <v>7947.5252757352928</v>
      </c>
    </row>
    <row r="50" spans="1:5" x14ac:dyDescent="0.25">
      <c r="A50" s="170" t="s">
        <v>476</v>
      </c>
      <c r="B50" s="164" t="s">
        <v>1897</v>
      </c>
      <c r="C50" s="163">
        <v>1</v>
      </c>
      <c r="D50" s="247">
        <f>+VLOOKUP(A50,Base!$A$5:$E$1610,4,FALSE)</f>
        <v>6023.3875773993805</v>
      </c>
      <c r="E50" s="247">
        <f>+VLOOKUP(A50,Base!$A$5:$F$1610,5,FALSE)</f>
        <v>7529.2344717492251</v>
      </c>
    </row>
    <row r="51" spans="1:5" x14ac:dyDescent="0.25">
      <c r="A51" s="170" t="s">
        <v>478</v>
      </c>
      <c r="B51" s="164" t="s">
        <v>1898</v>
      </c>
      <c r="C51" s="163">
        <v>1</v>
      </c>
      <c r="D51" s="247">
        <f>+VLOOKUP(A51,Base!$A$5:$E$1610,4,FALSE)</f>
        <v>6711.774729102166</v>
      </c>
      <c r="E51" s="247">
        <f>+VLOOKUP(A51,Base!$A$5:$F$1610,5,FALSE)</f>
        <v>8389.7184113777075</v>
      </c>
    </row>
    <row r="52" spans="1:5" x14ac:dyDescent="0.25">
      <c r="A52" s="170" t="s">
        <v>480</v>
      </c>
      <c r="B52" s="164" t="s">
        <v>1899</v>
      </c>
      <c r="C52" s="163">
        <v>1</v>
      </c>
      <c r="D52" s="247">
        <f>+VLOOKUP(A52,Base!$A$5:$E$1610,4,FALSE)</f>
        <v>6711.774729102166</v>
      </c>
      <c r="E52" s="247">
        <f>+VLOOKUP(A52,Base!$A$5:$F$1610,5,FALSE)</f>
        <v>8389.7184113777075</v>
      </c>
    </row>
    <row r="53" spans="1:5" x14ac:dyDescent="0.25">
      <c r="A53" s="454" t="s">
        <v>1900</v>
      </c>
      <c r="B53" s="455"/>
      <c r="C53" s="455"/>
      <c r="D53" s="455"/>
      <c r="E53" s="456"/>
    </row>
    <row r="54" spans="1:5" x14ac:dyDescent="0.25">
      <c r="A54" s="171"/>
      <c r="B54" s="172"/>
      <c r="C54" s="172"/>
      <c r="D54" s="249"/>
      <c r="E54" s="250"/>
    </row>
    <row r="55" spans="1:5" x14ac:dyDescent="0.25">
      <c r="A55" s="173">
        <v>14975270</v>
      </c>
      <c r="B55" s="164" t="s">
        <v>1901</v>
      </c>
      <c r="C55" s="163">
        <v>1</v>
      </c>
      <c r="D55" s="247">
        <f>+VLOOKUP(A55,Base!$A$5:$E$1610,4,FALSE)</f>
        <v>2836.9112478715174</v>
      </c>
      <c r="E55" s="247">
        <f>+VLOOKUP(A55,Base!$A$5:$F$1610,5,FALSE)</f>
        <v>3546.1390598393964</v>
      </c>
    </row>
    <row r="56" spans="1:5" x14ac:dyDescent="0.25">
      <c r="A56" s="173">
        <v>14975360</v>
      </c>
      <c r="B56" s="164" t="s">
        <v>1902</v>
      </c>
      <c r="C56" s="163">
        <v>1</v>
      </c>
      <c r="D56" s="247">
        <f>+VLOOKUP(A56,Base!$A$5:$E$1610,4,FALSE)</f>
        <v>3330.8551044891642</v>
      </c>
      <c r="E56" s="247">
        <f>+VLOOKUP(A56,Base!$A$5:$F$1610,5,FALSE)</f>
        <v>4163.5688806114549</v>
      </c>
    </row>
    <row r="57" spans="1:5" x14ac:dyDescent="0.25">
      <c r="A57" s="173">
        <v>14975430</v>
      </c>
      <c r="B57" s="164" t="s">
        <v>1903</v>
      </c>
      <c r="C57" s="163">
        <v>1</v>
      </c>
      <c r="D57" s="247">
        <f>+VLOOKUP(A57,Base!$A$5:$E$1610,4,FALSE)</f>
        <v>4192.4602807662541</v>
      </c>
      <c r="E57" s="247">
        <f>+VLOOKUP(A57,Base!$A$5:$F$1610,5,FALSE)</f>
        <v>5240.5753509578171</v>
      </c>
    </row>
    <row r="58" spans="1:5" x14ac:dyDescent="0.25">
      <c r="A58" s="173"/>
      <c r="B58" s="164"/>
      <c r="C58" s="163"/>
      <c r="D58" s="247"/>
      <c r="E58" s="247"/>
    </row>
    <row r="59" spans="1:5" x14ac:dyDescent="0.25">
      <c r="A59" s="168">
        <v>5100355</v>
      </c>
      <c r="B59" s="165" t="s">
        <v>1904</v>
      </c>
      <c r="C59" s="163">
        <v>1</v>
      </c>
      <c r="D59" s="247">
        <f>+VLOOKUP(A59,Base!$A$5:$E$1610,4,FALSE)</f>
        <v>793.87176286764702</v>
      </c>
      <c r="E59" s="247">
        <f>+VLOOKUP(A59,Base!$A$5:$F$1610,5,FALSE)</f>
        <v>992.33970358455872</v>
      </c>
    </row>
    <row r="60" spans="1:5" x14ac:dyDescent="0.25">
      <c r="A60" s="168">
        <v>5100356</v>
      </c>
      <c r="B60" s="165" t="s">
        <v>1905</v>
      </c>
      <c r="C60" s="163">
        <v>1</v>
      </c>
      <c r="D60" s="247">
        <f>+VLOOKUP(A60,Base!$A$5:$E$1610,4,FALSE)</f>
        <v>555.51481433823528</v>
      </c>
      <c r="E60" s="247">
        <f>+VLOOKUP(A60,Base!$A$5:$F$1610,5,FALSE)</f>
        <v>694.3935179227941</v>
      </c>
    </row>
    <row r="61" spans="1:5" x14ac:dyDescent="0.25">
      <c r="A61" s="174">
        <v>5100013</v>
      </c>
      <c r="B61" s="165" t="s">
        <v>1906</v>
      </c>
      <c r="C61" s="163">
        <v>1</v>
      </c>
      <c r="D61" s="247">
        <v>490</v>
      </c>
      <c r="E61" s="247">
        <v>612</v>
      </c>
    </row>
    <row r="62" spans="1:5" x14ac:dyDescent="0.25">
      <c r="A62" s="451"/>
      <c r="B62" s="452"/>
      <c r="C62" s="452"/>
      <c r="D62" s="452"/>
      <c r="E62" s="453"/>
    </row>
    <row r="63" spans="1:5" x14ac:dyDescent="0.25">
      <c r="A63" s="168" t="s">
        <v>963</v>
      </c>
      <c r="B63" s="164" t="s">
        <v>1907</v>
      </c>
      <c r="C63" s="163">
        <v>5</v>
      </c>
      <c r="D63" s="247">
        <f>+VLOOKUP(A63,Base!$A$5:$E$1610,4,FALSE)</f>
        <v>23.677792041078305</v>
      </c>
      <c r="E63" s="247">
        <f>+VLOOKUP(A63,Base!$A$5:$F$1610,5,FALSE)</f>
        <v>29.597240051347882</v>
      </c>
    </row>
    <row r="64" spans="1:5" x14ac:dyDescent="0.25">
      <c r="A64" s="168" t="s">
        <v>965</v>
      </c>
      <c r="B64" s="164" t="s">
        <v>1908</v>
      </c>
      <c r="C64" s="163">
        <v>10</v>
      </c>
      <c r="D64" s="247">
        <f>+VLOOKUP(A64,Base!$A$5:$E$1610,4,FALSE)</f>
        <v>34.758834856150422</v>
      </c>
      <c r="E64" s="247">
        <f>+VLOOKUP(A64,Base!$A$5:$F$1610,5,FALSE)</f>
        <v>43.448543570188022</v>
      </c>
    </row>
    <row r="65" spans="1:5" x14ac:dyDescent="0.25">
      <c r="A65" s="166"/>
      <c r="B65" s="167"/>
      <c r="C65" s="167"/>
      <c r="D65" s="249"/>
      <c r="E65" s="250"/>
    </row>
    <row r="66" spans="1:5" x14ac:dyDescent="0.25">
      <c r="A66" s="441" t="s">
        <v>1909</v>
      </c>
      <c r="B66" s="442"/>
      <c r="C66" s="442"/>
      <c r="D66" s="442"/>
      <c r="E66" s="443"/>
    </row>
    <row r="67" spans="1:5" x14ac:dyDescent="0.25">
      <c r="A67" s="162" t="s">
        <v>1834</v>
      </c>
      <c r="B67" s="162" t="s">
        <v>1829</v>
      </c>
      <c r="C67" s="162" t="s">
        <v>1886</v>
      </c>
      <c r="D67" s="246" t="s">
        <v>1887</v>
      </c>
      <c r="E67" s="246" t="s">
        <v>1888</v>
      </c>
    </row>
    <row r="68" spans="1:5" x14ac:dyDescent="0.25">
      <c r="A68" s="168">
        <v>241</v>
      </c>
      <c r="B68" s="164" t="s">
        <v>68</v>
      </c>
      <c r="C68" s="163">
        <v>1</v>
      </c>
      <c r="D68" s="247">
        <f>+VLOOKUP(A68,Base!$A$5:$E$1610,4,FALSE)</f>
        <v>624.26950919117644</v>
      </c>
      <c r="E68" s="247">
        <f>+VLOOKUP(A68,Base!$A$5:$F$1610,5,FALSE)</f>
        <v>780.33688648897055</v>
      </c>
    </row>
    <row r="69" spans="1:5" x14ac:dyDescent="0.25">
      <c r="A69" s="447" t="s">
        <v>1910</v>
      </c>
      <c r="B69" s="448"/>
      <c r="C69" s="448"/>
      <c r="D69" s="448"/>
      <c r="E69" s="449"/>
    </row>
    <row r="70" spans="1:5" x14ac:dyDescent="0.25">
      <c r="A70" s="166"/>
      <c r="B70" s="167"/>
      <c r="C70" s="167"/>
      <c r="D70" s="249"/>
      <c r="E70" s="250"/>
    </row>
    <row r="71" spans="1:5" x14ac:dyDescent="0.25">
      <c r="A71" s="168">
        <v>8510270</v>
      </c>
      <c r="B71" s="164" t="s">
        <v>340</v>
      </c>
      <c r="C71" s="163">
        <v>1</v>
      </c>
      <c r="D71" s="247">
        <f>+VLOOKUP(A71,Base!$A$5:$E$1610,4,FALSE)</f>
        <v>729.95576911764715</v>
      </c>
      <c r="E71" s="247">
        <f>+VLOOKUP(A71,Base!$A$5:$F$1610,5,FALSE)</f>
        <v>912.44471139705888</v>
      </c>
    </row>
    <row r="72" spans="1:5" x14ac:dyDescent="0.25">
      <c r="A72" s="447" t="s">
        <v>1911</v>
      </c>
      <c r="B72" s="448"/>
      <c r="C72" s="448"/>
      <c r="D72" s="448"/>
      <c r="E72" s="449"/>
    </row>
    <row r="73" spans="1:5" x14ac:dyDescent="0.25">
      <c r="A73" s="166"/>
      <c r="B73" s="167"/>
      <c r="C73" s="167"/>
      <c r="D73" s="249"/>
      <c r="E73" s="250"/>
    </row>
    <row r="74" spans="1:5" x14ac:dyDescent="0.25">
      <c r="A74" s="168">
        <v>8511880</v>
      </c>
      <c r="B74" s="165" t="s">
        <v>353</v>
      </c>
      <c r="C74" s="163">
        <v>1</v>
      </c>
      <c r="D74" s="247">
        <f>+VLOOKUP(A74,Base!$A$5:$E$1610,4,FALSE)</f>
        <v>266.43132352941177</v>
      </c>
      <c r="E74" s="247">
        <f>+VLOOKUP(A74,Base!$A$5:$F$1610,5,FALSE)</f>
        <v>333.03915441176468</v>
      </c>
    </row>
    <row r="75" spans="1:5" x14ac:dyDescent="0.25">
      <c r="A75" s="457" t="s">
        <v>1912</v>
      </c>
      <c r="B75" s="458"/>
      <c r="C75" s="458"/>
      <c r="D75" s="458"/>
      <c r="E75" s="459"/>
    </row>
    <row r="76" spans="1:5" x14ac:dyDescent="0.25">
      <c r="A76" s="175"/>
      <c r="B76" s="176"/>
      <c r="C76" s="176"/>
      <c r="D76" s="252"/>
      <c r="E76" s="253"/>
    </row>
    <row r="77" spans="1:5" x14ac:dyDescent="0.25">
      <c r="A77" s="166">
        <v>8515851</v>
      </c>
      <c r="B77" s="165" t="s">
        <v>1685</v>
      </c>
      <c r="C77" s="177">
        <v>1</v>
      </c>
      <c r="D77" s="247">
        <f>+VLOOKUP(A77,Base!$A$5:$E$1610,4,FALSE)</f>
        <v>285.18523780959754</v>
      </c>
      <c r="E77" s="247">
        <f>+VLOOKUP(A77,Base!$A$5:$F$1610,5,FALSE)</f>
        <v>356.48154726199692</v>
      </c>
    </row>
    <row r="78" spans="1:5" x14ac:dyDescent="0.25">
      <c r="A78" s="164"/>
      <c r="B78" s="165"/>
      <c r="C78" s="164"/>
      <c r="D78" s="247"/>
      <c r="E78" s="247"/>
    </row>
    <row r="79" spans="1:5" x14ac:dyDescent="0.25">
      <c r="A79" s="163">
        <v>8584192</v>
      </c>
      <c r="B79" s="165" t="s">
        <v>48</v>
      </c>
      <c r="C79" s="163">
        <v>1</v>
      </c>
      <c r="D79" s="247">
        <f>+VLOOKUP(A79,Base!$A$5:$E$1610,4,FALSE)</f>
        <v>1148.9316539792389</v>
      </c>
      <c r="E79" s="247">
        <f>+VLOOKUP(A79,Base!$A$5:$F$1610,5,FALSE)</f>
        <v>1436.1645674740487</v>
      </c>
    </row>
    <row r="80" spans="1:5" x14ac:dyDescent="0.25">
      <c r="A80" s="163">
        <v>8584191</v>
      </c>
      <c r="B80" s="165" t="s">
        <v>1913</v>
      </c>
      <c r="C80" s="163">
        <v>1</v>
      </c>
      <c r="D80" s="247">
        <f>+VLOOKUP(A80,Base!$A$5:$E$1610,4,FALSE)</f>
        <v>761.00678115325081</v>
      </c>
      <c r="E80" s="247">
        <f>+VLOOKUP(A80,Base!$A$5:$F$1610,5,FALSE)</f>
        <v>951.25847644156352</v>
      </c>
    </row>
    <row r="81" spans="1:5" x14ac:dyDescent="0.25">
      <c r="A81" s="163"/>
      <c r="B81" s="165"/>
      <c r="C81" s="163"/>
      <c r="D81" s="247"/>
      <c r="E81" s="247"/>
    </row>
    <row r="82" spans="1:5" x14ac:dyDescent="0.25">
      <c r="A82" s="163">
        <v>8584191</v>
      </c>
      <c r="B82" s="165" t="s">
        <v>1914</v>
      </c>
      <c r="C82" s="163">
        <v>6</v>
      </c>
      <c r="D82" s="247">
        <f>+VLOOKUP(A82,Base!$A$5:$E$1610,4,FALSE)</f>
        <v>761.00678115325081</v>
      </c>
      <c r="E82" s="247">
        <f>+VLOOKUP(A82,Base!$A$5:$F$1610,5,FALSE)</f>
        <v>951.25847644156352</v>
      </c>
    </row>
    <row r="83" spans="1:5" x14ac:dyDescent="0.25">
      <c r="A83" s="163">
        <v>8584197</v>
      </c>
      <c r="B83" s="165" t="s">
        <v>1915</v>
      </c>
      <c r="C83" s="163">
        <v>1</v>
      </c>
      <c r="D83" s="247">
        <f>+VLOOKUP(A83,Base!$A$5:$E$1610,4,FALSE)</f>
        <v>228.65405050309599</v>
      </c>
      <c r="E83" s="247">
        <f>+VLOOKUP(A83,Base!$A$5:$F$1610,5,FALSE)</f>
        <v>285.81756312886995</v>
      </c>
    </row>
    <row r="84" spans="1:5" x14ac:dyDescent="0.25">
      <c r="A84" s="163">
        <v>8584199</v>
      </c>
      <c r="B84" s="165" t="s">
        <v>1916</v>
      </c>
      <c r="C84" s="163">
        <v>1</v>
      </c>
      <c r="D84" s="247">
        <f>+VLOOKUP(A84,Base!$A$5:$E$1610,4,FALSE)</f>
        <v>408.06929779411752</v>
      </c>
      <c r="E84" s="247">
        <f>+VLOOKUP(A84,Base!$A$5:$F$1610,5,FALSE)</f>
        <v>510.08662224264685</v>
      </c>
    </row>
    <row r="85" spans="1:5" x14ac:dyDescent="0.25">
      <c r="A85" s="163"/>
      <c r="B85" s="165"/>
      <c r="C85" s="163"/>
      <c r="D85" s="247"/>
      <c r="E85" s="247"/>
    </row>
    <row r="86" spans="1:5" x14ac:dyDescent="0.25">
      <c r="A86" s="163">
        <v>8514230</v>
      </c>
      <c r="B86" s="164" t="s">
        <v>49</v>
      </c>
      <c r="C86" s="163">
        <v>1</v>
      </c>
      <c r="D86" s="247">
        <f>+VLOOKUP(A86,Base!$A$5:$E$1610,4,FALSE)</f>
        <v>21.193400735294116</v>
      </c>
      <c r="E86" s="247">
        <f>+VLOOKUP(A86,Base!$A$5:$F$1610,5,FALSE)</f>
        <v>26.491750919117642</v>
      </c>
    </row>
    <row r="87" spans="1:5" x14ac:dyDescent="0.25">
      <c r="A87" s="160"/>
      <c r="B87" s="160"/>
      <c r="C87" s="160"/>
      <c r="D87" s="245"/>
      <c r="E87" s="245"/>
    </row>
    <row r="88" spans="1:5" x14ac:dyDescent="0.25">
      <c r="A88" s="441" t="s">
        <v>1917</v>
      </c>
      <c r="B88" s="442"/>
      <c r="C88" s="442"/>
      <c r="D88" s="442"/>
      <c r="E88" s="443"/>
    </row>
    <row r="89" spans="1:5" x14ac:dyDescent="0.25">
      <c r="A89" s="162" t="s">
        <v>1834</v>
      </c>
      <c r="B89" s="162" t="s">
        <v>1829</v>
      </c>
      <c r="C89" s="162" t="s">
        <v>1886</v>
      </c>
      <c r="D89" s="246" t="s">
        <v>1887</v>
      </c>
      <c r="E89" s="246" t="s">
        <v>1888</v>
      </c>
    </row>
    <row r="90" spans="1:5" ht="19.5" customHeight="1" x14ac:dyDescent="0.25">
      <c r="A90" s="178" t="s">
        <v>1918</v>
      </c>
      <c r="B90" s="179" t="s">
        <v>1919</v>
      </c>
      <c r="C90" s="180">
        <v>1</v>
      </c>
      <c r="D90" s="247">
        <f>+D93+($D$105*4)+Quimicos!$D$89/100*4</f>
        <v>918.67013971726442</v>
      </c>
      <c r="E90" s="247">
        <f>+E93+($E$105*4)+Quimicos!$E$89/100*4</f>
        <v>1148.3376746465804</v>
      </c>
    </row>
    <row r="91" spans="1:5" ht="23.1" customHeight="1" x14ac:dyDescent="0.25">
      <c r="A91" s="178" t="s">
        <v>1920</v>
      </c>
      <c r="B91" s="179" t="s">
        <v>1921</v>
      </c>
      <c r="C91" s="180">
        <v>1</v>
      </c>
      <c r="D91" s="247">
        <f>+D98+($D$105*4)+Quimicos!$D$89/100*4</f>
        <v>858.48841448506641</v>
      </c>
      <c r="E91" s="247">
        <f>+E98+($E$105*4)+Quimicos!$E$89/100*4</f>
        <v>1073.1105181063328</v>
      </c>
    </row>
    <row r="92" spans="1:5" x14ac:dyDescent="0.25">
      <c r="A92" s="178"/>
      <c r="B92" s="179"/>
      <c r="C92" s="180"/>
      <c r="D92" s="254"/>
      <c r="E92" s="254"/>
    </row>
    <row r="93" spans="1:5" x14ac:dyDescent="0.25">
      <c r="A93" s="163">
        <v>8512775</v>
      </c>
      <c r="B93" s="164" t="s">
        <v>371</v>
      </c>
      <c r="C93" s="168">
        <v>1</v>
      </c>
      <c r="D93" s="247">
        <f>+VLOOKUP(A93,Base!$A$5:$E$1610,4,FALSE)</f>
        <v>725.28366002321957</v>
      </c>
      <c r="E93" s="247">
        <f>+VLOOKUP(A93,Base!$A$5:$F$1610,5,FALSE)</f>
        <v>906.60457502902443</v>
      </c>
    </row>
    <row r="94" spans="1:5" x14ac:dyDescent="0.25">
      <c r="A94" s="163">
        <v>8506724</v>
      </c>
      <c r="B94" s="164" t="s">
        <v>1922</v>
      </c>
      <c r="C94" s="168">
        <v>10</v>
      </c>
      <c r="D94" s="247">
        <f>+VLOOKUP(A94,Base!$A$5:$E$1610,4,FALSE)</f>
        <v>609.35300561145516</v>
      </c>
      <c r="E94" s="247">
        <f>+VLOOKUP(A94,Base!$A$5:$F$1610,5,FALSE)</f>
        <v>761.69125701431892</v>
      </c>
    </row>
    <row r="95" spans="1:5" x14ac:dyDescent="0.25">
      <c r="A95" s="163">
        <v>8506669</v>
      </c>
      <c r="B95" s="165" t="s">
        <v>1923</v>
      </c>
      <c r="C95" s="168">
        <v>1</v>
      </c>
      <c r="D95" s="247">
        <f>+VLOOKUP(A95,Base!$A$5:$E$1610,4,FALSE)</f>
        <v>24.588980456656344</v>
      </c>
      <c r="E95" s="247">
        <f>+VLOOKUP(A95,Base!$A$5:$F$1610,5,FALSE)</f>
        <v>30.73622557082043</v>
      </c>
    </row>
    <row r="96" spans="1:5" x14ac:dyDescent="0.25">
      <c r="A96" s="163">
        <v>8517680</v>
      </c>
      <c r="B96" s="164" t="s">
        <v>1924</v>
      </c>
      <c r="C96" s="168">
        <v>1</v>
      </c>
      <c r="D96" s="247">
        <f>+VLOOKUP(A96,Base!$A$5:$E$1610,4,FALSE)</f>
        <v>291.57367917956651</v>
      </c>
      <c r="E96" s="247">
        <f>+VLOOKUP(A96,Base!$A$5:$F$1610,5,FALSE)</f>
        <v>364.46709897445811</v>
      </c>
    </row>
    <row r="97" spans="1:5" x14ac:dyDescent="0.25">
      <c r="A97" s="163"/>
      <c r="B97" s="164"/>
      <c r="C97" s="163"/>
      <c r="D97" s="247"/>
      <c r="E97" s="247"/>
    </row>
    <row r="98" spans="1:5" x14ac:dyDescent="0.25">
      <c r="A98" s="163">
        <v>8513545</v>
      </c>
      <c r="B98" s="164" t="s">
        <v>383</v>
      </c>
      <c r="C98" s="163">
        <v>1</v>
      </c>
      <c r="D98" s="247">
        <f>+VLOOKUP(A98,Base!$A$5:$E$1610,4,FALSE)</f>
        <v>665.10193479102168</v>
      </c>
      <c r="E98" s="247">
        <f>+VLOOKUP(A98,Base!$A$5:$F$1610,5,FALSE)</f>
        <v>831.37741848877704</v>
      </c>
    </row>
    <row r="99" spans="1:5" x14ac:dyDescent="0.25">
      <c r="A99" s="163">
        <v>8506723</v>
      </c>
      <c r="B99" s="164" t="s">
        <v>1925</v>
      </c>
      <c r="C99" s="163">
        <v>10</v>
      </c>
      <c r="D99" s="247">
        <f>+VLOOKUP(A99,Base!$A$5:$E$1610,4,FALSE)</f>
        <v>502.91374980650158</v>
      </c>
      <c r="E99" s="247">
        <f>+VLOOKUP(A99,Base!$A$5:$F$1610,5,FALSE)</f>
        <v>628.64218725812691</v>
      </c>
    </row>
    <row r="100" spans="1:5" x14ac:dyDescent="0.25">
      <c r="A100" s="163">
        <v>8512528</v>
      </c>
      <c r="B100" s="165" t="s">
        <v>1926</v>
      </c>
      <c r="C100" s="163">
        <v>1</v>
      </c>
      <c r="D100" s="247">
        <f>+VLOOKUP(A100,Base!$A$5:$E$1610,4,FALSE)</f>
        <v>326.14948839009293</v>
      </c>
      <c r="E100" s="247">
        <f>+VLOOKUP(A100,Base!$A$5:$F$1610,5,FALSE)</f>
        <v>407.68686048761612</v>
      </c>
    </row>
    <row r="101" spans="1:5" x14ac:dyDescent="0.25">
      <c r="A101" s="163"/>
      <c r="B101" s="165"/>
      <c r="C101" s="163"/>
      <c r="D101" s="247"/>
      <c r="E101" s="247"/>
    </row>
    <row r="102" spans="1:5" x14ac:dyDescent="0.25">
      <c r="A102" s="163">
        <v>8506832</v>
      </c>
      <c r="B102" s="164" t="s">
        <v>299</v>
      </c>
      <c r="C102" s="163">
        <v>1</v>
      </c>
      <c r="D102" s="247">
        <f>+VLOOKUP(A102,Base!$A$5:$E$1610,4,FALSE)</f>
        <v>68.916940982972136</v>
      </c>
      <c r="E102" s="247">
        <f>+VLOOKUP(A102,Base!$A$5:$F$1610,5,FALSE)</f>
        <v>86.146176228715163</v>
      </c>
    </row>
    <row r="103" spans="1:5" x14ac:dyDescent="0.25">
      <c r="A103" s="163">
        <v>8513544</v>
      </c>
      <c r="B103" s="164" t="s">
        <v>1927</v>
      </c>
      <c r="C103" s="163">
        <v>1</v>
      </c>
      <c r="D103" s="247">
        <f>+VLOOKUP(A103,Base!$A$5:$E$1610,4,FALSE)</f>
        <v>178.68650154798763</v>
      </c>
      <c r="E103" s="247">
        <f>+VLOOKUP(A103,Base!$A$5:$F$1610,5,FALSE)</f>
        <v>210.21941358586781</v>
      </c>
    </row>
    <row r="104" spans="1:5" x14ac:dyDescent="0.25">
      <c r="A104" s="163" t="s">
        <v>901</v>
      </c>
      <c r="B104" s="164" t="s">
        <v>902</v>
      </c>
      <c r="C104" s="163">
        <v>1</v>
      </c>
      <c r="D104" s="247">
        <f>+VLOOKUP(A104,Base!$A$5:$E$1610,4,FALSE)</f>
        <v>5.3881519928232736E-2</v>
      </c>
      <c r="E104" s="247">
        <f>+VLOOKUP(A104,Base!$A$5:$F$1610,5,FALSE)</f>
        <v>6.7351899910290919E-2</v>
      </c>
    </row>
    <row r="105" spans="1:5" x14ac:dyDescent="0.25">
      <c r="A105" s="163">
        <v>8517327</v>
      </c>
      <c r="B105" s="164" t="s">
        <v>409</v>
      </c>
      <c r="C105" s="163">
        <v>1</v>
      </c>
      <c r="D105" s="247">
        <f>+VLOOKUP(A105,Base!$A$5:$E$1610,4,FALSE)</f>
        <v>39.895164473684204</v>
      </c>
      <c r="E105" s="247">
        <f>+VLOOKUP(A105,Base!$A$5:$F$1610,5,FALSE)</f>
        <v>49.868955592105252</v>
      </c>
    </row>
    <row r="106" spans="1:5" x14ac:dyDescent="0.25">
      <c r="A106" s="182"/>
      <c r="B106" s="160"/>
      <c r="C106" s="160"/>
      <c r="D106" s="245"/>
      <c r="E106" s="245"/>
    </row>
    <row r="107" spans="1:5" x14ac:dyDescent="0.25">
      <c r="A107" s="163">
        <v>8500939</v>
      </c>
      <c r="B107" s="164" t="s">
        <v>261</v>
      </c>
      <c r="C107" s="168">
        <v>1</v>
      </c>
      <c r="D107" s="247">
        <f>+VLOOKUP(A107,Base!$A$5:$E$1610,4,FALSE)</f>
        <v>51.552259191176461</v>
      </c>
      <c r="E107" s="247">
        <f>+VLOOKUP(A107,Base!$A$5:$F$1610,5,FALSE)</f>
        <v>64.440323988970576</v>
      </c>
    </row>
    <row r="108" spans="1:5" x14ac:dyDescent="0.25">
      <c r="A108" s="160"/>
      <c r="B108" s="160"/>
      <c r="C108" s="160"/>
      <c r="D108" s="245"/>
      <c r="E108" s="245"/>
    </row>
    <row r="109" spans="1:5" x14ac:dyDescent="0.25">
      <c r="A109" s="163">
        <v>8514751</v>
      </c>
      <c r="B109" s="164" t="s">
        <v>394</v>
      </c>
      <c r="C109" s="168">
        <v>1</v>
      </c>
      <c r="D109" s="247">
        <f>+VLOOKUP(A109,Base!$A$5:$E$1610,4,FALSE)</f>
        <v>188.26345588235296</v>
      </c>
      <c r="E109" s="247">
        <f>+VLOOKUP(A109,Base!$A$5:$F$1610,5,FALSE)</f>
        <v>235.32931985294118</v>
      </c>
    </row>
    <row r="110" spans="1:5" x14ac:dyDescent="0.25">
      <c r="A110" s="163">
        <v>8518076</v>
      </c>
      <c r="B110" s="165" t="s">
        <v>427</v>
      </c>
      <c r="C110" s="168">
        <v>1</v>
      </c>
      <c r="D110" s="247">
        <f>+VLOOKUP(A110,Base!$A$5:$E$1610,4,FALSE)</f>
        <v>14.732528057275541</v>
      </c>
      <c r="E110" s="247">
        <f>+VLOOKUP(A110,Base!$A$5:$F$1610,5,FALSE)</f>
        <v>18.415660071594424</v>
      </c>
    </row>
    <row r="111" spans="1:5" x14ac:dyDescent="0.25">
      <c r="A111" s="163">
        <v>8514752</v>
      </c>
      <c r="B111" s="165" t="s">
        <v>395</v>
      </c>
      <c r="C111" s="168">
        <v>1</v>
      </c>
      <c r="D111" s="247">
        <f>+VLOOKUP(A111,Base!$A$5:$E$1610,4,FALSE)</f>
        <v>55.801079721362228</v>
      </c>
      <c r="E111" s="247">
        <f>+VLOOKUP(A111,Base!$A$5:$F$1610,5,FALSE)</f>
        <v>69.751349651702782</v>
      </c>
    </row>
    <row r="112" spans="1:5" x14ac:dyDescent="0.25">
      <c r="A112" s="163">
        <v>8514721</v>
      </c>
      <c r="B112" s="165" t="s">
        <v>392</v>
      </c>
      <c r="C112" s="168">
        <v>1</v>
      </c>
      <c r="D112" s="247">
        <f>+VLOOKUP(A112,Base!$A$5:$E$1610,4,FALSE)</f>
        <v>10.951613777089783</v>
      </c>
      <c r="E112" s="247">
        <f>+VLOOKUP(A112,Base!$A$5:$F$1610,5,FALSE)</f>
        <v>13.689517221362228</v>
      </c>
    </row>
    <row r="113" spans="1:5" x14ac:dyDescent="0.25">
      <c r="A113" s="163">
        <v>8514719</v>
      </c>
      <c r="B113" s="165" t="s">
        <v>391</v>
      </c>
      <c r="C113" s="168">
        <v>1</v>
      </c>
      <c r="D113" s="247">
        <f>+VLOOKUP(A113,Base!$A$5:$E$1610,4,FALSE)</f>
        <v>12.385753676470587</v>
      </c>
      <c r="E113" s="247">
        <f>+VLOOKUP(A113,Base!$A$5:$F$1610,5,FALSE)</f>
        <v>15.482192095588234</v>
      </c>
    </row>
    <row r="114" spans="1:5" x14ac:dyDescent="0.25">
      <c r="A114" s="163">
        <v>8517844</v>
      </c>
      <c r="B114" s="165" t="s">
        <v>425</v>
      </c>
      <c r="C114" s="168">
        <v>1</v>
      </c>
      <c r="D114" s="247">
        <f>+VLOOKUP(A114,Base!$A$5:$E$1610,4,FALSE)</f>
        <v>4.2662040441176465</v>
      </c>
      <c r="E114" s="247">
        <f>+VLOOKUP(A114,Base!$A$5:$F$1610,5,FALSE)</f>
        <v>5.3327550551470582</v>
      </c>
    </row>
    <row r="115" spans="1:5" x14ac:dyDescent="0.25">
      <c r="A115" s="163">
        <v>8503022</v>
      </c>
      <c r="B115" s="165" t="s">
        <v>277</v>
      </c>
      <c r="C115" s="168">
        <v>1</v>
      </c>
      <c r="D115" s="247">
        <f>+VLOOKUP(A115,Base!$A$5:$E$1610,4,FALSE)</f>
        <v>5.6967585937499985</v>
      </c>
      <c r="E115" s="247">
        <f>+VLOOKUP(A115,Base!$A$5:$F$1610,5,FALSE)</f>
        <v>7.1209482421874979</v>
      </c>
    </row>
    <row r="116" spans="1:5" x14ac:dyDescent="0.25">
      <c r="A116" s="183"/>
      <c r="B116" s="184"/>
      <c r="C116" s="160"/>
      <c r="D116" s="245"/>
      <c r="E116" s="245"/>
    </row>
    <row r="117" spans="1:5" x14ac:dyDescent="0.25">
      <c r="A117" s="441" t="s">
        <v>1928</v>
      </c>
      <c r="B117" s="442"/>
      <c r="C117" s="442"/>
      <c r="D117" s="442"/>
      <c r="E117" s="443"/>
    </row>
    <row r="118" spans="1:5" x14ac:dyDescent="0.25">
      <c r="A118" s="162" t="s">
        <v>1834</v>
      </c>
      <c r="B118" s="162" t="s">
        <v>1829</v>
      </c>
      <c r="C118" s="162" t="s">
        <v>1886</v>
      </c>
      <c r="D118" s="246" t="s">
        <v>1887</v>
      </c>
      <c r="E118" s="246" t="s">
        <v>1888</v>
      </c>
    </row>
    <row r="119" spans="1:5" x14ac:dyDescent="0.25">
      <c r="A119" s="163">
        <v>8518294</v>
      </c>
      <c r="B119" s="165" t="s">
        <v>433</v>
      </c>
      <c r="C119" s="168">
        <v>1</v>
      </c>
      <c r="D119" s="247">
        <f>+VLOOKUP(A119,Base!$A$5:$E$1610,4,FALSE)</f>
        <v>479.81105979102171</v>
      </c>
      <c r="E119" s="247">
        <f>+VLOOKUP(A119,Base!$A$5:$F$1610,5,FALSE)</f>
        <v>599.76382473877709</v>
      </c>
    </row>
    <row r="120" spans="1:5" x14ac:dyDescent="0.25">
      <c r="A120" s="163">
        <v>8512564</v>
      </c>
      <c r="B120" s="165" t="s">
        <v>363</v>
      </c>
      <c r="C120" s="168">
        <v>1</v>
      </c>
      <c r="D120" s="247">
        <f>+VLOOKUP(A120,Base!$A$5:$E$1610,4,FALSE)</f>
        <v>589.74440189628478</v>
      </c>
      <c r="E120" s="247">
        <f>+VLOOKUP(A120,Base!$A$5:$F$1610,5,FALSE)</f>
        <v>737.18050237035595</v>
      </c>
    </row>
    <row r="121" spans="1:5" x14ac:dyDescent="0.25">
      <c r="A121" s="163"/>
      <c r="B121" s="165"/>
      <c r="C121" s="168"/>
      <c r="D121" s="251"/>
      <c r="E121" s="251"/>
    </row>
    <row r="122" spans="1:5" x14ac:dyDescent="0.25">
      <c r="A122" s="163">
        <v>8582929</v>
      </c>
      <c r="B122" s="165" t="s">
        <v>1721</v>
      </c>
      <c r="C122" s="168">
        <v>1</v>
      </c>
      <c r="D122" s="247">
        <f>+VLOOKUP(A122,Base!$A$5:$E$1610,4,FALSE)</f>
        <v>43.258874419504643</v>
      </c>
      <c r="E122" s="247">
        <f>+VLOOKUP(A122,Base!$A$5:$F$1610,5,FALSE)</f>
        <v>54.073593024380799</v>
      </c>
    </row>
    <row r="123" spans="1:5" x14ac:dyDescent="0.25">
      <c r="A123" s="163">
        <v>8518935</v>
      </c>
      <c r="B123" s="165" t="s">
        <v>1929</v>
      </c>
      <c r="C123" s="168">
        <v>1</v>
      </c>
      <c r="D123" s="247">
        <f>+VLOOKUP(A123,Base!$A$5:$E$1610,4,FALSE)</f>
        <v>12.523373161764706</v>
      </c>
      <c r="E123" s="247">
        <f>+VLOOKUP(A123,Base!$A$5:$F$1610,5,FALSE)</f>
        <v>15.654216452205882</v>
      </c>
    </row>
    <row r="124" spans="1:5" x14ac:dyDescent="0.25">
      <c r="A124" s="163">
        <v>8512566</v>
      </c>
      <c r="B124" s="165" t="s">
        <v>1930</v>
      </c>
      <c r="C124" s="168"/>
      <c r="D124" s="247">
        <f>+VLOOKUP(A124,Base!$A$5:$E$1610,4,FALSE)</f>
        <v>189.82797213622288</v>
      </c>
      <c r="E124" s="247">
        <f>+VLOOKUP(A124,Base!$A$5:$F$1610,5,FALSE)</f>
        <v>237.28496517027858</v>
      </c>
    </row>
    <row r="125" spans="1:5" x14ac:dyDescent="0.25">
      <c r="A125" s="163"/>
      <c r="B125" s="165"/>
      <c r="C125" s="168"/>
      <c r="D125" s="251"/>
      <c r="E125" s="251"/>
    </row>
    <row r="126" spans="1:5" x14ac:dyDescent="0.25">
      <c r="A126" s="163">
        <v>8583219</v>
      </c>
      <c r="B126" s="165" t="s">
        <v>1931</v>
      </c>
      <c r="C126" s="168">
        <v>1</v>
      </c>
      <c r="D126" s="247">
        <f>+VLOOKUP(A126,Base!$A$5:$E$1610,4,FALSE)</f>
        <v>561.18517801857593</v>
      </c>
      <c r="E126" s="247">
        <f>+VLOOKUP(A126,Base!$A$5:$F$1610,5,FALSE)</f>
        <v>701.48147252321985</v>
      </c>
    </row>
    <row r="127" spans="1:5" x14ac:dyDescent="0.25">
      <c r="A127" s="163">
        <v>8583221</v>
      </c>
      <c r="B127" s="165" t="s">
        <v>1932</v>
      </c>
      <c r="C127" s="168">
        <v>1</v>
      </c>
      <c r="D127" s="247">
        <f>+VLOOKUP(A127,Base!$A$5:$E$1610,4,FALSE)</f>
        <v>187.24652031733748</v>
      </c>
      <c r="E127" s="247">
        <f>+VLOOKUP(A127,Base!$A$5:$F$1610,5,FALSE)</f>
        <v>234.05815039667183</v>
      </c>
    </row>
    <row r="128" spans="1:5" x14ac:dyDescent="0.25">
      <c r="A128" s="163">
        <v>8584808</v>
      </c>
      <c r="B128" s="165" t="s">
        <v>1933</v>
      </c>
      <c r="C128" s="168">
        <v>1</v>
      </c>
      <c r="D128" s="247">
        <f>+VLOOKUP(A128,Base!$A$5:$E$1610,4,FALSE)</f>
        <v>60.703230650154801</v>
      </c>
      <c r="E128" s="247">
        <f>+VLOOKUP(A128,Base!$A$5:$F$1610,5,FALSE)</f>
        <v>75.879038312693496</v>
      </c>
    </row>
    <row r="129" spans="1:5" x14ac:dyDescent="0.25">
      <c r="A129" s="163"/>
      <c r="B129" s="165"/>
      <c r="C129" s="168"/>
      <c r="D129" s="251"/>
      <c r="E129" s="251"/>
    </row>
    <row r="130" spans="1:5" x14ac:dyDescent="0.25">
      <c r="A130" s="163">
        <v>8509979</v>
      </c>
      <c r="B130" s="165" t="s">
        <v>333</v>
      </c>
      <c r="C130" s="168">
        <v>1</v>
      </c>
      <c r="D130" s="247">
        <f>+VLOOKUP(A130,Base!$A$5:$E$1610,4,FALSE)</f>
        <v>1586.2722128289474</v>
      </c>
      <c r="E130" s="247">
        <f>+VLOOKUP(A130,Base!$A$5:$F$1610,5,FALSE)</f>
        <v>1982.8402660361842</v>
      </c>
    </row>
    <row r="131" spans="1:5" x14ac:dyDescent="0.25">
      <c r="A131" s="163">
        <v>8509330</v>
      </c>
      <c r="B131" s="165" t="s">
        <v>331</v>
      </c>
      <c r="C131" s="168">
        <v>1</v>
      </c>
      <c r="D131" s="247">
        <f>+VLOOKUP(A131,Base!$A$5:$E$1610,4,FALSE)</f>
        <v>854.82560584365319</v>
      </c>
      <c r="E131" s="247">
        <f>+VLOOKUP(A131,Base!$A$5:$F$1610,5,FALSE)</f>
        <v>1068.5320073045664</v>
      </c>
    </row>
    <row r="132" spans="1:5" x14ac:dyDescent="0.25">
      <c r="A132" s="163"/>
      <c r="B132" s="165"/>
      <c r="C132" s="181"/>
      <c r="D132" s="251"/>
      <c r="E132" s="251"/>
    </row>
    <row r="133" spans="1:5" x14ac:dyDescent="0.25">
      <c r="A133" s="163">
        <v>8511748</v>
      </c>
      <c r="B133" s="165" t="s">
        <v>59</v>
      </c>
      <c r="C133" s="168">
        <v>1</v>
      </c>
      <c r="D133" s="247">
        <f>+VLOOKUP(A133,Base!$A$5:$E$1610,4,FALSE)</f>
        <v>244.84679373065018</v>
      </c>
      <c r="E133" s="247">
        <f>+VLOOKUP(A133,Base!$A$5:$F$1610,5,FALSE)</f>
        <v>306.05849216331268</v>
      </c>
    </row>
    <row r="134" spans="1:5" x14ac:dyDescent="0.25">
      <c r="A134" s="163">
        <v>8511713</v>
      </c>
      <c r="B134" s="165" t="s">
        <v>349</v>
      </c>
      <c r="C134" s="168">
        <v>1</v>
      </c>
      <c r="D134" s="247">
        <f>+VLOOKUP(A134,Base!$A$5:$E$1610,4,FALSE)</f>
        <v>32.281185371517033</v>
      </c>
      <c r="E134" s="247">
        <f>+VLOOKUP(A134,Base!$A$5:$F$1610,5,FALSE)</f>
        <v>40.351481714396286</v>
      </c>
    </row>
    <row r="135" spans="1:5" x14ac:dyDescent="0.25">
      <c r="A135" s="163">
        <v>8511740</v>
      </c>
      <c r="B135" s="165" t="s">
        <v>1934</v>
      </c>
      <c r="C135" s="168">
        <v>1</v>
      </c>
      <c r="D135" s="247">
        <f>+VLOOKUP(A135,Base!$A$5:$E$1610,4,FALSE)</f>
        <v>45.662145220588229</v>
      </c>
      <c r="E135" s="247">
        <f>+VLOOKUP(A135,Base!$A$5:$F$1610,5,FALSE)</f>
        <v>57.077681525735287</v>
      </c>
    </row>
    <row r="136" spans="1:5" x14ac:dyDescent="0.25">
      <c r="A136" s="163"/>
      <c r="B136" s="165"/>
      <c r="C136" s="168"/>
      <c r="D136" s="251"/>
      <c r="E136" s="251"/>
    </row>
    <row r="137" spans="1:5" x14ac:dyDescent="0.25">
      <c r="A137" s="185" t="s">
        <v>700</v>
      </c>
      <c r="B137" s="165" t="s">
        <v>1935</v>
      </c>
      <c r="C137" s="186">
        <v>1</v>
      </c>
      <c r="D137" s="247">
        <f>+VLOOKUP(A137,Base!$A$5:$E$1610,4,FALSE)</f>
        <v>348.66625173010374</v>
      </c>
      <c r="E137" s="247">
        <f>+VLOOKUP(A137,Base!$A$5:$F$1610,5,FALSE)</f>
        <v>435.83281466262963</v>
      </c>
    </row>
    <row r="138" spans="1:5" x14ac:dyDescent="0.25">
      <c r="A138" s="185" t="s">
        <v>705</v>
      </c>
      <c r="B138" s="165" t="s">
        <v>1936</v>
      </c>
      <c r="C138" s="186">
        <v>1</v>
      </c>
      <c r="D138" s="247">
        <f>+VLOOKUP(A138,Base!$A$5:$E$1610,4,FALSE)</f>
        <v>431.92765938581317</v>
      </c>
      <c r="E138" s="247">
        <f>+VLOOKUP(A138,Base!$A$5:$F$1610,5,FALSE)</f>
        <v>539.90957423226644</v>
      </c>
    </row>
    <row r="139" spans="1:5" x14ac:dyDescent="0.25">
      <c r="A139" s="77" t="s">
        <v>1392</v>
      </c>
      <c r="B139" s="165" t="s">
        <v>1937</v>
      </c>
      <c r="C139" s="186">
        <v>1</v>
      </c>
      <c r="D139" s="247">
        <f>+VLOOKUP(A139,Base!$A$5:$E$1610,4,FALSE)</f>
        <v>74.804930795847753</v>
      </c>
      <c r="E139" s="247">
        <f>+VLOOKUP(A139,Base!$A$5:$F$1610,5,FALSE)</f>
        <v>93.506163494809684</v>
      </c>
    </row>
    <row r="140" spans="1:5" x14ac:dyDescent="0.25">
      <c r="A140" s="163" t="s">
        <v>610</v>
      </c>
      <c r="B140" s="165" t="s">
        <v>1938</v>
      </c>
      <c r="C140" s="168"/>
      <c r="D140" s="247">
        <f>+VLOOKUP(A140,Base!$A$5:$E$1610,4,FALSE)</f>
        <v>42.241938854489163</v>
      </c>
      <c r="E140" s="247">
        <f>+VLOOKUP(A140,Base!$A$5:$F$1610,5,FALSE)</f>
        <v>52.80242356811145</v>
      </c>
    </row>
    <row r="141" spans="1:5" x14ac:dyDescent="0.25">
      <c r="A141" s="164" t="s">
        <v>1939</v>
      </c>
      <c r="B141" s="165" t="s">
        <v>1940</v>
      </c>
      <c r="C141" s="186">
        <v>1</v>
      </c>
      <c r="D141" s="247">
        <f>+VLOOKUP(A141,Base!$A$5:$E$1610,4,FALSE)</f>
        <v>2.7523897058823521</v>
      </c>
      <c r="E141" s="247">
        <f>+VLOOKUP(A141,Base!$A$5:$F$1610,5,FALSE)</f>
        <v>3.4404871323529398</v>
      </c>
    </row>
    <row r="142" spans="1:5" x14ac:dyDescent="0.25">
      <c r="A142" s="160"/>
      <c r="B142" s="165" t="e">
        <v>#N/A</v>
      </c>
      <c r="C142" s="187"/>
      <c r="D142" s="255"/>
      <c r="E142" s="255"/>
    </row>
    <row r="143" spans="1:5" x14ac:dyDescent="0.25">
      <c r="A143" s="160"/>
      <c r="B143" s="184"/>
      <c r="C143" s="160"/>
      <c r="D143" s="245"/>
      <c r="E143" s="245"/>
    </row>
    <row r="144" spans="1:5" x14ac:dyDescent="0.25">
      <c r="A144" s="441" t="s">
        <v>1941</v>
      </c>
      <c r="B144" s="442"/>
      <c r="C144" s="442"/>
      <c r="D144" s="442"/>
      <c r="E144" s="443"/>
    </row>
    <row r="145" spans="1:5" x14ac:dyDescent="0.25">
      <c r="A145" s="162" t="s">
        <v>1834</v>
      </c>
      <c r="B145" s="162" t="s">
        <v>1829</v>
      </c>
      <c r="C145" s="162" t="s">
        <v>1886</v>
      </c>
      <c r="D145" s="246" t="s">
        <v>1887</v>
      </c>
      <c r="E145" s="246" t="s">
        <v>1888</v>
      </c>
    </row>
    <row r="146" spans="1:5" x14ac:dyDescent="0.25">
      <c r="A146" s="163">
        <v>8503938</v>
      </c>
      <c r="B146" s="164" t="s">
        <v>1942</v>
      </c>
      <c r="C146" s="168">
        <v>1</v>
      </c>
      <c r="D146" s="247">
        <f>+VLOOKUP(A146,Base!$A$5:$E$1610,4,FALSE)</f>
        <v>858.03513157894747</v>
      </c>
      <c r="E146" s="247">
        <f>+VLOOKUP(A146,Base!$A$5:$F$1610,5,FALSE)</f>
        <v>1072.5439144736843</v>
      </c>
    </row>
    <row r="147" spans="1:5" x14ac:dyDescent="0.25">
      <c r="A147" s="163">
        <v>8506243</v>
      </c>
      <c r="B147" s="165" t="s">
        <v>294</v>
      </c>
      <c r="C147" s="168">
        <v>1</v>
      </c>
      <c r="D147" s="247">
        <f>+VLOOKUP(A147,Base!$A$5:$E$1610,4,FALSE)</f>
        <v>1962.5155843653251</v>
      </c>
      <c r="E147" s="247">
        <f>+VLOOKUP(A147,Base!$A$5:$F$1610,5,FALSE)</f>
        <v>2453.1444804566563</v>
      </c>
    </row>
    <row r="148" spans="1:5" x14ac:dyDescent="0.25">
      <c r="A148" s="163">
        <v>8518532</v>
      </c>
      <c r="B148" s="164" t="s">
        <v>434</v>
      </c>
      <c r="C148" s="168">
        <v>1</v>
      </c>
      <c r="D148" s="247">
        <f>+VLOOKUP(A148,Base!$A$5:$E$1610,4,FALSE)</f>
        <v>1141.5526857585139</v>
      </c>
      <c r="E148" s="247">
        <f>+VLOOKUP(A148,Base!$A$5:$F$1610,5,FALSE)</f>
        <v>1426.9408571981423</v>
      </c>
    </row>
    <row r="149" spans="1:5" x14ac:dyDescent="0.25">
      <c r="A149" s="163" t="s">
        <v>1943</v>
      </c>
      <c r="B149" s="164" t="s">
        <v>1944</v>
      </c>
      <c r="C149" s="168">
        <v>1</v>
      </c>
      <c r="D149" s="247">
        <f>+VLOOKUP(A149,Base!$A$5:$E$1610,4,FALSE)</f>
        <v>4128.5845588235288</v>
      </c>
      <c r="E149" s="247">
        <f>+VLOOKUP(A149,Base!$A$5:$F$1610,5,FALSE)</f>
        <v>5160.7306985294108</v>
      </c>
    </row>
    <row r="150" spans="1:5" x14ac:dyDescent="0.25">
      <c r="A150" s="163">
        <v>8513986</v>
      </c>
      <c r="B150" s="165" t="s">
        <v>1945</v>
      </c>
      <c r="C150" s="168">
        <v>1</v>
      </c>
      <c r="D150" s="247">
        <f>+VLOOKUP(A150,Base!$A$5:$E$1610,4,FALSE)</f>
        <v>552.03956017801852</v>
      </c>
      <c r="E150" s="247">
        <f>+VLOOKUP(A150,Base!$A$5:$F$1610,5,FALSE)</f>
        <v>690.04945022252309</v>
      </c>
    </row>
    <row r="151" spans="1:5" x14ac:dyDescent="0.25">
      <c r="A151" s="163">
        <v>8511740</v>
      </c>
      <c r="B151" s="165" t="s">
        <v>1946</v>
      </c>
      <c r="C151" s="168">
        <v>1</v>
      </c>
      <c r="D151" s="247">
        <f>+VLOOKUP(A151,Base!$A$5:$E$1610,4,FALSE)</f>
        <v>45.662145220588229</v>
      </c>
      <c r="E151" s="247">
        <f>+VLOOKUP(A151,Base!$A$5:$F$1610,5,FALSE)</f>
        <v>57.077681525735287</v>
      </c>
    </row>
    <row r="152" spans="1:5" x14ac:dyDescent="0.25">
      <c r="A152" s="163">
        <v>8506213</v>
      </c>
      <c r="B152" s="165" t="s">
        <v>1947</v>
      </c>
      <c r="C152" s="168">
        <v>1</v>
      </c>
      <c r="D152" s="247">
        <f>+VLOOKUP(A152,Base!$A$5:$E$1610,4,FALSE)</f>
        <v>20.938442530959751</v>
      </c>
      <c r="E152" s="247">
        <f>+VLOOKUP(A152,Base!$A$5:$F$1610,5,FALSE)</f>
        <v>26.173053163699688</v>
      </c>
    </row>
    <row r="153" spans="1:5" x14ac:dyDescent="0.25">
      <c r="A153" s="160"/>
      <c r="B153" s="160"/>
      <c r="C153" s="160"/>
      <c r="D153" s="245"/>
      <c r="E153" s="245"/>
    </row>
    <row r="154" spans="1:5" x14ac:dyDescent="0.25">
      <c r="A154" s="441" t="s">
        <v>1948</v>
      </c>
      <c r="B154" s="442"/>
      <c r="C154" s="442"/>
      <c r="D154" s="442"/>
      <c r="E154" s="443"/>
    </row>
    <row r="155" spans="1:5" x14ac:dyDescent="0.25">
      <c r="A155" s="162" t="s">
        <v>1834</v>
      </c>
      <c r="B155" s="162" t="s">
        <v>1949</v>
      </c>
      <c r="C155" s="162" t="s">
        <v>1886</v>
      </c>
      <c r="D155" s="246" t="s">
        <v>1887</v>
      </c>
      <c r="E155" s="246" t="s">
        <v>1888</v>
      </c>
    </row>
    <row r="156" spans="1:5" x14ac:dyDescent="0.25">
      <c r="A156" s="163">
        <v>8517514</v>
      </c>
      <c r="B156" s="164" t="s">
        <v>417</v>
      </c>
      <c r="C156" s="168" t="s">
        <v>416</v>
      </c>
      <c r="D156" s="247">
        <f>+VLOOKUP(A156,Base!$A$5:$E$1610,4,FALSE)</f>
        <v>2595.47596875</v>
      </c>
      <c r="E156" s="247">
        <f>+VLOOKUP(A156,Base!$A$5:$F$1610,5,FALSE)</f>
        <v>3244.3449609374998</v>
      </c>
    </row>
    <row r="157" spans="1:5" x14ac:dyDescent="0.25">
      <c r="A157" s="163">
        <v>8517513</v>
      </c>
      <c r="B157" s="164" t="s">
        <v>415</v>
      </c>
      <c r="C157" s="168" t="s">
        <v>416</v>
      </c>
      <c r="D157" s="247">
        <f>+VLOOKUP(A157,Base!$A$5:$E$1610,4,FALSE)</f>
        <v>1292.7974448529415</v>
      </c>
      <c r="E157" s="247">
        <f>+VLOOKUP(A157,Base!$A$5:$F$1610,5,FALSE)</f>
        <v>1615.9968060661768</v>
      </c>
    </row>
    <row r="158" spans="1:5" x14ac:dyDescent="0.25">
      <c r="A158" s="163">
        <v>8517518</v>
      </c>
      <c r="B158" s="164" t="s">
        <v>419</v>
      </c>
      <c r="C158" s="168" t="s">
        <v>243</v>
      </c>
      <c r="D158" s="247">
        <f>+VLOOKUP(A158,Base!$A$5:$E$1610,4,FALSE)</f>
        <v>4728.3085593805154</v>
      </c>
      <c r="E158" s="247">
        <f>+VLOOKUP(A158,Base!$A$5:$F$1610,5,FALSE)</f>
        <v>5910.3856992256442</v>
      </c>
    </row>
    <row r="159" spans="1:5" x14ac:dyDescent="0.25">
      <c r="A159" s="163">
        <v>8517517</v>
      </c>
      <c r="B159" s="164" t="s">
        <v>418</v>
      </c>
      <c r="C159" s="168" t="s">
        <v>243</v>
      </c>
      <c r="D159" s="247">
        <f>+VLOOKUP(A159,Base!$A$5:$E$1610,4,FALSE)</f>
        <v>5050.0846323529413</v>
      </c>
      <c r="E159" s="247">
        <f>+VLOOKUP(A159,Base!$A$5:$F$1610,5,FALSE)</f>
        <v>6312.6057904411764</v>
      </c>
    </row>
    <row r="160" spans="1:5" x14ac:dyDescent="0.25">
      <c r="A160" s="163" t="s">
        <v>1145</v>
      </c>
      <c r="B160" s="164" t="s">
        <v>1146</v>
      </c>
      <c r="C160" s="168">
        <v>1</v>
      </c>
      <c r="D160" s="247">
        <f>+VLOOKUP(A160,Base!$A$5:$E$1610,4,FALSE)</f>
        <v>913.03104575163377</v>
      </c>
      <c r="E160" s="247">
        <f>+VLOOKUP(A160,Base!$A$5:$F$1610,5,FALSE)</f>
        <v>1141.2888071895422</v>
      </c>
    </row>
    <row r="161" spans="1:5" x14ac:dyDescent="0.25">
      <c r="A161" s="163"/>
      <c r="B161" s="164"/>
      <c r="C161" s="168"/>
      <c r="D161" s="251"/>
      <c r="E161" s="251"/>
    </row>
    <row r="162" spans="1:5" x14ac:dyDescent="0.25">
      <c r="A162" s="163">
        <v>8517439</v>
      </c>
      <c r="B162" s="164" t="s">
        <v>411</v>
      </c>
      <c r="C162" s="168">
        <v>1</v>
      </c>
      <c r="D162" s="247">
        <f>+VLOOKUP(A162,Base!$A$5:$E$1610,4,FALSE)</f>
        <v>212.85536980698527</v>
      </c>
      <c r="E162" s="247">
        <f>+VLOOKUP(A162,Base!$A$5:$F$1610,5,FALSE)</f>
        <v>266.06921225873157</v>
      </c>
    </row>
    <row r="163" spans="1:5" x14ac:dyDescent="0.25">
      <c r="A163" s="163">
        <v>8517440</v>
      </c>
      <c r="B163" s="164" t="s">
        <v>412</v>
      </c>
      <c r="C163" s="168">
        <v>1</v>
      </c>
      <c r="D163" s="247">
        <f>+VLOOKUP(A163,Base!$A$5:$E$1610,4,FALSE)</f>
        <v>778.04552205882351</v>
      </c>
      <c r="E163" s="247">
        <f>+VLOOKUP(A163,Base!$A$5:$F$1610,5,FALSE)</f>
        <v>972.55690257352933</v>
      </c>
    </row>
    <row r="164" spans="1:5" x14ac:dyDescent="0.25">
      <c r="A164" s="163">
        <v>8517441</v>
      </c>
      <c r="B164" s="164" t="s">
        <v>413</v>
      </c>
      <c r="C164" s="168">
        <v>1</v>
      </c>
      <c r="D164" s="247">
        <f>+VLOOKUP(A164,Base!$A$5:$E$1610,4,FALSE)</f>
        <v>1110.1025079334368</v>
      </c>
      <c r="E164" s="247">
        <f>+VLOOKUP(A164,Base!$A$5:$F$1610,5,FALSE)</f>
        <v>1387.6281349167959</v>
      </c>
    </row>
    <row r="165" spans="1:5" x14ac:dyDescent="0.25">
      <c r="A165" s="163">
        <v>8518159</v>
      </c>
      <c r="B165" s="164" t="s">
        <v>430</v>
      </c>
      <c r="C165" s="168">
        <v>1</v>
      </c>
      <c r="D165" s="247">
        <f>+VLOOKUP(A165,Base!$A$5:$E$1610,4,FALSE)</f>
        <v>962.07319504643965</v>
      </c>
      <c r="E165" s="247">
        <f>+VLOOKUP(A165,Base!$A$5:$F$1610,5,FALSE)</f>
        <v>1202.5914938080496</v>
      </c>
    </row>
    <row r="166" spans="1:5" x14ac:dyDescent="0.25">
      <c r="A166" s="163"/>
      <c r="B166" s="164"/>
      <c r="C166" s="168"/>
      <c r="D166" s="251"/>
      <c r="E166" s="251"/>
    </row>
    <row r="167" spans="1:5" x14ac:dyDescent="0.25">
      <c r="A167" s="163">
        <v>8517538</v>
      </c>
      <c r="B167" s="164" t="s">
        <v>420</v>
      </c>
      <c r="C167" s="168">
        <v>1</v>
      </c>
      <c r="D167" s="247">
        <f>+VLOOKUP(A167,Base!$A$5:$E$1610,4,FALSE)</f>
        <v>3419.02961230147</v>
      </c>
      <c r="E167" s="247">
        <f>+VLOOKUP(A167,Base!$A$5:$F$1610,5,FALSE)</f>
        <v>4273.7870153768372</v>
      </c>
    </row>
    <row r="168" spans="1:5" x14ac:dyDescent="0.25">
      <c r="A168" s="163"/>
      <c r="B168" s="164"/>
      <c r="C168" s="168"/>
      <c r="D168" s="251"/>
      <c r="E168" s="251"/>
    </row>
    <row r="169" spans="1:5" x14ac:dyDescent="0.25">
      <c r="A169" s="163">
        <v>8508251</v>
      </c>
      <c r="B169" s="164" t="s">
        <v>1950</v>
      </c>
      <c r="C169" s="168"/>
      <c r="D169" s="247">
        <f>+VLOOKUP(A169,Base!$A$5:$E$1610,4,FALSE)</f>
        <v>1068.5385261222912</v>
      </c>
      <c r="E169" s="247">
        <f>+VLOOKUP(A169,Base!$A$5:$F$1610,5,FALSE)</f>
        <v>1335.6731576528639</v>
      </c>
    </row>
    <row r="170" spans="1:5" x14ac:dyDescent="0.25">
      <c r="A170" s="163"/>
      <c r="B170" s="164"/>
      <c r="C170" s="168"/>
      <c r="D170" s="251"/>
      <c r="E170" s="251"/>
    </row>
    <row r="171" spans="1:5" x14ac:dyDescent="0.25">
      <c r="A171" s="163">
        <v>8513975</v>
      </c>
      <c r="B171" s="164" t="s">
        <v>386</v>
      </c>
      <c r="C171" s="168">
        <v>1</v>
      </c>
      <c r="D171" s="247">
        <f>+VLOOKUP(A171,Base!$A$5:$E$1610,4,FALSE)</f>
        <v>524.29433823529416</v>
      </c>
      <c r="E171" s="247">
        <f>+VLOOKUP(A171,Base!$A$5:$F$1610,5,FALSE)</f>
        <v>655.3679227941177</v>
      </c>
    </row>
    <row r="172" spans="1:5" x14ac:dyDescent="0.25">
      <c r="A172" s="163">
        <v>8590473</v>
      </c>
      <c r="B172" s="164" t="s">
        <v>469</v>
      </c>
      <c r="C172" s="168">
        <v>1</v>
      </c>
      <c r="D172" s="247">
        <f>+VLOOKUP(A172,Base!$A$5:$E$1610,4,FALSE)</f>
        <v>169.38495975232195</v>
      </c>
      <c r="E172" s="247">
        <f>+VLOOKUP(A172,Base!$A$5:$F$1610,5,FALSE)</f>
        <v>211.73119969040243</v>
      </c>
    </row>
    <row r="173" spans="1:5" x14ac:dyDescent="0.25">
      <c r="A173" s="164"/>
      <c r="B173" s="164"/>
      <c r="C173" s="164"/>
      <c r="D173" s="248"/>
      <c r="E173" s="248"/>
    </row>
    <row r="174" spans="1:5" x14ac:dyDescent="0.25">
      <c r="A174" s="162" t="s">
        <v>1834</v>
      </c>
      <c r="B174" s="162" t="s">
        <v>1951</v>
      </c>
      <c r="C174" s="162" t="s">
        <v>1886</v>
      </c>
      <c r="D174" s="246" t="s">
        <v>1887</v>
      </c>
      <c r="E174" s="246" t="s">
        <v>1888</v>
      </c>
    </row>
    <row r="175" spans="1:5" x14ac:dyDescent="0.25">
      <c r="A175" s="168">
        <v>8516253</v>
      </c>
      <c r="B175" s="164" t="s">
        <v>1952</v>
      </c>
      <c r="C175" s="163">
        <v>1</v>
      </c>
      <c r="D175" s="247">
        <f>+VLOOKUP(A175,Base!$A$5:$E$1610,4,FALSE)</f>
        <v>3202.8387320723687</v>
      </c>
      <c r="E175" s="247">
        <f>+VLOOKUP(A175,Base!$A$5:$F$1610,5,FALSE)</f>
        <v>4003.5484150904608</v>
      </c>
    </row>
    <row r="176" spans="1:5" x14ac:dyDescent="0.25">
      <c r="A176" s="168">
        <v>8517089</v>
      </c>
      <c r="B176" s="164" t="s">
        <v>1953</v>
      </c>
      <c r="C176" s="163">
        <v>1</v>
      </c>
      <c r="D176" s="247">
        <f>+VLOOKUP(A176,Base!$A$5:$E$1610,4,FALSE)</f>
        <v>3612.2469572368418</v>
      </c>
      <c r="E176" s="247">
        <f>+VLOOKUP(A176,Base!$A$5:$F$1610,5,FALSE)</f>
        <v>4515.3086965460516</v>
      </c>
    </row>
    <row r="177" spans="1:5" x14ac:dyDescent="0.25">
      <c r="A177" s="188" t="s">
        <v>576</v>
      </c>
      <c r="B177" s="164" t="s">
        <v>1954</v>
      </c>
      <c r="C177" s="163">
        <v>1</v>
      </c>
      <c r="D177" s="247">
        <f>+VLOOKUP(A177,Base!$A$5:$E$1610,4,FALSE)</f>
        <v>930.03248161764691</v>
      </c>
      <c r="E177" s="247">
        <f>+VLOOKUP(A177,Base!$A$5:$F$1610,5,FALSE)</f>
        <v>1162.5406020220585</v>
      </c>
    </row>
    <row r="178" spans="1:5" x14ac:dyDescent="0.25">
      <c r="A178" s="168">
        <v>8507467</v>
      </c>
      <c r="B178" s="164" t="s">
        <v>311</v>
      </c>
      <c r="C178" s="163">
        <v>1</v>
      </c>
      <c r="D178" s="247">
        <f>+VLOOKUP(A178,Base!$A$5:$E$1610,4,FALSE)</f>
        <v>4792.4334319852933</v>
      </c>
      <c r="E178" s="247">
        <f>+VLOOKUP(A178,Base!$A$5:$F$1610,5,FALSE)</f>
        <v>5990.5417899816166</v>
      </c>
    </row>
    <row r="179" spans="1:5" x14ac:dyDescent="0.25">
      <c r="A179" s="168"/>
      <c r="B179" s="164"/>
      <c r="C179" s="163"/>
      <c r="D179" s="247"/>
      <c r="E179" s="247"/>
    </row>
    <row r="180" spans="1:5" x14ac:dyDescent="0.25">
      <c r="A180" s="168">
        <v>8515506</v>
      </c>
      <c r="B180" s="165" t="s">
        <v>1955</v>
      </c>
      <c r="C180" s="163">
        <v>1</v>
      </c>
      <c r="D180" s="247">
        <f>+VLOOKUP(A180,Base!$A$5:$E$1610,4,FALSE)</f>
        <v>4.3284949690402472</v>
      </c>
      <c r="E180" s="247">
        <f>+VLOOKUP(A180,Base!$A$5:$F$1610,5,FALSE)</f>
        <v>5.4106187113003088</v>
      </c>
    </row>
    <row r="181" spans="1:5" x14ac:dyDescent="0.25">
      <c r="A181" s="188">
        <v>8513776</v>
      </c>
      <c r="B181" s="165" t="s">
        <v>1956</v>
      </c>
      <c r="C181" s="163">
        <v>1</v>
      </c>
      <c r="D181" s="247">
        <f>+VLOOKUP(A181,Base!$A$5:$E$1610,4,FALSE)</f>
        <v>65.683607391640876</v>
      </c>
      <c r="E181" s="247">
        <f>+VLOOKUP(A181,Base!$A$5:$F$1610,5,FALSE)</f>
        <v>82.104509239551092</v>
      </c>
    </row>
    <row r="182" spans="1:5" x14ac:dyDescent="0.25">
      <c r="A182" s="168" t="s">
        <v>586</v>
      </c>
      <c r="B182" s="165" t="s">
        <v>1957</v>
      </c>
      <c r="C182" s="163">
        <v>1</v>
      </c>
      <c r="D182" s="247">
        <f>+VLOOKUP(A182,Base!$A$5:$E$1610,4,FALSE)</f>
        <v>47.615309765624993</v>
      </c>
      <c r="E182" s="247">
        <f>+VLOOKUP(A182,Base!$A$5:$F$1610,5,FALSE)</f>
        <v>59.519137207031235</v>
      </c>
    </row>
    <row r="183" spans="1:5" x14ac:dyDescent="0.25">
      <c r="A183" s="168" t="s">
        <v>585</v>
      </c>
      <c r="B183" s="165" t="s">
        <v>1958</v>
      </c>
      <c r="C183" s="163">
        <v>1</v>
      </c>
      <c r="D183" s="247">
        <f>+VLOOKUP(A183,Base!$A$5:$E$1610,4,FALSE)</f>
        <v>44.931385753676466</v>
      </c>
      <c r="E183" s="247">
        <f>+VLOOKUP(A183,Base!$A$5:$F$1610,5,FALSE)</f>
        <v>56.164232192095582</v>
      </c>
    </row>
    <row r="184" spans="1:5" x14ac:dyDescent="0.25">
      <c r="A184" s="168" t="s">
        <v>1959</v>
      </c>
      <c r="B184" s="165" t="str">
        <f>VLOOKUP(A184,[1]Base!$A$11:$R$1201,4,FALSE)</f>
        <v>FLAP-VALVE,MILK PUMP</v>
      </c>
      <c r="C184" s="163">
        <v>1</v>
      </c>
      <c r="D184" s="247">
        <f>+VLOOKUP(A184,Base!$A$5:$E$1610,4,FALSE)</f>
        <v>8.2571691176470594</v>
      </c>
      <c r="E184" s="247">
        <f>+VLOOKUP(A184,Base!$A$5:$F$1610,5,FALSE)</f>
        <v>10.321461397058824</v>
      </c>
    </row>
    <row r="185" spans="1:5" x14ac:dyDescent="0.25">
      <c r="A185" s="168">
        <v>8518516</v>
      </c>
      <c r="B185" s="165" t="s">
        <v>1695</v>
      </c>
      <c r="C185" s="163">
        <v>1</v>
      </c>
      <c r="D185" s="247">
        <f>+VLOOKUP(A185,Base!$A$5:$E$1610,4,FALSE)</f>
        <v>1543.9950156733746</v>
      </c>
      <c r="E185" s="247">
        <f>+VLOOKUP(A185,Base!$A$5:$F$1610,5,FALSE)</f>
        <v>1929.9937695917181</v>
      </c>
    </row>
    <row r="186" spans="1:5" x14ac:dyDescent="0.25">
      <c r="A186" s="168"/>
      <c r="B186" s="165"/>
      <c r="C186" s="163"/>
      <c r="D186" s="247"/>
      <c r="E186" s="247"/>
    </row>
    <row r="187" spans="1:5" x14ac:dyDescent="0.25">
      <c r="A187" s="168"/>
      <c r="B187" s="165"/>
      <c r="C187" s="163"/>
      <c r="D187" s="247"/>
      <c r="E187" s="247"/>
    </row>
    <row r="188" spans="1:5" x14ac:dyDescent="0.25">
      <c r="A188" s="168">
        <v>4024552</v>
      </c>
      <c r="B188" s="164" t="s">
        <v>184</v>
      </c>
      <c r="C188" s="163">
        <v>1</v>
      </c>
      <c r="D188" s="247">
        <f>+VLOOKUP(A188,Base!$A$5:$E$1610,4,FALSE)</f>
        <v>2646.1474632352933</v>
      </c>
      <c r="E188" s="247">
        <f>+VLOOKUP(A188,Base!$A$5:$F$1610,5,FALSE)</f>
        <v>3307.6843290441166</v>
      </c>
    </row>
    <row r="189" spans="1:5" x14ac:dyDescent="0.25">
      <c r="A189" s="168">
        <v>4024553</v>
      </c>
      <c r="B189" s="164" t="s">
        <v>185</v>
      </c>
      <c r="C189" s="163">
        <v>1</v>
      </c>
      <c r="D189" s="247">
        <f>+VLOOKUP(A189,Base!$A$5:$E$1610,4,FALSE)</f>
        <v>3512.0492647058827</v>
      </c>
      <c r="E189" s="247">
        <f>+VLOOKUP(A189,Base!$A$5:$F$1610,5,FALSE)</f>
        <v>4390.0615808823532</v>
      </c>
    </row>
    <row r="190" spans="1:5" x14ac:dyDescent="0.25">
      <c r="A190" s="168">
        <v>4024554</v>
      </c>
      <c r="B190" s="164" t="s">
        <v>186</v>
      </c>
      <c r="C190" s="163">
        <v>1</v>
      </c>
      <c r="D190" s="247">
        <f>+VLOOKUP(A190,Base!$A$5:$E$1610,4,FALSE)</f>
        <v>3096.3833713235294</v>
      </c>
      <c r="E190" s="247">
        <f>+VLOOKUP(A190,Base!$A$5:$F$1610,5,FALSE)</f>
        <v>3870.4792141544117</v>
      </c>
    </row>
    <row r="191" spans="1:5" x14ac:dyDescent="0.25">
      <c r="A191" s="168">
        <v>4024555</v>
      </c>
      <c r="B191" s="164" t="s">
        <v>187</v>
      </c>
      <c r="C191" s="163">
        <v>1</v>
      </c>
      <c r="D191" s="247">
        <f>+VLOOKUP(A191,Base!$A$5:$E$1610,4,FALSE)</f>
        <v>4286.1313455882355</v>
      </c>
      <c r="E191" s="247">
        <f>+VLOOKUP(A191,Base!$A$5:$F$1610,5,FALSE)</f>
        <v>5357.6641819852939</v>
      </c>
    </row>
    <row r="192" spans="1:5" x14ac:dyDescent="0.25">
      <c r="A192" s="163"/>
      <c r="B192" s="165"/>
      <c r="C192" s="164"/>
      <c r="D192" s="248"/>
      <c r="E192" s="248"/>
    </row>
    <row r="193" spans="1:5" x14ac:dyDescent="0.25">
      <c r="A193" s="162" t="s">
        <v>1834</v>
      </c>
      <c r="B193" s="162" t="s">
        <v>1812</v>
      </c>
      <c r="C193" s="162" t="s">
        <v>1886</v>
      </c>
      <c r="D193" s="246" t="s">
        <v>1887</v>
      </c>
      <c r="E193" s="246" t="s">
        <v>1888</v>
      </c>
    </row>
    <row r="194" spans="1:5" x14ac:dyDescent="0.25">
      <c r="A194" s="163">
        <v>8500529</v>
      </c>
      <c r="B194" s="164" t="s">
        <v>241</v>
      </c>
      <c r="C194" s="163">
        <v>1</v>
      </c>
      <c r="D194" s="247">
        <f>+VLOOKUP(A194,Base!$A$5:$E$1610,4,FALSE)</f>
        <v>1824.3824036377709</v>
      </c>
      <c r="E194" s="247">
        <f>+VLOOKUP(A194,Base!$A$5:$F$1610,5,FALSE)</f>
        <v>2280.4780045472135</v>
      </c>
    </row>
    <row r="195" spans="1:5" x14ac:dyDescent="0.25">
      <c r="A195" s="163">
        <v>8500887</v>
      </c>
      <c r="B195" s="164" t="s">
        <v>260</v>
      </c>
      <c r="C195" s="163">
        <v>1</v>
      </c>
      <c r="D195" s="247">
        <f>+VLOOKUP(A195,Base!$A$5:$E$1610,4,FALSE)</f>
        <v>3712.8578231424158</v>
      </c>
      <c r="E195" s="247">
        <f>+VLOOKUP(A195,Base!$A$5:$F$1610,5,FALSE)</f>
        <v>4641.0722789280198</v>
      </c>
    </row>
    <row r="196" spans="1:5" x14ac:dyDescent="0.25">
      <c r="A196" s="163"/>
      <c r="B196" s="164"/>
      <c r="C196" s="163"/>
      <c r="D196" s="247"/>
      <c r="E196" s="247"/>
    </row>
    <row r="197" spans="1:5" x14ac:dyDescent="0.25">
      <c r="A197" s="162" t="s">
        <v>1834</v>
      </c>
      <c r="B197" s="162" t="s">
        <v>1960</v>
      </c>
      <c r="C197" s="162" t="s">
        <v>1886</v>
      </c>
      <c r="D197" s="246" t="s">
        <v>1887</v>
      </c>
      <c r="E197" s="246" t="s">
        <v>1888</v>
      </c>
    </row>
    <row r="198" spans="1:5" x14ac:dyDescent="0.25">
      <c r="A198" s="163">
        <v>8507902</v>
      </c>
      <c r="B198" s="164" t="s">
        <v>314</v>
      </c>
      <c r="C198" s="163">
        <v>1</v>
      </c>
      <c r="D198" s="247">
        <f>+VLOOKUP(A198,Base!$A$5:$E$1610,4,FALSE)</f>
        <v>66.491940789473688</v>
      </c>
      <c r="E198" s="247">
        <f>+VLOOKUP(A198,Base!$A$5:$F$1610,5,FALSE)</f>
        <v>83.11492598684211</v>
      </c>
    </row>
    <row r="199" spans="1:5" x14ac:dyDescent="0.25">
      <c r="A199" s="163">
        <v>8507953</v>
      </c>
      <c r="B199" s="164" t="s">
        <v>323</v>
      </c>
      <c r="C199" s="163">
        <v>1</v>
      </c>
      <c r="D199" s="247">
        <f>+VLOOKUP(A199,Base!$A$5:$E$1610,4,FALSE)</f>
        <v>93.401620356037157</v>
      </c>
      <c r="E199" s="247">
        <f>+VLOOKUP(A199,Base!$A$5:$F$1610,5,FALSE)</f>
        <v>116.75202544504644</v>
      </c>
    </row>
    <row r="200" spans="1:5" x14ac:dyDescent="0.25">
      <c r="A200" s="163">
        <v>8500322</v>
      </c>
      <c r="B200" s="164" t="s">
        <v>224</v>
      </c>
      <c r="C200" s="163">
        <v>1</v>
      </c>
      <c r="D200" s="247">
        <f>+VLOOKUP(A200,Base!$A$5:$E$1610,4,FALSE)</f>
        <v>110.39835110294118</v>
      </c>
      <c r="E200" s="247">
        <f>+VLOOKUP(A200,Base!$A$5:$F$1610,5,FALSE)</f>
        <v>137.99793887867645</v>
      </c>
    </row>
    <row r="201" spans="1:5" x14ac:dyDescent="0.25">
      <c r="A201" s="163">
        <v>8500327</v>
      </c>
      <c r="B201" s="164" t="s">
        <v>228</v>
      </c>
      <c r="C201" s="163">
        <v>1</v>
      </c>
      <c r="D201" s="247">
        <f>+VLOOKUP(A201,Base!$A$5:$E$1610,4,FALSE)</f>
        <v>151.18876654411764</v>
      </c>
      <c r="E201" s="247">
        <f>+VLOOKUP(A201,Base!$A$5:$F$1610,5,FALSE)</f>
        <v>188.98595818014704</v>
      </c>
    </row>
    <row r="202" spans="1:5" x14ac:dyDescent="0.25">
      <c r="A202" s="163">
        <v>8500860</v>
      </c>
      <c r="B202" s="164" t="s">
        <v>255</v>
      </c>
      <c r="C202" s="163">
        <v>1</v>
      </c>
      <c r="D202" s="247">
        <f>+VLOOKUP(A202,Base!$A$5:$E$1610,4,FALSE)</f>
        <v>276.60647368421053</v>
      </c>
      <c r="E202" s="247">
        <f>+VLOOKUP(A202,Base!$A$5:$F$1610,5,FALSE)</f>
        <v>345.75809210526313</v>
      </c>
    </row>
    <row r="203" spans="1:5" x14ac:dyDescent="0.25">
      <c r="A203" s="163">
        <v>8507901</v>
      </c>
      <c r="B203" s="164" t="s">
        <v>313</v>
      </c>
      <c r="C203" s="163">
        <v>1</v>
      </c>
      <c r="D203" s="247">
        <f>+VLOOKUP(A203,Base!$A$5:$E$1610,4,FALSE)</f>
        <v>66.491940789473688</v>
      </c>
      <c r="E203" s="247">
        <f>+VLOOKUP(A203,Base!$A$5:$F$1610,5,FALSE)</f>
        <v>83.11492598684211</v>
      </c>
    </row>
    <row r="204" spans="1:5" x14ac:dyDescent="0.25">
      <c r="A204" s="163">
        <v>8507954</v>
      </c>
      <c r="B204" s="164" t="s">
        <v>324</v>
      </c>
      <c r="C204" s="163">
        <v>1</v>
      </c>
      <c r="D204" s="247">
        <f>+VLOOKUP(A204,Base!$A$5:$E$1610,4,FALSE)</f>
        <v>82.945436726006179</v>
      </c>
      <c r="E204" s="247">
        <f>+VLOOKUP(A204,Base!$A$5:$F$1610,5,FALSE)</f>
        <v>103.68179590750772</v>
      </c>
    </row>
    <row r="205" spans="1:5" x14ac:dyDescent="0.25">
      <c r="A205" s="163">
        <v>8500320</v>
      </c>
      <c r="B205" s="164" t="s">
        <v>222</v>
      </c>
      <c r="C205" s="163">
        <v>1</v>
      </c>
      <c r="D205" s="247">
        <f>+VLOOKUP(A205,Base!$A$5:$E$1610,4,FALSE)</f>
        <v>123.52725000000001</v>
      </c>
      <c r="E205" s="247">
        <f>+VLOOKUP(A205,Base!$A$5:$F$1610,5,FALSE)</f>
        <v>154.4090625</v>
      </c>
    </row>
    <row r="206" spans="1:5" x14ac:dyDescent="0.25">
      <c r="A206" s="163">
        <v>8500321</v>
      </c>
      <c r="B206" s="164" t="s">
        <v>223</v>
      </c>
      <c r="C206" s="163">
        <v>1</v>
      </c>
      <c r="D206" s="247">
        <f>+VLOOKUP(A206,Base!$A$5:$E$1610,4,FALSE)</f>
        <v>146.28226973684212</v>
      </c>
      <c r="E206" s="247">
        <f>+VLOOKUP(A206,Base!$A$5:$F$1610,5,FALSE)</f>
        <v>182.85283717105264</v>
      </c>
    </row>
    <row r="207" spans="1:5" x14ac:dyDescent="0.25">
      <c r="A207" s="163">
        <v>8500859</v>
      </c>
      <c r="B207" s="164" t="s">
        <v>254</v>
      </c>
      <c r="C207" s="163">
        <v>1</v>
      </c>
      <c r="D207" s="247">
        <f>+VLOOKUP(A207,Base!$A$5:$E$1610,4,FALSE)</f>
        <v>226.07259868421056</v>
      </c>
      <c r="E207" s="247">
        <f>+VLOOKUP(A207,Base!$A$5:$F$1610,5,FALSE)</f>
        <v>282.5907483552632</v>
      </c>
    </row>
    <row r="208" spans="1:5" x14ac:dyDescent="0.25">
      <c r="A208" s="163">
        <v>8500476</v>
      </c>
      <c r="B208" s="164" t="s">
        <v>237</v>
      </c>
      <c r="C208" s="163">
        <v>1</v>
      </c>
      <c r="D208" s="247">
        <f>+VLOOKUP(A208,Base!$A$5:$E$1610,4,FALSE)</f>
        <v>476.79646874999992</v>
      </c>
      <c r="E208" s="247">
        <f>+VLOOKUP(A208,Base!$A$5:$F$1610,5,FALSE)</f>
        <v>595.99558593749987</v>
      </c>
    </row>
    <row r="209" spans="1:5" x14ac:dyDescent="0.25">
      <c r="A209" s="163">
        <v>8500477</v>
      </c>
      <c r="B209" s="164" t="s">
        <v>238</v>
      </c>
      <c r="C209" s="163">
        <v>1</v>
      </c>
      <c r="D209" s="247">
        <f>+VLOOKUP(A209,Base!$A$5:$E$1610,4,FALSE)</f>
        <v>711.3000716911763</v>
      </c>
      <c r="E209" s="247">
        <f>+VLOOKUP(A209,Base!$A$5:$F$1610,5,FALSE)</f>
        <v>889.12508961397032</v>
      </c>
    </row>
    <row r="210" spans="1:5" x14ac:dyDescent="0.25">
      <c r="A210" s="163">
        <v>8500478</v>
      </c>
      <c r="B210" s="164" t="s">
        <v>239</v>
      </c>
      <c r="C210" s="163">
        <v>1</v>
      </c>
      <c r="D210" s="247">
        <f>+VLOOKUP(A210,Base!$A$5:$E$1610,4,FALSE)</f>
        <v>864.08522426470574</v>
      </c>
      <c r="E210" s="247">
        <f>+VLOOKUP(A210,Base!$A$5:$F$1610,5,FALSE)</f>
        <v>1080.1065303308822</v>
      </c>
    </row>
    <row r="211" spans="1:5" x14ac:dyDescent="0.25">
      <c r="A211" s="163">
        <v>8500479</v>
      </c>
      <c r="B211" s="164" t="s">
        <v>240</v>
      </c>
      <c r="C211" s="163">
        <v>1</v>
      </c>
      <c r="D211" s="247">
        <f>+VLOOKUP(A211,Base!$A$5:$E$1610,4,FALSE)</f>
        <v>514.69687500000009</v>
      </c>
      <c r="E211" s="247">
        <f>+VLOOKUP(A211,Base!$A$5:$F$1610,5,FALSE)</f>
        <v>643.37109375000011</v>
      </c>
    </row>
    <row r="212" spans="1:5" x14ac:dyDescent="0.25">
      <c r="A212" s="163"/>
      <c r="B212" s="164"/>
      <c r="C212" s="163"/>
      <c r="D212" s="247"/>
      <c r="E212" s="247"/>
    </row>
    <row r="213" spans="1:5" x14ac:dyDescent="0.25">
      <c r="A213" s="163">
        <v>8511510</v>
      </c>
      <c r="B213" s="164" t="s">
        <v>347</v>
      </c>
      <c r="C213" s="163">
        <v>1</v>
      </c>
      <c r="D213" s="247">
        <f>+VLOOKUP(A213,Base!$A$5:$E$1610,4,FALSE)</f>
        <v>98.920886029411747</v>
      </c>
      <c r="E213" s="247">
        <f>+VLOOKUP(A213,Base!$A$5:$F$1610,5,FALSE)</f>
        <v>123.65110753676468</v>
      </c>
    </row>
    <row r="214" spans="1:5" x14ac:dyDescent="0.25">
      <c r="A214" s="163"/>
      <c r="B214" s="164"/>
      <c r="C214" s="163"/>
      <c r="D214" s="247"/>
      <c r="E214" s="247"/>
    </row>
    <row r="215" spans="1:5" x14ac:dyDescent="0.25">
      <c r="A215" s="163">
        <v>8500823</v>
      </c>
      <c r="B215" s="164" t="s">
        <v>250</v>
      </c>
      <c r="C215" s="163">
        <v>1</v>
      </c>
      <c r="D215" s="247">
        <f>+VLOOKUP(A215,Base!$A$5:$E$1610,4,FALSE)</f>
        <v>9.0828860294117639</v>
      </c>
      <c r="E215" s="247">
        <f>+VLOOKUP(A215,Base!$A$5:$F$1610,5,FALSE)</f>
        <v>11.353607536764704</v>
      </c>
    </row>
    <row r="216" spans="1:5" x14ac:dyDescent="0.25">
      <c r="A216" s="163">
        <v>8500819</v>
      </c>
      <c r="B216" s="164" t="s">
        <v>249</v>
      </c>
      <c r="C216" s="163">
        <v>1</v>
      </c>
      <c r="D216" s="247">
        <f>+VLOOKUP(A216,Base!$A$5:$E$1610,4,FALSE)</f>
        <v>28.030916215170276</v>
      </c>
      <c r="E216" s="247">
        <f>+VLOOKUP(A216,Base!$A$5:$F$1610,5,FALSE)</f>
        <v>35.038645268962846</v>
      </c>
    </row>
    <row r="217" spans="1:5" x14ac:dyDescent="0.25">
      <c r="A217" s="163">
        <v>8500834</v>
      </c>
      <c r="B217" s="164" t="s">
        <v>251</v>
      </c>
      <c r="C217" s="163">
        <v>1</v>
      </c>
      <c r="D217" s="247">
        <f>+VLOOKUP(A217,Base!$A$5:$E$1610,4,FALSE)</f>
        <v>15.13814338235294</v>
      </c>
      <c r="E217" s="247">
        <f>+VLOOKUP(A217,Base!$A$5:$F$1610,5,FALSE)</f>
        <v>18.922679227941174</v>
      </c>
    </row>
    <row r="218" spans="1:5" x14ac:dyDescent="0.25">
      <c r="A218" s="163">
        <v>8500835</v>
      </c>
      <c r="B218" s="164" t="s">
        <v>252</v>
      </c>
      <c r="C218" s="163">
        <v>1</v>
      </c>
      <c r="D218" s="247">
        <f>+VLOOKUP(A218,Base!$A$5:$E$1610,4,FALSE)</f>
        <v>6.0552573529411777</v>
      </c>
      <c r="E218" s="247">
        <f>+VLOOKUP(A218,Base!$A$5:$F$1610,5,FALSE)</f>
        <v>7.5690716911764717</v>
      </c>
    </row>
    <row r="219" spans="1:5" x14ac:dyDescent="0.25">
      <c r="A219" s="163"/>
      <c r="B219" s="164"/>
      <c r="C219" s="163"/>
      <c r="D219" s="247"/>
      <c r="E219" s="247"/>
    </row>
    <row r="220" spans="1:5" x14ac:dyDescent="0.25">
      <c r="A220" s="163">
        <v>8511715</v>
      </c>
      <c r="B220" s="164" t="s">
        <v>350</v>
      </c>
      <c r="C220" s="163">
        <v>1</v>
      </c>
      <c r="D220" s="247">
        <f>+VLOOKUP(A220,Base!$A$5:$E$1610,4,FALSE)</f>
        <v>126.60992647058821</v>
      </c>
      <c r="E220" s="247">
        <f>+VLOOKUP(A220,Base!$A$5:$F$1610,5,FALSE)</f>
        <v>158.26240808823525</v>
      </c>
    </row>
    <row r="221" spans="1:5" x14ac:dyDescent="0.25">
      <c r="A221" s="163"/>
      <c r="B221" s="164"/>
      <c r="C221" s="163"/>
      <c r="D221" s="247"/>
      <c r="E221" s="247"/>
    </row>
    <row r="222" spans="1:5" x14ac:dyDescent="0.25">
      <c r="A222" s="163">
        <v>8504059</v>
      </c>
      <c r="B222" s="164" t="s">
        <v>285</v>
      </c>
      <c r="C222" s="163">
        <v>1</v>
      </c>
      <c r="D222" s="247">
        <f>+VLOOKUP(A222,Base!$A$5:$E$1610,4,FALSE)</f>
        <v>21.193400735294116</v>
      </c>
      <c r="E222" s="247">
        <f>+VLOOKUP(A222,Base!$A$5:$F$1610,5,FALSE)</f>
        <v>26.491750919117642</v>
      </c>
    </row>
    <row r="223" spans="1:5" x14ac:dyDescent="0.25">
      <c r="A223" s="163">
        <v>8504060</v>
      </c>
      <c r="B223" s="164" t="s">
        <v>286</v>
      </c>
      <c r="C223" s="163">
        <v>1</v>
      </c>
      <c r="D223" s="247">
        <f>+VLOOKUP(A223,Base!$A$5:$E$1610,4,FALSE)</f>
        <v>27.248658088235295</v>
      </c>
      <c r="E223" s="247">
        <f>+VLOOKUP(A223,Base!$A$5:$F$1610,5,FALSE)</f>
        <v>34.060822610294117</v>
      </c>
    </row>
    <row r="224" spans="1:5" x14ac:dyDescent="0.25">
      <c r="A224" s="163">
        <v>8504084</v>
      </c>
      <c r="B224" s="164" t="s">
        <v>292</v>
      </c>
      <c r="C224" s="163">
        <v>1</v>
      </c>
      <c r="D224" s="247">
        <f>+VLOOKUP(A224,Base!$A$5:$E$1610,4,FALSE)</f>
        <v>38.17839761029412</v>
      </c>
      <c r="E224" s="247">
        <f>+VLOOKUP(A224,Base!$A$5:$F$1610,5,FALSE)</f>
        <v>47.722997012867644</v>
      </c>
    </row>
    <row r="225" spans="1:5" x14ac:dyDescent="0.25">
      <c r="A225" s="163">
        <v>8504061</v>
      </c>
      <c r="B225" s="164" t="s">
        <v>287</v>
      </c>
      <c r="C225" s="163">
        <v>1</v>
      </c>
      <c r="D225" s="247">
        <f>+VLOOKUP(A225,Base!$A$5:$E$1610,4,FALSE)</f>
        <v>66.772974264705894</v>
      </c>
      <c r="E225" s="247">
        <f>+VLOOKUP(A225,Base!$A$5:$F$1610,5,FALSE)</f>
        <v>83.466217830882357</v>
      </c>
    </row>
    <row r="226" spans="1:5" x14ac:dyDescent="0.25">
      <c r="A226" s="163">
        <v>8504083</v>
      </c>
      <c r="B226" s="164" t="s">
        <v>291</v>
      </c>
      <c r="C226" s="163">
        <v>1</v>
      </c>
      <c r="D226" s="247">
        <f>+VLOOKUP(A226,Base!$A$5:$E$1610,4,FALSE)</f>
        <v>57.524944852941175</v>
      </c>
      <c r="E226" s="247">
        <f>+VLOOKUP(A226,Base!$A$5:$F$1610,5,FALSE)</f>
        <v>71.906181066176458</v>
      </c>
    </row>
    <row r="227" spans="1:5" x14ac:dyDescent="0.25">
      <c r="A227" s="163"/>
      <c r="B227" s="164"/>
      <c r="C227" s="163"/>
      <c r="D227" s="247"/>
      <c r="E227" s="247"/>
    </row>
    <row r="228" spans="1:5" x14ac:dyDescent="0.25">
      <c r="A228" s="163">
        <v>8504063</v>
      </c>
      <c r="B228" s="164" t="s">
        <v>289</v>
      </c>
      <c r="C228" s="163">
        <v>1</v>
      </c>
      <c r="D228" s="247">
        <f>+VLOOKUP(A228,Base!$A$5:$E$1610,4,FALSE)</f>
        <v>102.36137316176469</v>
      </c>
      <c r="E228" s="247">
        <f>+VLOOKUP(A228,Base!$A$5:$F$1610,5,FALSE)</f>
        <v>127.95171645220586</v>
      </c>
    </row>
    <row r="229" spans="1:5" x14ac:dyDescent="0.25">
      <c r="A229" s="163"/>
      <c r="B229" s="164"/>
      <c r="C229" s="163"/>
      <c r="D229" s="247"/>
      <c r="E229" s="247"/>
    </row>
    <row r="230" spans="1:5" x14ac:dyDescent="0.25">
      <c r="A230" s="163">
        <v>8507932</v>
      </c>
      <c r="B230" s="164" t="s">
        <v>318</v>
      </c>
      <c r="C230" s="163">
        <v>1</v>
      </c>
      <c r="D230" s="247">
        <f>+VLOOKUP(A230,Base!$A$5:$E$1610,4,FALSE)</f>
        <v>9.5783161764705884</v>
      </c>
      <c r="E230" s="247">
        <f>+VLOOKUP(A230,Base!$A$5:$F$1610,5,FALSE)</f>
        <v>11.972895220588235</v>
      </c>
    </row>
    <row r="231" spans="1:5" x14ac:dyDescent="0.25">
      <c r="A231" s="163">
        <v>8507933</v>
      </c>
      <c r="B231" s="164" t="s">
        <v>319</v>
      </c>
      <c r="C231" s="163">
        <v>1</v>
      </c>
      <c r="D231" s="247">
        <f>+VLOOKUP(A231,Base!$A$5:$E$1610,4,FALSE)</f>
        <v>10.321461397058822</v>
      </c>
      <c r="E231" s="247">
        <f>+VLOOKUP(A231,Base!$A$5:$F$1610,5,FALSE)</f>
        <v>12.901826746323527</v>
      </c>
    </row>
    <row r="232" spans="1:5" x14ac:dyDescent="0.25">
      <c r="A232" s="163">
        <v>8500433</v>
      </c>
      <c r="B232" s="164" t="s">
        <v>235</v>
      </c>
      <c r="C232" s="163">
        <v>1</v>
      </c>
      <c r="D232" s="247">
        <f>+VLOOKUP(A232,Base!$A$5:$E$1610,4,FALSE)</f>
        <v>11.670132352941176</v>
      </c>
      <c r="E232" s="247">
        <f>+VLOOKUP(A232,Base!$A$5:$F$1610,5,FALSE)</f>
        <v>14.587665441176469</v>
      </c>
    </row>
    <row r="233" spans="1:5" x14ac:dyDescent="0.25">
      <c r="A233" s="163">
        <v>8507966</v>
      </c>
      <c r="B233" s="164" t="s">
        <v>327</v>
      </c>
      <c r="C233" s="163">
        <v>1</v>
      </c>
      <c r="D233" s="247">
        <f>+VLOOKUP(A233,Base!$A$5:$E$1610,4,FALSE)</f>
        <v>13.266518382352942</v>
      </c>
      <c r="E233" s="247">
        <f>+VLOOKUP(A233,Base!$A$5:$F$1610,5,FALSE)</f>
        <v>16.583147977941177</v>
      </c>
    </row>
    <row r="234" spans="1:5" x14ac:dyDescent="0.25">
      <c r="A234" s="163">
        <v>8500866</v>
      </c>
      <c r="B234" s="164" t="s">
        <v>258</v>
      </c>
      <c r="C234" s="163">
        <v>1</v>
      </c>
      <c r="D234" s="247">
        <f>+VLOOKUP(A234,Base!$A$5:$E$1610,4,FALSE)</f>
        <v>19.074060661764705</v>
      </c>
      <c r="E234" s="247">
        <f>+VLOOKUP(A234,Base!$A$5:$F$1610,5,FALSE)</f>
        <v>23.842575827205881</v>
      </c>
    </row>
    <row r="235" spans="1:5" x14ac:dyDescent="0.25">
      <c r="A235" s="163"/>
      <c r="B235" s="164"/>
      <c r="C235" s="163"/>
      <c r="D235" s="247"/>
      <c r="E235" s="247"/>
    </row>
    <row r="236" spans="1:5" x14ac:dyDescent="0.25">
      <c r="A236" s="163">
        <v>8507904</v>
      </c>
      <c r="B236" s="164" t="s">
        <v>315</v>
      </c>
      <c r="C236" s="163">
        <v>1</v>
      </c>
      <c r="D236" s="247">
        <f>+VLOOKUP(A236,Base!$A$5:$E$1610,4,FALSE)</f>
        <v>17.287904605263158</v>
      </c>
      <c r="E236" s="247">
        <f>+VLOOKUP(A236,Base!$A$5:$F$1610,5,FALSE)</f>
        <v>21.609880756578946</v>
      </c>
    </row>
    <row r="237" spans="1:5" x14ac:dyDescent="0.25">
      <c r="A237" s="163">
        <v>8507950</v>
      </c>
      <c r="B237" s="164" t="s">
        <v>321</v>
      </c>
      <c r="C237" s="163">
        <v>1</v>
      </c>
      <c r="D237" s="247">
        <f>+VLOOKUP(A237,Base!$A$5:$E$1610,4,FALSE)</f>
        <v>19.652062499999992</v>
      </c>
      <c r="E237" s="247">
        <f>+VLOOKUP(A237,Base!$A$5:$F$1610,5,FALSE)</f>
        <v>24.565078124999989</v>
      </c>
    </row>
    <row r="238" spans="1:5" x14ac:dyDescent="0.25">
      <c r="A238" s="163">
        <v>8500325</v>
      </c>
      <c r="B238" s="164" t="s">
        <v>226</v>
      </c>
      <c r="C238" s="163">
        <v>1</v>
      </c>
      <c r="D238" s="247">
        <f>+VLOOKUP(A238,Base!$A$5:$E$1610,4,FALSE)</f>
        <v>24.909126838235292</v>
      </c>
      <c r="E238" s="247">
        <f>+VLOOKUP(A238,Base!$A$5:$F$1610,5,FALSE)</f>
        <v>31.136408547794112</v>
      </c>
    </row>
    <row r="239" spans="1:5" x14ac:dyDescent="0.25">
      <c r="A239" s="163">
        <v>8500329</v>
      </c>
      <c r="B239" s="164" t="s">
        <v>229</v>
      </c>
      <c r="C239" s="163">
        <v>1</v>
      </c>
      <c r="D239" s="247">
        <f>+VLOOKUP(A239,Base!$A$5:$E$1610,4,FALSE)</f>
        <v>37.515071691176459</v>
      </c>
      <c r="E239" s="247">
        <f>+VLOOKUP(A239,Base!$A$5:$F$1610,5,FALSE)</f>
        <v>46.89383961397057</v>
      </c>
    </row>
    <row r="240" spans="1:5" x14ac:dyDescent="0.25">
      <c r="A240" s="163"/>
      <c r="B240" s="164"/>
      <c r="C240" s="163"/>
      <c r="D240" s="247"/>
      <c r="E240" s="247"/>
    </row>
    <row r="241" spans="1:5" x14ac:dyDescent="0.25">
      <c r="A241" s="163">
        <v>8507905</v>
      </c>
      <c r="B241" s="164" t="s">
        <v>316</v>
      </c>
      <c r="C241" s="163">
        <v>1</v>
      </c>
      <c r="D241" s="247">
        <f>+VLOOKUP(A241,Base!$A$5:$E$1610,4,FALSE)</f>
        <v>1.6948926083591329</v>
      </c>
      <c r="E241" s="247">
        <f>+VLOOKUP(A241,Base!$A$5:$F$1610,5,FALSE)</f>
        <v>2.118615760448916</v>
      </c>
    </row>
    <row r="242" spans="1:5" x14ac:dyDescent="0.25">
      <c r="A242" s="163">
        <v>8507951</v>
      </c>
      <c r="B242" s="164" t="s">
        <v>322</v>
      </c>
      <c r="C242" s="163">
        <v>1</v>
      </c>
      <c r="D242" s="247">
        <f>+VLOOKUP(A242,Base!$A$5:$E$1610,4,FALSE)</f>
        <v>2.0642922794117649</v>
      </c>
      <c r="E242" s="247">
        <f>+VLOOKUP(A242,Base!$A$5:$F$1610,5,FALSE)</f>
        <v>2.5803653492647061</v>
      </c>
    </row>
    <row r="243" spans="1:5" x14ac:dyDescent="0.25">
      <c r="A243" s="163">
        <v>8500326</v>
      </c>
      <c r="B243" s="164" t="s">
        <v>227</v>
      </c>
      <c r="C243" s="163">
        <v>1</v>
      </c>
      <c r="D243" s="247">
        <f>+VLOOKUP(A243,Base!$A$5:$E$1610,4,FALSE)</f>
        <v>2.3467743808049537</v>
      </c>
      <c r="E243" s="247">
        <f>+VLOOKUP(A243,Base!$A$5:$F$1610,5,FALSE)</f>
        <v>2.9334679760061921</v>
      </c>
    </row>
    <row r="244" spans="1:5" x14ac:dyDescent="0.25">
      <c r="A244" s="163">
        <v>8500331</v>
      </c>
      <c r="B244" s="164" t="s">
        <v>230</v>
      </c>
      <c r="C244" s="163">
        <v>1</v>
      </c>
      <c r="D244" s="247">
        <f>+VLOOKUP(A244,Base!$A$5:$E$1610,4,FALSE)</f>
        <v>2.8682797987616104</v>
      </c>
      <c r="E244" s="247">
        <f>+VLOOKUP(A244,Base!$A$5:$F$1610,5,FALSE)</f>
        <v>3.5853497484520127</v>
      </c>
    </row>
    <row r="245" spans="1:5" x14ac:dyDescent="0.25">
      <c r="A245" s="163">
        <v>8519958</v>
      </c>
      <c r="B245" s="164" t="s">
        <v>441</v>
      </c>
      <c r="C245" s="163">
        <v>1</v>
      </c>
      <c r="D245" s="247">
        <f>+VLOOKUP(A245,Base!$A$5:$E$1610,4,FALSE)</f>
        <v>9.0741942724458209</v>
      </c>
      <c r="E245" s="247">
        <f>+VLOOKUP(A245,Base!$A$5:$F$1610,5,FALSE)</f>
        <v>11.342742840557275</v>
      </c>
    </row>
    <row r="246" spans="1:5" x14ac:dyDescent="0.25">
      <c r="A246" s="163"/>
      <c r="B246" s="164"/>
      <c r="C246" s="163"/>
      <c r="D246" s="247"/>
      <c r="E246" s="247"/>
    </row>
    <row r="247" spans="1:5" x14ac:dyDescent="0.25">
      <c r="A247" s="163">
        <v>8507908</v>
      </c>
      <c r="B247" s="164" t="s">
        <v>317</v>
      </c>
      <c r="C247" s="163">
        <v>1</v>
      </c>
      <c r="D247" s="247">
        <f>+VLOOKUP(A247,Base!$A$5:$E$1610,4,FALSE)</f>
        <v>11.968549342105263</v>
      </c>
      <c r="E247" s="247">
        <f>+VLOOKUP(A247,Base!$A$5:$F$1610,5,FALSE)</f>
        <v>14.960686677631578</v>
      </c>
    </row>
    <row r="248" spans="1:5" x14ac:dyDescent="0.25">
      <c r="A248" s="163">
        <v>8507955</v>
      </c>
      <c r="B248" s="164" t="s">
        <v>325</v>
      </c>
      <c r="C248" s="163">
        <v>1</v>
      </c>
      <c r="D248" s="247">
        <f>+VLOOKUP(A248,Base!$A$5:$E$1610,4,FALSE)</f>
        <v>14.0371875</v>
      </c>
      <c r="E248" s="247">
        <f>+VLOOKUP(A248,Base!$A$5:$F$1610,5,FALSE)</f>
        <v>17.546484374999999</v>
      </c>
    </row>
    <row r="249" spans="1:5" x14ac:dyDescent="0.25">
      <c r="A249" s="163">
        <v>8500559</v>
      </c>
      <c r="B249" s="164" t="s">
        <v>246</v>
      </c>
      <c r="C249" s="163">
        <v>1</v>
      </c>
      <c r="D249" s="247">
        <f>+VLOOKUP(A249,Base!$A$5:$E$1610,4,FALSE)</f>
        <v>18.617743421052626</v>
      </c>
      <c r="E249" s="247">
        <f>+VLOOKUP(A249,Base!$A$5:$F$1610,5,FALSE)</f>
        <v>23.272179276315782</v>
      </c>
    </row>
    <row r="250" spans="1:5" x14ac:dyDescent="0.25">
      <c r="A250" s="163">
        <v>8500560</v>
      </c>
      <c r="B250" s="164" t="s">
        <v>247</v>
      </c>
      <c r="C250" s="163">
        <v>1</v>
      </c>
      <c r="D250" s="247">
        <f>+VLOOKUP(A250,Base!$A$5:$E$1610,4,FALSE)</f>
        <v>29.670761029411764</v>
      </c>
      <c r="E250" s="247">
        <f>+VLOOKUP(A250,Base!$A$5:$F$1610,5,FALSE)</f>
        <v>37.088451286764702</v>
      </c>
    </row>
    <row r="251" spans="1:5" x14ac:dyDescent="0.25">
      <c r="A251" s="163"/>
      <c r="B251" s="164"/>
      <c r="C251" s="163"/>
      <c r="D251" s="247"/>
      <c r="E251" s="247"/>
    </row>
    <row r="252" spans="1:5" x14ac:dyDescent="0.25">
      <c r="A252" s="163">
        <v>8511730</v>
      </c>
      <c r="B252" s="164" t="s">
        <v>351</v>
      </c>
      <c r="C252" s="163">
        <v>1</v>
      </c>
      <c r="D252" s="247">
        <f>+VLOOKUP(A252,Base!$A$5:$E$1610,4,FALSE)</f>
        <v>674.38473123065023</v>
      </c>
      <c r="E252" s="247">
        <f>+VLOOKUP(A252,Base!$A$5:$F$1610,5,FALSE)</f>
        <v>842.98091403831279</v>
      </c>
    </row>
    <row r="253" spans="1:5" x14ac:dyDescent="0.25">
      <c r="A253" s="163"/>
      <c r="B253" s="164"/>
      <c r="C253" s="163"/>
      <c r="D253" s="247"/>
      <c r="E253" s="247"/>
    </row>
    <row r="254" spans="1:5" x14ac:dyDescent="0.25">
      <c r="A254" s="163">
        <v>8510211</v>
      </c>
      <c r="B254" s="164" t="s">
        <v>339</v>
      </c>
      <c r="C254" s="163">
        <v>1</v>
      </c>
      <c r="D254" s="247">
        <f>+VLOOKUP(A254,Base!$A$5:$E$1610,4,FALSE)</f>
        <v>65.921352508650529</v>
      </c>
      <c r="E254" s="247">
        <f>+VLOOKUP(A254,Base!$A$5:$F$1610,5,FALSE)</f>
        <v>82.401690635813154</v>
      </c>
    </row>
    <row r="255" spans="1:5" x14ac:dyDescent="0.25">
      <c r="A255" s="163"/>
      <c r="B255" s="164"/>
      <c r="C255" s="163"/>
      <c r="D255" s="247"/>
      <c r="E255" s="247"/>
    </row>
    <row r="256" spans="1:5" x14ac:dyDescent="0.25">
      <c r="A256" s="163">
        <v>8510210</v>
      </c>
      <c r="B256" s="164" t="s">
        <v>338</v>
      </c>
      <c r="C256" s="163">
        <v>1</v>
      </c>
      <c r="D256" s="247">
        <f>+VLOOKUP(A256,Base!$A$5:$E$1610,4,FALSE)</f>
        <v>77.578532439446377</v>
      </c>
      <c r="E256" s="247">
        <f>+VLOOKUP(A256,Base!$A$5:$F$1610,5,FALSE)</f>
        <v>96.973165549307964</v>
      </c>
    </row>
    <row r="257" spans="1:5" x14ac:dyDescent="0.25">
      <c r="A257" s="160"/>
      <c r="B257" s="160"/>
      <c r="C257" s="160"/>
      <c r="D257" s="245"/>
      <c r="E257" s="245"/>
    </row>
    <row r="258" spans="1:5" x14ac:dyDescent="0.25">
      <c r="A258" s="460" t="s">
        <v>1961</v>
      </c>
      <c r="B258" s="461"/>
      <c r="C258" s="461"/>
      <c r="D258" s="461"/>
      <c r="E258" s="462"/>
    </row>
    <row r="259" spans="1:5" x14ac:dyDescent="0.25">
      <c r="A259" s="162" t="s">
        <v>1834</v>
      </c>
      <c r="B259" s="162" t="s">
        <v>1829</v>
      </c>
      <c r="C259" s="162" t="s">
        <v>1886</v>
      </c>
      <c r="D259" s="246" t="s">
        <v>1887</v>
      </c>
      <c r="E259" s="246" t="s">
        <v>1888</v>
      </c>
    </row>
    <row r="260" spans="1:5" x14ac:dyDescent="0.25">
      <c r="A260" s="168">
        <v>8510723</v>
      </c>
      <c r="B260" s="164" t="s">
        <v>343</v>
      </c>
      <c r="C260" s="163">
        <v>1</v>
      </c>
      <c r="D260" s="247">
        <f>+VLOOKUP(A260,Base!$A$5:$E$1610,4,FALSE)</f>
        <v>7793.2538327205875</v>
      </c>
      <c r="E260" s="247">
        <f>+VLOOKUP(A260,Base!$A$5:$F$1610,5,FALSE)</f>
        <v>9741.5672909007335</v>
      </c>
    </row>
    <row r="261" spans="1:5" x14ac:dyDescent="0.25">
      <c r="A261" s="168">
        <v>8511498</v>
      </c>
      <c r="B261" s="164" t="s">
        <v>345</v>
      </c>
      <c r="C261" s="163">
        <v>1</v>
      </c>
      <c r="D261" s="247">
        <f>+VLOOKUP(A261,Base!$A$5:$E$1610,4,FALSE)</f>
        <v>6970.729693014704</v>
      </c>
      <c r="E261" s="247">
        <f>+VLOOKUP(A261,Base!$A$5:$F$1610,5,FALSE)</f>
        <v>8713.4121162683787</v>
      </c>
    </row>
    <row r="262" spans="1:5" x14ac:dyDescent="0.25">
      <c r="A262" s="168">
        <v>8511499</v>
      </c>
      <c r="B262" s="164" t="s">
        <v>346</v>
      </c>
      <c r="C262" s="163">
        <v>1</v>
      </c>
      <c r="D262" s="247">
        <f>+VLOOKUP(A262,Base!$A$5:$E$1610,4,FALSE)</f>
        <v>7041.0257261029419</v>
      </c>
      <c r="E262" s="247">
        <f>+VLOOKUP(A262,Base!$A$5:$F$1610,5,FALSE)</f>
        <v>8801.2821576286769</v>
      </c>
    </row>
    <row r="263" spans="1:5" x14ac:dyDescent="0.25">
      <c r="A263" s="451"/>
      <c r="B263" s="452"/>
      <c r="C263" s="452"/>
      <c r="D263" s="452"/>
      <c r="E263" s="453"/>
    </row>
    <row r="264" spans="1:5" x14ac:dyDescent="0.25">
      <c r="A264" s="168">
        <v>8512078</v>
      </c>
      <c r="B264" s="164" t="s">
        <v>359</v>
      </c>
      <c r="C264" s="168">
        <v>1</v>
      </c>
      <c r="D264" s="247">
        <f>+VLOOKUP(A264,Base!$A$5:$E$1610,4,FALSE)</f>
        <v>10109.773656153249</v>
      </c>
      <c r="E264" s="247">
        <f>+VLOOKUP(A264,Base!$A$5:$F$1610,5,FALSE)</f>
        <v>12637.21707019156</v>
      </c>
    </row>
    <row r="265" spans="1:5" x14ac:dyDescent="0.25">
      <c r="A265" s="168">
        <v>8512079</v>
      </c>
      <c r="B265" s="164" t="s">
        <v>360</v>
      </c>
      <c r="C265" s="168">
        <v>1</v>
      </c>
      <c r="D265" s="247">
        <f>+VLOOKUP(A265,Base!$A$5:$E$1610,4,FALSE)</f>
        <v>10173.371241873065</v>
      </c>
      <c r="E265" s="247">
        <f>+VLOOKUP(A265,Base!$A$5:$F$1610,5,FALSE)</f>
        <v>12716.714052341331</v>
      </c>
    </row>
    <row r="266" spans="1:5" x14ac:dyDescent="0.25">
      <c r="A266" s="189"/>
      <c r="B266" s="190"/>
      <c r="C266" s="191"/>
      <c r="D266" s="256"/>
      <c r="E266" s="256"/>
    </row>
    <row r="267" spans="1:5" x14ac:dyDescent="0.25">
      <c r="A267" s="188">
        <v>8583066</v>
      </c>
      <c r="B267" s="192" t="s">
        <v>462</v>
      </c>
      <c r="C267" s="163">
        <v>1</v>
      </c>
      <c r="D267" s="247">
        <f>+VLOOKUP(A267,Base!$A$5:$E$1610,4,FALSE)</f>
        <v>6439.5749761996904</v>
      </c>
      <c r="E267" s="247">
        <f>+VLOOKUP(A267,Base!$A$5:$F$1610,5,FALSE)</f>
        <v>8049.4687202496125</v>
      </c>
    </row>
    <row r="268" spans="1:5" x14ac:dyDescent="0.25">
      <c r="A268" s="188">
        <v>8517737</v>
      </c>
      <c r="B268" s="192" t="s">
        <v>421</v>
      </c>
      <c r="C268" s="163">
        <v>1</v>
      </c>
      <c r="D268" s="247">
        <f>+VLOOKUP(A268,Base!$A$5:$E$1610,4,FALSE)</f>
        <v>52.672047213622292</v>
      </c>
      <c r="E268" s="247">
        <f>+VLOOKUP(A268,Base!$A$5:$F$1610,5,FALSE)</f>
        <v>65.840059017027855</v>
      </c>
    </row>
    <row r="269" spans="1:5" x14ac:dyDescent="0.25">
      <c r="A269" s="188">
        <v>8518176</v>
      </c>
      <c r="B269" s="192" t="s">
        <v>431</v>
      </c>
      <c r="C269" s="163">
        <v>1</v>
      </c>
      <c r="D269" s="247">
        <f>+VLOOKUP(A269,Base!$A$5:$E$1610,4,FALSE)</f>
        <v>319.44814376934988</v>
      </c>
      <c r="E269" s="247">
        <f>+VLOOKUP(A269,Base!$A$5:$F$1610,5,FALSE)</f>
        <v>399.31017971168734</v>
      </c>
    </row>
    <row r="270" spans="1:5" x14ac:dyDescent="0.25">
      <c r="A270" s="188">
        <v>8502797</v>
      </c>
      <c r="B270" s="192" t="s">
        <v>1962</v>
      </c>
      <c r="C270" s="163">
        <v>1</v>
      </c>
      <c r="D270" s="247">
        <f>+VLOOKUP(A270,Base!$A$5:$E$1610,4,FALSE)</f>
        <v>236.26802960526311</v>
      </c>
      <c r="E270" s="247">
        <f>+VLOOKUP(A270,Base!$A$5:$F$1610,5,FALSE)</f>
        <v>295.33503700657889</v>
      </c>
    </row>
    <row r="271" spans="1:5" x14ac:dyDescent="0.25">
      <c r="A271" s="193"/>
      <c r="B271" s="194"/>
      <c r="C271" s="195"/>
      <c r="D271" s="257"/>
      <c r="E271" s="257"/>
    </row>
    <row r="272" spans="1:5" x14ac:dyDescent="0.25">
      <c r="A272" s="196"/>
      <c r="B272" s="197" t="s">
        <v>1963</v>
      </c>
      <c r="C272" s="196"/>
      <c r="D272" s="258"/>
      <c r="E272" s="258"/>
    </row>
    <row r="273" spans="1:5" x14ac:dyDescent="0.25">
      <c r="A273" s="162" t="s">
        <v>1834</v>
      </c>
      <c r="B273" s="162" t="s">
        <v>1829</v>
      </c>
      <c r="C273" s="162" t="s">
        <v>1886</v>
      </c>
      <c r="D273" s="246" t="s">
        <v>1887</v>
      </c>
      <c r="E273" s="246" t="s">
        <v>1888</v>
      </c>
    </row>
    <row r="274" spans="1:5" x14ac:dyDescent="0.25">
      <c r="A274" s="163">
        <v>4025981</v>
      </c>
      <c r="B274" s="164" t="s">
        <v>193</v>
      </c>
      <c r="C274" s="163">
        <v>1</v>
      </c>
      <c r="D274" s="247">
        <f>+VLOOKUP(A274,Base!$A$5:$E$1610,4,FALSE)</f>
        <v>4696.1562886996908</v>
      </c>
      <c r="E274" s="247">
        <f>+VLOOKUP(A274,Base!$A$5:$F$1610,5,FALSE)</f>
        <v>5870.1953608746135</v>
      </c>
    </row>
    <row r="275" spans="1:5" x14ac:dyDescent="0.25">
      <c r="A275" s="267">
        <v>4025751</v>
      </c>
      <c r="B275" s="268" t="str">
        <f>+VLOOKUP(A275,Base!$A$1:$E$2346,2,FALSE)</f>
        <v>Intercambiador de calor (COOLER,PLATE,N37SC1)</v>
      </c>
      <c r="C275" s="163">
        <v>1</v>
      </c>
      <c r="D275" s="247">
        <f>+VLOOKUP(A275,Base!$A$5:$E$1610,4,FALSE)</f>
        <v>8117.2732441609005</v>
      </c>
      <c r="E275" s="247">
        <f>+VLOOKUP(A275,Base!$A$5:$F$1610,5,FALSE)</f>
        <v>10146.591555201125</v>
      </c>
    </row>
    <row r="276" spans="1:5" x14ac:dyDescent="0.25">
      <c r="A276" s="163"/>
      <c r="B276" s="164"/>
      <c r="C276" s="163"/>
      <c r="D276" s="247"/>
      <c r="E276" s="247"/>
    </row>
    <row r="277" spans="1:5" x14ac:dyDescent="0.25">
      <c r="A277" s="198">
        <v>4026118</v>
      </c>
      <c r="B277" s="32" t="s">
        <v>2257</v>
      </c>
      <c r="C277" s="163">
        <v>1</v>
      </c>
      <c r="D277" s="247">
        <f>+VLOOKUP(A277,Base!$A$5:$E$1610,4,FALSE)</f>
        <v>29.317674148606816</v>
      </c>
      <c r="E277" s="247">
        <f>+VLOOKUP(A277,Base!$A$5:$F$1610,5,FALSE)</f>
        <v>36.647092685758516</v>
      </c>
    </row>
    <row r="278" spans="1:5" x14ac:dyDescent="0.25">
      <c r="A278" s="198">
        <v>4026121</v>
      </c>
      <c r="B278" s="32" t="s">
        <v>2258</v>
      </c>
      <c r="C278" s="163">
        <v>1</v>
      </c>
      <c r="D278" s="247">
        <f>+VLOOKUP(A278,Base!$A$5:$E$1610,4,FALSE)</f>
        <v>12.901590557275542</v>
      </c>
      <c r="E278" s="247">
        <f>+VLOOKUP(A278,Base!$A$5:$F$1610,5,FALSE)</f>
        <v>16.126988196594425</v>
      </c>
    </row>
    <row r="279" spans="1:5" x14ac:dyDescent="0.25">
      <c r="A279" s="198">
        <v>4026123</v>
      </c>
      <c r="B279" s="75" t="s">
        <v>2259</v>
      </c>
      <c r="C279" s="163">
        <v>1</v>
      </c>
      <c r="D279" s="247">
        <f>+VLOOKUP(A279,Base!$A$5:$E$1610,4,FALSE)</f>
        <v>44.719089589783273</v>
      </c>
      <c r="E279" s="247">
        <f>+VLOOKUP(A279,Base!$A$5:$F$1610,5,FALSE)</f>
        <v>55.89886198722909</v>
      </c>
    </row>
    <row r="280" spans="1:5" x14ac:dyDescent="0.25">
      <c r="A280" s="198">
        <v>4026127</v>
      </c>
      <c r="B280" s="75" t="s">
        <v>2260</v>
      </c>
      <c r="C280" s="163">
        <v>1</v>
      </c>
      <c r="D280" s="247">
        <f>+VLOOKUP(A280,Base!$A$5:$E$1610,4,FALSE)</f>
        <v>52.228767608359149</v>
      </c>
      <c r="E280" s="247">
        <f>+VLOOKUP(A280,Base!$A$5:$F$1610,5,FALSE)</f>
        <v>65.285959510448933</v>
      </c>
    </row>
    <row r="281" spans="1:5" x14ac:dyDescent="0.25">
      <c r="A281" s="198"/>
      <c r="B281" s="75"/>
      <c r="C281" s="163"/>
      <c r="D281" s="247"/>
      <c r="E281" s="247"/>
    </row>
    <row r="282" spans="1:5" x14ac:dyDescent="0.25">
      <c r="A282" s="163"/>
      <c r="B282" s="164"/>
      <c r="C282" s="163"/>
      <c r="D282" s="247"/>
      <c r="E282" s="247"/>
    </row>
    <row r="283" spans="1:5" x14ac:dyDescent="0.25">
      <c r="A283" s="196"/>
      <c r="B283" s="197" t="s">
        <v>1812</v>
      </c>
      <c r="C283" s="196"/>
      <c r="D283" s="258"/>
      <c r="E283" s="258"/>
    </row>
    <row r="284" spans="1:5" x14ac:dyDescent="0.25">
      <c r="A284" s="162" t="s">
        <v>1834</v>
      </c>
      <c r="B284" s="162" t="s">
        <v>1829</v>
      </c>
      <c r="C284" s="162" t="s">
        <v>1886</v>
      </c>
      <c r="D284" s="246" t="s">
        <v>1887</v>
      </c>
      <c r="E284" s="246" t="s">
        <v>1888</v>
      </c>
    </row>
    <row r="285" spans="1:5" x14ac:dyDescent="0.25">
      <c r="A285" s="163">
        <v>8500529</v>
      </c>
      <c r="B285" s="164" t="s">
        <v>241</v>
      </c>
      <c r="C285" s="163">
        <v>1</v>
      </c>
      <c r="D285" s="247">
        <f>+VLOOKUP(A285,Base!$A$5:$E$1610,4,FALSE)</f>
        <v>1824.3824036377709</v>
      </c>
      <c r="E285" s="247">
        <f>+VLOOKUP(A285,Base!$A$5:$F$1610,5,FALSE)</f>
        <v>2280.4780045472135</v>
      </c>
    </row>
    <row r="286" spans="1:5" x14ac:dyDescent="0.25">
      <c r="A286" s="163">
        <v>8500887</v>
      </c>
      <c r="B286" s="164" t="s">
        <v>260</v>
      </c>
      <c r="C286" s="163">
        <v>1</v>
      </c>
      <c r="D286" s="247">
        <f>+VLOOKUP(A286,Base!$A$5:$E$1610,4,FALSE)</f>
        <v>3712.8578231424158</v>
      </c>
      <c r="E286" s="247">
        <f>+VLOOKUP(A286,Base!$A$5:$F$1610,5,FALSE)</f>
        <v>4641.0722789280198</v>
      </c>
    </row>
    <row r="287" spans="1:5" x14ac:dyDescent="0.25">
      <c r="A287" s="164"/>
      <c r="B287" s="164"/>
      <c r="C287" s="164"/>
      <c r="D287" s="248"/>
      <c r="E287" s="248"/>
    </row>
    <row r="288" spans="1:5" x14ac:dyDescent="0.25">
      <c r="A288" s="196"/>
      <c r="B288" s="197" t="s">
        <v>1969</v>
      </c>
      <c r="C288" s="196"/>
      <c r="D288" s="258"/>
      <c r="E288" s="258"/>
    </row>
    <row r="289" spans="1:12" x14ac:dyDescent="0.25">
      <c r="A289" s="162" t="s">
        <v>1834</v>
      </c>
      <c r="B289" s="162" t="s">
        <v>1829</v>
      </c>
      <c r="C289" s="162" t="s">
        <v>1886</v>
      </c>
      <c r="D289" s="246" t="s">
        <v>1887</v>
      </c>
      <c r="E289" s="246" t="s">
        <v>1888</v>
      </c>
    </row>
    <row r="290" spans="1:12" x14ac:dyDescent="0.25">
      <c r="A290" s="163">
        <v>4019026</v>
      </c>
      <c r="B290" s="165" t="s">
        <v>154</v>
      </c>
      <c r="C290" s="163">
        <v>1</v>
      </c>
      <c r="D290" s="247">
        <f>+VLOOKUP(A290,Base!$A$5:$E$1610,4,FALSE)</f>
        <v>8000.842235294117</v>
      </c>
      <c r="E290" s="247">
        <f>+VLOOKUP(A290,Base!$A$5:$F$1610,5,FALSE)</f>
        <v>9412.755570934256</v>
      </c>
    </row>
    <row r="291" spans="1:12" x14ac:dyDescent="0.25">
      <c r="A291" s="163">
        <v>4016975</v>
      </c>
      <c r="B291" s="165" t="s">
        <v>150</v>
      </c>
      <c r="C291" s="163">
        <v>1</v>
      </c>
      <c r="D291" s="247">
        <f>+VLOOKUP(A291,Base!$A$5:$E$1610,4,FALSE)</f>
        <v>11276.087916955017</v>
      </c>
      <c r="E291" s="247">
        <f>+VLOOKUP(A291,Base!$A$5:$F$1610,5,FALSE)</f>
        <v>13265.985784652961</v>
      </c>
    </row>
    <row r="292" spans="1:12" x14ac:dyDescent="0.25">
      <c r="A292" s="163">
        <v>4032930</v>
      </c>
      <c r="B292" s="165" t="s">
        <v>1637</v>
      </c>
      <c r="C292" s="163">
        <v>1</v>
      </c>
      <c r="D292" s="247">
        <f>+VLOOKUP(A292,Base!$A$5:$E$1610,4,FALSE)</f>
        <v>8357.0533400735276</v>
      </c>
      <c r="E292" s="247">
        <f>+VLOOKUP(A292,Base!$A$5:$F$1610,5,FALSE)</f>
        <v>10446.316675091908</v>
      </c>
    </row>
    <row r="293" spans="1:12" x14ac:dyDescent="0.25">
      <c r="A293" s="160"/>
      <c r="B293" s="160"/>
      <c r="C293" s="160"/>
      <c r="D293" s="245"/>
      <c r="E293" s="245"/>
    </row>
    <row r="294" spans="1:12" x14ac:dyDescent="0.25">
      <c r="A294" s="199"/>
      <c r="B294" s="200" t="s">
        <v>1970</v>
      </c>
      <c r="C294" s="199"/>
      <c r="D294" s="259"/>
      <c r="E294" s="259"/>
    </row>
    <row r="295" spans="1:12" x14ac:dyDescent="0.25">
      <c r="A295" s="162" t="s">
        <v>1834</v>
      </c>
      <c r="B295" s="162" t="s">
        <v>1971</v>
      </c>
      <c r="C295" s="162" t="s">
        <v>1886</v>
      </c>
      <c r="D295" s="246" t="s">
        <v>1887</v>
      </c>
      <c r="E295" s="246" t="s">
        <v>1888</v>
      </c>
    </row>
    <row r="296" spans="1:12" x14ac:dyDescent="0.25">
      <c r="A296" s="191">
        <v>8590222</v>
      </c>
      <c r="B296" s="201" t="s">
        <v>1972</v>
      </c>
      <c r="C296" s="202">
        <v>42.67</v>
      </c>
      <c r="D296" s="247">
        <f>+VLOOKUP(A296,Base!$A$5:$E$1610,4,FALSE)</f>
        <v>609.08765138408307</v>
      </c>
      <c r="E296" s="247">
        <f>+VLOOKUP(A296,Base!$A$5:$F$1610,5,FALSE)</f>
        <v>761.35956423010384</v>
      </c>
    </row>
    <row r="297" spans="1:12" x14ac:dyDescent="0.25">
      <c r="A297" s="168">
        <v>8590224</v>
      </c>
      <c r="B297" s="201" t="s">
        <v>1972</v>
      </c>
      <c r="C297" s="163">
        <v>152.4</v>
      </c>
      <c r="D297" s="247">
        <f>+VLOOKUP(A297,Base!$A$5:$E$1610,4,FALSE)</f>
        <v>1846.3224433390999</v>
      </c>
      <c r="E297" s="247">
        <f>+VLOOKUP(A297,Base!$A$5:$F$1610,5,FALSE)</f>
        <v>2307.9030541738748</v>
      </c>
    </row>
    <row r="298" spans="1:12" x14ac:dyDescent="0.25">
      <c r="A298" s="168">
        <v>8512007</v>
      </c>
      <c r="B298" s="164" t="s">
        <v>1973</v>
      </c>
      <c r="C298" s="163">
        <v>100</v>
      </c>
      <c r="D298" s="247">
        <f>+VLOOKUP(A298,Base!$A$5:$E$1610,4,FALSE)</f>
        <v>287.99063019031138</v>
      </c>
      <c r="E298" s="247">
        <f>+VLOOKUP(A298,Base!$A$5:$F$1610,5,FALSE)</f>
        <v>359.98828773788921</v>
      </c>
    </row>
    <row r="299" spans="1:12" x14ac:dyDescent="0.25">
      <c r="A299" s="168"/>
      <c r="B299" s="164"/>
      <c r="C299" s="163"/>
      <c r="D299" s="247"/>
      <c r="E299" s="247"/>
    </row>
    <row r="300" spans="1:12" x14ac:dyDescent="0.25">
      <c r="A300" s="203" t="s">
        <v>981</v>
      </c>
      <c r="B300" s="204" t="s">
        <v>1974</v>
      </c>
      <c r="C300" s="205">
        <v>25</v>
      </c>
      <c r="D300" s="247">
        <f>+VLOOKUP(A300,Base!$A$5:$E$1610,4,FALSE)</f>
        <v>60.553633217993081</v>
      </c>
      <c r="E300" s="247">
        <f>+VLOOKUP(A300,Base!$A$5:$F$1610,5,FALSE)</f>
        <v>75.692041522491351</v>
      </c>
    </row>
    <row r="301" spans="1:12" x14ac:dyDescent="0.25">
      <c r="A301" s="168" t="s">
        <v>979</v>
      </c>
      <c r="B301" s="164" t="s">
        <v>1975</v>
      </c>
      <c r="C301" s="163">
        <v>25</v>
      </c>
      <c r="D301" s="247">
        <f>+VLOOKUP(A301,Base!$A$5:$E$1610,4,FALSE)</f>
        <v>112.45674740484429</v>
      </c>
      <c r="E301" s="247">
        <f>+VLOOKUP(A301,Base!$A$5:$F$1610,5,FALSE)</f>
        <v>140.57093425605535</v>
      </c>
    </row>
    <row r="302" spans="1:12" x14ac:dyDescent="0.25">
      <c r="A302" s="206"/>
      <c r="B302" s="164"/>
      <c r="C302" s="164"/>
      <c r="D302" s="248"/>
      <c r="E302" s="248"/>
    </row>
    <row r="303" spans="1:12" x14ac:dyDescent="0.25">
      <c r="A303" s="162" t="s">
        <v>1834</v>
      </c>
      <c r="B303" s="207" t="s">
        <v>1976</v>
      </c>
      <c r="C303" s="162" t="s">
        <v>1886</v>
      </c>
      <c r="D303" s="246" t="s">
        <v>1887</v>
      </c>
      <c r="E303" s="246" t="s">
        <v>1888</v>
      </c>
      <c r="I303" s="168">
        <v>8589524</v>
      </c>
      <c r="J303" s="208" t="s">
        <v>1978</v>
      </c>
      <c r="K303" s="180">
        <v>100</v>
      </c>
      <c r="L303" s="247">
        <f>+VLOOKUP(I303,Base!$A$5:$F$1610,5,FALSE)</f>
        <v>1197.9938100129757</v>
      </c>
    </row>
    <row r="304" spans="1:12" x14ac:dyDescent="0.25">
      <c r="A304" s="168">
        <v>8589528</v>
      </c>
      <c r="B304" s="208" t="s">
        <v>1977</v>
      </c>
      <c r="C304" s="180">
        <v>100</v>
      </c>
      <c r="D304" s="247">
        <f>+VLOOKUP(A304,Base!$A$5:$E$1610,4,FALSE)</f>
        <v>856.80272491349479</v>
      </c>
      <c r="E304" s="247">
        <f>+VLOOKUP(A304,Base!$A$5:$F$1610,5,FALSE)</f>
        <v>1071.0034061418685</v>
      </c>
    </row>
    <row r="305" spans="1:5" x14ac:dyDescent="0.25">
      <c r="A305" s="168">
        <v>8589524</v>
      </c>
      <c r="B305" s="208" t="s">
        <v>1978</v>
      </c>
      <c r="C305" s="180">
        <v>100</v>
      </c>
      <c r="D305" s="247">
        <f>+VLOOKUP(A305,Base!$A$5:$E$1610,4,FALSE)</f>
        <v>958.39504801038061</v>
      </c>
      <c r="E305" s="247">
        <f>+VLOOKUP(A305,Base!$A$5:$F$1610,5,FALSE)</f>
        <v>1197.9938100129757</v>
      </c>
    </row>
    <row r="306" spans="1:5" x14ac:dyDescent="0.25">
      <c r="A306" s="168">
        <v>8589532</v>
      </c>
      <c r="B306" s="208" t="s">
        <v>1828</v>
      </c>
      <c r="C306" s="180">
        <v>100</v>
      </c>
      <c r="D306" s="247">
        <f>+VLOOKUP(A306,Base!$A$5:$E$1610,4,FALSE)</f>
        <v>800.42933134191162</v>
      </c>
      <c r="E306" s="247">
        <f>+VLOOKUP(A306,Base!$A$5:$F$1610,5,FALSE)</f>
        <v>1000.5366641773895</v>
      </c>
    </row>
    <row r="307" spans="1:5" x14ac:dyDescent="0.25">
      <c r="A307" s="168">
        <v>5100750</v>
      </c>
      <c r="B307" s="164" t="s">
        <v>218</v>
      </c>
      <c r="C307" s="163">
        <v>100</v>
      </c>
      <c r="D307" s="247">
        <f>+VLOOKUP(A307,Base!$A$5:$E$1610,4,FALSE)</f>
        <v>593.05902897923886</v>
      </c>
      <c r="E307" s="247">
        <f>+VLOOKUP(A307,Base!$A$5:$F$1610,5,FALSE)</f>
        <v>741.32378622404849</v>
      </c>
    </row>
    <row r="308" spans="1:5" x14ac:dyDescent="0.25">
      <c r="A308" s="168">
        <v>5100751</v>
      </c>
      <c r="B308" s="164" t="s">
        <v>219</v>
      </c>
      <c r="C308" s="163">
        <v>100</v>
      </c>
      <c r="D308" s="247">
        <f>+VLOOKUP(A308,Base!$A$5:$E$1610,4,FALSE)</f>
        <v>593.05902897923886</v>
      </c>
      <c r="E308" s="247">
        <f>+VLOOKUP(A308,Base!$A$5:$F$1610,5,FALSE)</f>
        <v>741.32378622404849</v>
      </c>
    </row>
    <row r="309" spans="1:5" x14ac:dyDescent="0.25">
      <c r="A309" s="168">
        <v>5100752</v>
      </c>
      <c r="B309" s="164" t="s">
        <v>220</v>
      </c>
      <c r="C309" s="163">
        <v>100</v>
      </c>
      <c r="D309" s="247">
        <f>+VLOOKUP(A309,Base!$A$5:$E$1610,4,FALSE)</f>
        <v>596.93504130622841</v>
      </c>
      <c r="E309" s="247">
        <f>+VLOOKUP(A309,Base!$A$5:$F$1610,5,FALSE)</f>
        <v>746.16880163278552</v>
      </c>
    </row>
    <row r="310" spans="1:5" x14ac:dyDescent="0.25">
      <c r="A310" s="168">
        <v>5100753</v>
      </c>
      <c r="B310" s="164" t="s">
        <v>221</v>
      </c>
      <c r="C310" s="163">
        <v>100</v>
      </c>
      <c r="D310" s="247">
        <f>+VLOOKUP(A310,Base!$A$5:$E$1610,4,FALSE)</f>
        <v>593.05902897923886</v>
      </c>
      <c r="E310" s="247">
        <f>+VLOOKUP(A310,Base!$A$5:$F$1610,5,FALSE)</f>
        <v>741.32378622404849</v>
      </c>
    </row>
    <row r="311" spans="1:5" x14ac:dyDescent="0.25">
      <c r="A311" s="183"/>
      <c r="B311" s="160"/>
      <c r="C311" s="195"/>
      <c r="D311" s="382"/>
      <c r="E311" s="382"/>
    </row>
    <row r="312" spans="1:5" x14ac:dyDescent="0.25">
      <c r="A312" s="162" t="s">
        <v>1834</v>
      </c>
      <c r="B312" s="207" t="s">
        <v>1812</v>
      </c>
      <c r="C312" s="162" t="s">
        <v>1886</v>
      </c>
      <c r="D312" s="246" t="s">
        <v>1887</v>
      </c>
      <c r="E312" s="246" t="s">
        <v>1888</v>
      </c>
    </row>
    <row r="313" spans="1:5" x14ac:dyDescent="0.25">
      <c r="A313" s="383" t="s">
        <v>973</v>
      </c>
      <c r="B313" s="32" t="s">
        <v>2155</v>
      </c>
      <c r="C313" s="163">
        <v>100</v>
      </c>
      <c r="D313" s="384">
        <f>+VLOOKUP(A313,Base!$A$5:$E$1610,4,FALSE)</f>
        <v>5839.1003460207612</v>
      </c>
      <c r="E313" s="384">
        <f>+VLOOKUP(A313,Base!$A$5:$F$1610,5,FALSE)</f>
        <v>7298.8754325259515</v>
      </c>
    </row>
    <row r="314" spans="1:5" x14ac:dyDescent="0.25">
      <c r="A314" s="383" t="s">
        <v>975</v>
      </c>
      <c r="B314" s="32" t="s">
        <v>2156</v>
      </c>
      <c r="C314" s="163">
        <v>100</v>
      </c>
      <c r="D314" s="384">
        <f>+VLOOKUP(A314,Base!$A$5:$E$1610,4,FALSE)</f>
        <v>7407.1207430340564</v>
      </c>
      <c r="E314" s="384">
        <f>+VLOOKUP(A314,Base!$A$5:$F$1610,5,FALSE)</f>
        <v>9258.9009287925692</v>
      </c>
    </row>
    <row r="315" spans="1:5" x14ac:dyDescent="0.25">
      <c r="A315" s="383" t="s">
        <v>1177</v>
      </c>
      <c r="B315" s="32" t="s">
        <v>2157</v>
      </c>
      <c r="C315" s="163">
        <v>100</v>
      </c>
      <c r="D315" s="384">
        <f>+VLOOKUP(A315,Base!$A$5:$E$1610,4,FALSE)</f>
        <v>13166.666666666666</v>
      </c>
      <c r="E315" s="384">
        <f>+VLOOKUP(A315,Base!$A$5:$F$1610,5,FALSE)</f>
        <v>16458.333333333332</v>
      </c>
    </row>
    <row r="316" spans="1:5" x14ac:dyDescent="0.25">
      <c r="A316" s="383" t="s">
        <v>1556</v>
      </c>
      <c r="B316" s="164" t="s">
        <v>2158</v>
      </c>
      <c r="C316" s="163">
        <v>100</v>
      </c>
      <c r="D316" s="384">
        <f>+VLOOKUP(A316,Base!$A$5:$E$1610,4,FALSE)</f>
        <v>10277.777777777779</v>
      </c>
      <c r="E316" s="384">
        <f>+VLOOKUP(A316,Base!$A$5:$F$1610,5,FALSE)</f>
        <v>12847.222222222223</v>
      </c>
    </row>
    <row r="317" spans="1:5" x14ac:dyDescent="0.25">
      <c r="A317" s="383" t="s">
        <v>967</v>
      </c>
      <c r="B317" s="32" t="s">
        <v>968</v>
      </c>
      <c r="C317" s="163">
        <v>100</v>
      </c>
      <c r="D317" s="384">
        <f>+VLOOKUP(A317,Base!$A$5:$E$1610,4,FALSE)</f>
        <v>5939.5424836601314</v>
      </c>
      <c r="E317" s="384">
        <f>+VLOOKUP(A317,Base!$A$5:$F$1610,5,FALSE)</f>
        <v>7424.4281045751641</v>
      </c>
    </row>
    <row r="318" spans="1:5" x14ac:dyDescent="0.25">
      <c r="A318" s="183"/>
      <c r="B318" s="160"/>
      <c r="C318" s="195"/>
      <c r="D318" s="382"/>
      <c r="E318" s="382"/>
    </row>
    <row r="319" spans="1:5" x14ac:dyDescent="0.25">
      <c r="A319" s="162" t="s">
        <v>1834</v>
      </c>
      <c r="B319" s="207" t="s">
        <v>1979</v>
      </c>
      <c r="C319" s="162" t="s">
        <v>1886</v>
      </c>
      <c r="D319" s="246" t="s">
        <v>1887</v>
      </c>
      <c r="E319" s="246" t="s">
        <v>1888</v>
      </c>
    </row>
    <row r="320" spans="1:5" x14ac:dyDescent="0.25">
      <c r="A320" s="163">
        <v>5100546</v>
      </c>
      <c r="B320" s="164" t="s">
        <v>1980</v>
      </c>
      <c r="C320" s="163">
        <v>1</v>
      </c>
      <c r="D320" s="247">
        <f>+VLOOKUP(A320,Base!$A$5:$E$1610,4,FALSE)</f>
        <v>28.542281249999991</v>
      </c>
      <c r="E320" s="247">
        <f>+VLOOKUP(A320,Base!$A$5:$F$1610,5,FALSE)</f>
        <v>35.677851562499988</v>
      </c>
    </row>
    <row r="321" spans="1:5" x14ac:dyDescent="0.25">
      <c r="A321" s="163">
        <v>5100544</v>
      </c>
      <c r="B321" s="201" t="s">
        <v>216</v>
      </c>
      <c r="C321" s="202">
        <v>1</v>
      </c>
      <c r="D321" s="247">
        <f>+VLOOKUP(A321,Base!$A$5:$E$1610,4,FALSE)</f>
        <v>14.24985211880805</v>
      </c>
      <c r="E321" s="247">
        <f>+VLOOKUP(A321,Base!$A$5:$F$1610,5,FALSE)</f>
        <v>17.812315148510063</v>
      </c>
    </row>
    <row r="322" spans="1:5" x14ac:dyDescent="0.25">
      <c r="A322" s="163">
        <v>761001</v>
      </c>
      <c r="B322" s="201" t="s">
        <v>81</v>
      </c>
      <c r="C322" s="202">
        <v>1</v>
      </c>
      <c r="D322" s="247">
        <f>+VLOOKUP(A322,Base!$A$5:$E$1610,4,FALSE)</f>
        <v>165.14338235294116</v>
      </c>
      <c r="E322" s="247">
        <f>+VLOOKUP(A322,Base!$A$5:$F$1610,5,FALSE)</f>
        <v>206.42922794117644</v>
      </c>
    </row>
    <row r="323" spans="1:5" x14ac:dyDescent="0.25">
      <c r="A323" s="163" t="s">
        <v>1035</v>
      </c>
      <c r="B323" s="164" t="s">
        <v>1981</v>
      </c>
      <c r="C323" s="163">
        <v>1</v>
      </c>
      <c r="D323" s="247">
        <f>+VLOOKUP(A323,Base!$A$5:$E$1610,4,FALSE)</f>
        <v>0.28678873510188385</v>
      </c>
      <c r="E323" s="247">
        <f>+VLOOKUP(A323,Base!$A$5:$F$1610,5,FALSE)</f>
        <v>0.35848591887735481</v>
      </c>
    </row>
    <row r="324" spans="1:5" x14ac:dyDescent="0.25">
      <c r="A324" s="160"/>
      <c r="B324" s="160"/>
      <c r="C324" s="160"/>
      <c r="D324" s="245"/>
      <c r="E324" s="245"/>
    </row>
    <row r="325" spans="1:5" x14ac:dyDescent="0.25">
      <c r="A325" s="160"/>
      <c r="B325" s="209" t="s">
        <v>1982</v>
      </c>
      <c r="C325" s="160"/>
      <c r="D325" s="245"/>
      <c r="E325" s="245"/>
    </row>
    <row r="326" spans="1:5" x14ac:dyDescent="0.25">
      <c r="A326" s="160"/>
      <c r="B326" s="160"/>
      <c r="C326" s="160"/>
      <c r="D326" s="245"/>
      <c r="E326" s="245"/>
    </row>
    <row r="327" spans="1:5" x14ac:dyDescent="0.25">
      <c r="A327" s="207" t="s">
        <v>1834</v>
      </c>
      <c r="B327" s="207" t="s">
        <v>1983</v>
      </c>
      <c r="C327" s="210" t="s">
        <v>1886</v>
      </c>
      <c r="D327" s="246" t="s">
        <v>1887</v>
      </c>
      <c r="E327" s="246" t="s">
        <v>1888</v>
      </c>
    </row>
    <row r="328" spans="1:5" x14ac:dyDescent="0.25">
      <c r="A328" s="163">
        <v>3562341</v>
      </c>
      <c r="B328" s="164" t="s">
        <v>1984</v>
      </c>
      <c r="C328" s="168">
        <v>1</v>
      </c>
      <c r="D328" s="247">
        <f>+VLOOKUP(A328,Base!$A$5:$E$1610,4,FALSE)</f>
        <v>752.91620404411765</v>
      </c>
      <c r="E328" s="247">
        <f>+VLOOKUP(A328,Base!$A$5:$F$1610,5,FALSE)</f>
        <v>836.57356004901953</v>
      </c>
    </row>
    <row r="329" spans="1:5" x14ac:dyDescent="0.25">
      <c r="A329" s="163">
        <v>3562334</v>
      </c>
      <c r="B329" s="164" t="s">
        <v>1985</v>
      </c>
      <c r="C329" s="168">
        <v>1</v>
      </c>
      <c r="D329" s="247">
        <f>+VLOOKUP(A329,Base!$A$5:$E$1610,4,FALSE)</f>
        <v>526.40756888544888</v>
      </c>
      <c r="E329" s="247">
        <f>+VLOOKUP(A329,Base!$A$5:$F$1610,5,FALSE)</f>
        <v>658.00946110681105</v>
      </c>
    </row>
    <row r="330" spans="1:5" x14ac:dyDescent="0.25">
      <c r="A330" s="163">
        <v>3562403</v>
      </c>
      <c r="B330" s="164" t="s">
        <v>1986</v>
      </c>
      <c r="C330" s="168">
        <v>1</v>
      </c>
      <c r="D330" s="247">
        <f>+VLOOKUP(A330,Base!$A$5:$E$1610,4,FALSE)</f>
        <v>848.85436880804946</v>
      </c>
      <c r="E330" s="247">
        <f>+VLOOKUP(A330,Base!$A$5:$F$1610,5,FALSE)</f>
        <v>1061.0679610100617</v>
      </c>
    </row>
    <row r="331" spans="1:5" x14ac:dyDescent="0.25">
      <c r="A331" s="163">
        <v>3559256</v>
      </c>
      <c r="B331" s="164" t="s">
        <v>1987</v>
      </c>
      <c r="C331" s="168">
        <v>1</v>
      </c>
      <c r="D331" s="247">
        <f>+VLOOKUP(A331,Base!$A$5:$E$1610,4,FALSE)</f>
        <v>32.30726064241486</v>
      </c>
      <c r="E331" s="247">
        <f>+VLOOKUP(A331,Base!$A$5:$F$1610,5,FALSE)</f>
        <v>40.384075803018575</v>
      </c>
    </row>
    <row r="332" spans="1:5" x14ac:dyDescent="0.25">
      <c r="A332" s="163"/>
      <c r="B332" s="164" t="s">
        <v>1988</v>
      </c>
      <c r="C332" s="168">
        <v>10</v>
      </c>
      <c r="D332" s="247" t="e">
        <f>+VLOOKUP(A332,Base!$A$5:$E$1610,4,FALSE)</f>
        <v>#N/A</v>
      </c>
      <c r="E332" s="247" t="e">
        <f>+VLOOKUP(A332,Base!$A$5:$F$1610,5,FALSE)</f>
        <v>#N/A</v>
      </c>
    </row>
    <row r="333" spans="1:5" x14ac:dyDescent="0.25">
      <c r="A333" s="160"/>
      <c r="B333" s="160"/>
      <c r="C333" s="160"/>
      <c r="D333" s="245"/>
      <c r="E333" s="245"/>
    </row>
    <row r="334" spans="1:5" x14ac:dyDescent="0.25">
      <c r="A334" s="207" t="s">
        <v>1834</v>
      </c>
      <c r="B334" s="207" t="s">
        <v>1989</v>
      </c>
      <c r="C334" s="210" t="s">
        <v>1886</v>
      </c>
      <c r="D334" s="246" t="s">
        <v>1887</v>
      </c>
      <c r="E334" s="246" t="s">
        <v>1888</v>
      </c>
    </row>
    <row r="335" spans="1:5" x14ac:dyDescent="0.25">
      <c r="A335" s="168">
        <v>3559530</v>
      </c>
      <c r="B335" s="164" t="s">
        <v>1990</v>
      </c>
      <c r="C335" s="164">
        <v>1</v>
      </c>
      <c r="D335" s="247">
        <f>+VLOOKUP(A335,Base!$A$5:$E$1610,4,FALSE)</f>
        <v>2786.0644696207432</v>
      </c>
      <c r="E335" s="247">
        <f>+VLOOKUP(A335,Base!$A$5:$F$1610,5,FALSE)</f>
        <v>3482.5805870259287</v>
      </c>
    </row>
    <row r="336" spans="1:5" x14ac:dyDescent="0.25">
      <c r="A336" s="160"/>
      <c r="B336" s="160"/>
      <c r="C336" s="160"/>
      <c r="D336" s="245"/>
      <c r="E336" s="245"/>
    </row>
    <row r="337" spans="1:5" x14ac:dyDescent="0.25">
      <c r="A337" s="207" t="s">
        <v>1834</v>
      </c>
      <c r="B337" s="207" t="s">
        <v>1991</v>
      </c>
      <c r="C337" s="210" t="s">
        <v>1886</v>
      </c>
      <c r="D337" s="246" t="s">
        <v>1887</v>
      </c>
      <c r="E337" s="246" t="s">
        <v>1888</v>
      </c>
    </row>
    <row r="338" spans="1:5" x14ac:dyDescent="0.25">
      <c r="A338" s="163">
        <v>3557988</v>
      </c>
      <c r="B338" s="164" t="s">
        <v>1992</v>
      </c>
      <c r="C338" s="168">
        <v>1</v>
      </c>
      <c r="D338" s="247">
        <f>+VLOOKUP(A338,Base!$A$5:$E$1610,4,FALSE)</f>
        <v>111.96721323529412</v>
      </c>
      <c r="E338" s="247">
        <f>+VLOOKUP(A338,Base!$A$5:$F$1610,5,FALSE)</f>
        <v>139.95901654411765</v>
      </c>
    </row>
    <row r="339" spans="1:5" x14ac:dyDescent="0.25">
      <c r="A339" s="163">
        <v>3558005</v>
      </c>
      <c r="B339" s="164" t="s">
        <v>1993</v>
      </c>
      <c r="C339" s="168">
        <v>1</v>
      </c>
      <c r="D339" s="247">
        <f>+VLOOKUP(A339,Base!$A$5:$E$1610,4,FALSE)</f>
        <v>49.569089976780191</v>
      </c>
      <c r="E339" s="247">
        <f>+VLOOKUP(A339,Base!$A$5:$F$1610,5,FALSE)</f>
        <v>61.961362470975239</v>
      </c>
    </row>
    <row r="340" spans="1:5" x14ac:dyDescent="0.25">
      <c r="A340" s="163">
        <v>3558294</v>
      </c>
      <c r="B340" s="164" t="s">
        <v>1994</v>
      </c>
      <c r="C340" s="168">
        <v>1</v>
      </c>
      <c r="D340" s="247">
        <f>+VLOOKUP(A340,Base!$A$5:$E$1610,4,FALSE)</f>
        <v>102.03253502321981</v>
      </c>
      <c r="E340" s="247">
        <f>+VLOOKUP(A340,Base!$A$5:$F$1610,5,FALSE)</f>
        <v>127.54066877902476</v>
      </c>
    </row>
    <row r="341" spans="1:5" x14ac:dyDescent="0.25">
      <c r="A341" s="160"/>
      <c r="B341" s="160"/>
      <c r="C341" s="160"/>
      <c r="D341" s="245"/>
      <c r="E341" s="245"/>
    </row>
    <row r="342" spans="1:5" x14ac:dyDescent="0.25">
      <c r="A342" s="207" t="s">
        <v>1834</v>
      </c>
      <c r="B342" s="207">
        <v>4300</v>
      </c>
      <c r="C342" s="210" t="s">
        <v>1886</v>
      </c>
      <c r="D342" s="246" t="s">
        <v>1887</v>
      </c>
      <c r="E342" s="246" t="s">
        <v>1888</v>
      </c>
    </row>
    <row r="343" spans="1:5" x14ac:dyDescent="0.25">
      <c r="A343" s="163">
        <v>3558192</v>
      </c>
      <c r="B343" s="164" t="s">
        <v>1995</v>
      </c>
      <c r="C343" s="168">
        <v>1</v>
      </c>
      <c r="D343" s="247">
        <f>+VLOOKUP(A343,Base!$A$5:$E$1610,4,FALSE)</f>
        <v>1242.390349835526</v>
      </c>
      <c r="E343" s="247">
        <f>+VLOOKUP(A343,Base!$A$5:$F$1610,5,FALSE)</f>
        <v>1552.9879372944074</v>
      </c>
    </row>
    <row r="344" spans="1:5" x14ac:dyDescent="0.25">
      <c r="A344" s="163">
        <v>3558009</v>
      </c>
      <c r="B344" s="164" t="s">
        <v>1996</v>
      </c>
      <c r="C344" s="168">
        <v>1</v>
      </c>
      <c r="D344" s="247">
        <f>+VLOOKUP(A344,Base!$A$5:$E$1610,4,FALSE)</f>
        <v>51.811563273993812</v>
      </c>
      <c r="E344" s="247">
        <f>+VLOOKUP(A344,Base!$A$5:$F$1610,5,FALSE)</f>
        <v>64.764454092492258</v>
      </c>
    </row>
    <row r="345" spans="1:5" x14ac:dyDescent="0.25">
      <c r="A345" s="163">
        <v>3558008</v>
      </c>
      <c r="B345" s="164" t="s">
        <v>1993</v>
      </c>
      <c r="C345" s="168">
        <v>1</v>
      </c>
      <c r="D345" s="247">
        <f>+VLOOKUP(A345,Base!$A$5:$E$1610,4,FALSE)</f>
        <v>51.863713815789467</v>
      </c>
      <c r="E345" s="247">
        <f>+VLOOKUP(A345,Base!$A$5:$F$1610,5,FALSE)</f>
        <v>64.829642269736823</v>
      </c>
    </row>
    <row r="346" spans="1:5" x14ac:dyDescent="0.25">
      <c r="A346" s="160"/>
      <c r="B346" s="160"/>
      <c r="C346" s="160"/>
      <c r="D346" s="245"/>
      <c r="E346" s="245"/>
    </row>
    <row r="347" spans="1:5" x14ac:dyDescent="0.25">
      <c r="A347" s="207" t="s">
        <v>1834</v>
      </c>
      <c r="B347" s="207" t="s">
        <v>1997</v>
      </c>
      <c r="C347" s="210" t="s">
        <v>1886</v>
      </c>
      <c r="D347" s="246" t="s">
        <v>1887</v>
      </c>
      <c r="E347" s="246" t="s">
        <v>1888</v>
      </c>
    </row>
    <row r="348" spans="1:5" x14ac:dyDescent="0.25">
      <c r="A348" s="168">
        <v>3560107</v>
      </c>
      <c r="B348" s="211" t="s">
        <v>1998</v>
      </c>
      <c r="C348" s="168">
        <v>1</v>
      </c>
      <c r="D348" s="247">
        <f>+VLOOKUP(A348,Base!$A$5:$E$1610,4,FALSE)</f>
        <v>2370.2942751547989</v>
      </c>
      <c r="E348" s="247">
        <f>+VLOOKUP(A348,Base!$A$5:$F$1610,5,FALSE)</f>
        <v>2962.8678439434984</v>
      </c>
    </row>
    <row r="349" spans="1:5" x14ac:dyDescent="0.25">
      <c r="A349" s="168">
        <v>3560108</v>
      </c>
      <c r="B349" s="211" t="s">
        <v>1999</v>
      </c>
      <c r="C349" s="168">
        <v>1</v>
      </c>
      <c r="D349" s="247">
        <f>+VLOOKUP(A349,Base!$A$5:$E$1610,4,FALSE)</f>
        <v>2374.4402432275542</v>
      </c>
      <c r="E349" s="247">
        <f>+VLOOKUP(A349,Base!$A$5:$F$1610,5,FALSE)</f>
        <v>2968.0503040344424</v>
      </c>
    </row>
    <row r="350" spans="1:5" x14ac:dyDescent="0.25">
      <c r="A350" s="168">
        <v>3556621</v>
      </c>
      <c r="B350" s="211" t="s">
        <v>2000</v>
      </c>
      <c r="C350" s="168">
        <v>1</v>
      </c>
      <c r="D350" s="247">
        <f>+VLOOKUP(A350,Base!$A$5:$E$1610,4,FALSE)</f>
        <v>138.82474226006192</v>
      </c>
      <c r="E350" s="247">
        <f>+VLOOKUP(A350,Base!$A$5:$F$1610,5,FALSE)</f>
        <v>173.53092782507738</v>
      </c>
    </row>
    <row r="351" spans="1:5" x14ac:dyDescent="0.25">
      <c r="A351" s="168">
        <v>3556697</v>
      </c>
      <c r="B351" s="211" t="s">
        <v>2001</v>
      </c>
      <c r="C351" s="168">
        <v>1</v>
      </c>
      <c r="D351" s="247">
        <f>+VLOOKUP(A351,Base!$A$5:$E$1610,4,FALSE)</f>
        <v>103.90995452786379</v>
      </c>
      <c r="E351" s="247">
        <f>+VLOOKUP(A351,Base!$A$5:$F$1610,5,FALSE)</f>
        <v>129.88744315982973</v>
      </c>
    </row>
    <row r="352" spans="1:5" x14ac:dyDescent="0.25">
      <c r="A352" s="168">
        <v>3559117</v>
      </c>
      <c r="B352" s="211" t="s">
        <v>2002</v>
      </c>
      <c r="C352" s="168">
        <v>1</v>
      </c>
      <c r="D352" s="247">
        <f>+VLOOKUP(A352,Base!$A$5:$E$1610,4,FALSE)</f>
        <v>664.55435410216728</v>
      </c>
      <c r="E352" s="247">
        <f>+VLOOKUP(A352,Base!$A$5:$F$1610,5,FALSE)</f>
        <v>830.69294262770904</v>
      </c>
    </row>
    <row r="353" spans="1:5" x14ac:dyDescent="0.25">
      <c r="A353" s="168">
        <v>3559316</v>
      </c>
      <c r="B353" s="211" t="s">
        <v>2003</v>
      </c>
      <c r="C353" s="168">
        <v>1</v>
      </c>
      <c r="D353" s="247">
        <f>+VLOOKUP(A353,Base!$A$5:$E$1610,4,FALSE)</f>
        <v>247.94975096749226</v>
      </c>
      <c r="E353" s="247">
        <f>+VLOOKUP(A353,Base!$A$5:$F$1610,5,FALSE)</f>
        <v>309.93718870936533</v>
      </c>
    </row>
    <row r="354" spans="1:5" x14ac:dyDescent="0.25">
      <c r="A354" s="183"/>
      <c r="B354" s="421"/>
      <c r="C354" s="183"/>
      <c r="D354" s="257"/>
      <c r="E354" s="257"/>
    </row>
    <row r="355" spans="1:5" x14ac:dyDescent="0.25">
      <c r="A355" s="75">
        <v>322517</v>
      </c>
      <c r="B355" s="75" t="s">
        <v>2004</v>
      </c>
      <c r="C355" s="168">
        <v>1</v>
      </c>
      <c r="D355" s="247">
        <f>+VLOOKUP(A355,Base!$A$5:$E$1610,4,FALSE)</f>
        <v>48.161025348297201</v>
      </c>
      <c r="E355" s="247">
        <f>+VLOOKUP(A355,Base!$A$5:$F$1610,5,FALSE)</f>
        <v>60.201281685371498</v>
      </c>
    </row>
    <row r="356" spans="1:5" x14ac:dyDescent="0.25">
      <c r="A356" s="168">
        <v>3559261</v>
      </c>
      <c r="B356" s="211" t="s">
        <v>2005</v>
      </c>
      <c r="C356" s="168">
        <v>10</v>
      </c>
      <c r="D356" s="247">
        <f>+VLOOKUP(A356,Base!$A$5:$E$1610,4,FALSE)</f>
        <v>123.74537688419116</v>
      </c>
      <c r="E356" s="247">
        <f>+VLOOKUP(A356,Base!$A$5:$F$1610,5,FALSE)</f>
        <v>154.68172110523895</v>
      </c>
    </row>
    <row r="357" spans="1:5" x14ac:dyDescent="0.25">
      <c r="A357" s="168">
        <v>3558118</v>
      </c>
      <c r="B357" s="211" t="s">
        <v>2006</v>
      </c>
      <c r="C357" s="168">
        <v>1</v>
      </c>
      <c r="D357" s="247">
        <f>+VLOOKUP(A357,Base!$A$5:$E$1610,4,FALSE)</f>
        <v>202.42232797987614</v>
      </c>
      <c r="E357" s="247">
        <f>+VLOOKUP(A357,Base!$A$5:$F$1610,5,FALSE)</f>
        <v>253.02790997484516</v>
      </c>
    </row>
    <row r="358" spans="1:5" x14ac:dyDescent="0.25">
      <c r="A358" s="160"/>
      <c r="B358" s="160"/>
      <c r="C358" s="160"/>
      <c r="D358" s="245"/>
      <c r="E358" s="245"/>
    </row>
    <row r="359" spans="1:5" x14ac:dyDescent="0.25">
      <c r="A359" s="162" t="s">
        <v>1834</v>
      </c>
      <c r="B359" s="207" t="s">
        <v>2007</v>
      </c>
      <c r="C359" s="162" t="s">
        <v>1886</v>
      </c>
      <c r="D359" s="246" t="s">
        <v>1887</v>
      </c>
      <c r="E359" s="246" t="s">
        <v>1888</v>
      </c>
    </row>
    <row r="360" spans="1:5" x14ac:dyDescent="0.25">
      <c r="A360" s="168" t="s">
        <v>689</v>
      </c>
      <c r="B360" s="164" t="s">
        <v>2008</v>
      </c>
      <c r="C360" s="168">
        <v>1</v>
      </c>
      <c r="D360" s="247">
        <f>+VLOOKUP(A360,Base!$A$5:$E$1610,4,FALSE)</f>
        <v>297.57264705882358</v>
      </c>
      <c r="E360" s="247">
        <f>+VLOOKUP(A360,Base!$A$5:$F$1610,5,FALSE)</f>
        <v>371.96580882352947</v>
      </c>
    </row>
    <row r="361" spans="1:5" x14ac:dyDescent="0.25">
      <c r="A361" s="168">
        <v>3562409</v>
      </c>
      <c r="B361" s="164" t="s">
        <v>2009</v>
      </c>
      <c r="C361" s="168">
        <v>1</v>
      </c>
      <c r="D361" s="247">
        <f>+VLOOKUP(A361,Base!$A$5:$E$1610,4,FALSE)</f>
        <v>388.71999816176458</v>
      </c>
      <c r="E361" s="247">
        <f>+VLOOKUP(A361,Base!$A$5:$F$1610,5,FALSE)</f>
        <v>485.89999770220572</v>
      </c>
    </row>
    <row r="362" spans="1:5" x14ac:dyDescent="0.25">
      <c r="A362" s="168"/>
      <c r="B362" s="164"/>
      <c r="C362" s="168"/>
      <c r="D362" s="247"/>
      <c r="E362" s="247"/>
    </row>
    <row r="363" spans="1:5" x14ac:dyDescent="0.25">
      <c r="A363" s="420" t="s">
        <v>2216</v>
      </c>
      <c r="B363" s="211" t="s">
        <v>2010</v>
      </c>
      <c r="C363" s="212">
        <v>1</v>
      </c>
      <c r="D363" s="247">
        <f>+VLOOKUP(A363,Base!$A$5:$E$1610,4,FALSE)</f>
        <v>971.60929411764687</v>
      </c>
      <c r="E363" s="247">
        <f>+VLOOKUP(A363,Base!$A$5:$F$1610,5,FALSE)</f>
        <v>1214.5116176470585</v>
      </c>
    </row>
    <row r="364" spans="1:5" x14ac:dyDescent="0.25">
      <c r="A364" s="168" t="s">
        <v>2011</v>
      </c>
      <c r="B364" s="164" t="s">
        <v>2012</v>
      </c>
      <c r="C364" s="168">
        <v>1</v>
      </c>
      <c r="D364" s="247">
        <f>+VLOOKUP(A364,Base!$A$5:$E$1610,4,FALSE)</f>
        <v>746.67655727554188</v>
      </c>
      <c r="E364" s="247">
        <f>+VLOOKUP(A364,Base!$A$5:$F$1610,5,FALSE)</f>
        <v>933.3456965944273</v>
      </c>
    </row>
    <row r="365" spans="1:5" x14ac:dyDescent="0.25">
      <c r="A365" s="168" t="s">
        <v>664</v>
      </c>
      <c r="B365" s="164" t="s">
        <v>2013</v>
      </c>
      <c r="C365" s="168">
        <v>1</v>
      </c>
      <c r="D365" s="247">
        <f>+VLOOKUP(A365,Base!$A$5:$E$1610,4,FALSE)</f>
        <v>6.1103051470588232</v>
      </c>
      <c r="E365" s="247">
        <f>+VLOOKUP(A365,Base!$A$5:$F$1610,5,FALSE)</f>
        <v>7.6378814338235284</v>
      </c>
    </row>
    <row r="366" spans="1:5" x14ac:dyDescent="0.25">
      <c r="A366" s="168" t="s">
        <v>638</v>
      </c>
      <c r="B366" s="164" t="s">
        <v>2014</v>
      </c>
      <c r="C366" s="168">
        <v>1</v>
      </c>
      <c r="D366" s="247">
        <f>+VLOOKUP(A366,Base!$A$5:$E$1610,4,FALSE)</f>
        <v>40.766823529411766</v>
      </c>
      <c r="E366" s="247">
        <f>+VLOOKUP(A366,Base!$A$5:$F$1610,5,FALSE)</f>
        <v>50.958529411764708</v>
      </c>
    </row>
    <row r="367" spans="1:5" x14ac:dyDescent="0.25">
      <c r="A367" s="168" t="s">
        <v>640</v>
      </c>
      <c r="B367" s="164" t="s">
        <v>2015</v>
      </c>
      <c r="C367" s="168">
        <v>1</v>
      </c>
      <c r="D367" s="247">
        <f>+VLOOKUP(A367,Base!$A$5:$E$1610,4,FALSE)</f>
        <v>3.4601470588235306</v>
      </c>
      <c r="E367" s="247">
        <f>+VLOOKUP(A367,Base!$A$5:$F$1610,5,FALSE)</f>
        <v>4.3251838235294127</v>
      </c>
    </row>
    <row r="368" spans="1:5" x14ac:dyDescent="0.25">
      <c r="A368" s="168" t="s">
        <v>650</v>
      </c>
      <c r="B368" s="164" t="s">
        <v>2016</v>
      </c>
      <c r="C368" s="168">
        <v>1</v>
      </c>
      <c r="D368" s="247">
        <f>+VLOOKUP(A368,Base!$A$5:$E$1610,4,FALSE)</f>
        <v>17.582182662538703</v>
      </c>
      <c r="E368" s="247">
        <f>+VLOOKUP(A368,Base!$A$5:$F$1610,5,FALSE)</f>
        <v>21.977728328173377</v>
      </c>
    </row>
    <row r="369" spans="1:5" x14ac:dyDescent="0.25">
      <c r="A369" s="168" t="s">
        <v>634</v>
      </c>
      <c r="B369" s="164" t="s">
        <v>2017</v>
      </c>
      <c r="C369" s="168">
        <v>1</v>
      </c>
      <c r="D369" s="247">
        <f>+VLOOKUP(A369,Base!$A$5:$E$1610,4,FALSE)</f>
        <v>13.261137770897834</v>
      </c>
      <c r="E369" s="247">
        <f>+VLOOKUP(A369,Base!$A$5:$F$1610,5,FALSE)</f>
        <v>16.576422213622291</v>
      </c>
    </row>
    <row r="370" spans="1:5" x14ac:dyDescent="0.25">
      <c r="A370" s="168" t="s">
        <v>614</v>
      </c>
      <c r="B370" s="164" t="s">
        <v>2018</v>
      </c>
      <c r="C370" s="168">
        <v>6</v>
      </c>
      <c r="D370" s="247">
        <f>+VLOOKUP(A370,Base!$A$5:$E$1610,4,FALSE)</f>
        <v>135.10301470588237</v>
      </c>
      <c r="E370" s="247">
        <f>+VLOOKUP(A370,Base!$A$5:$F$1610,5,FALSE)</f>
        <v>168.87876838235294</v>
      </c>
    </row>
    <row r="371" spans="1:5" x14ac:dyDescent="0.25">
      <c r="A371" s="168" t="s">
        <v>2019</v>
      </c>
      <c r="B371" s="164" t="s">
        <v>2020</v>
      </c>
      <c r="C371" s="168">
        <v>1</v>
      </c>
      <c r="D371" s="247">
        <f>+VLOOKUP(A371,Base!$A$5:$E$1610,4,FALSE)</f>
        <v>5.8075422794117637</v>
      </c>
      <c r="E371" s="247">
        <f>+VLOOKUP(A371,Base!$A$5:$F$1610,5,FALSE)</f>
        <v>7.2594278492647044</v>
      </c>
    </row>
    <row r="372" spans="1:5" x14ac:dyDescent="0.25">
      <c r="A372" s="168"/>
      <c r="B372" s="164"/>
      <c r="C372" s="168"/>
      <c r="D372" s="247"/>
      <c r="E372" s="247"/>
    </row>
    <row r="373" spans="1:5" x14ac:dyDescent="0.25">
      <c r="A373" s="168" t="s">
        <v>695</v>
      </c>
      <c r="B373" s="164" t="s">
        <v>2021</v>
      </c>
      <c r="C373" s="168">
        <v>1</v>
      </c>
      <c r="D373" s="247">
        <f>+VLOOKUP(A373,Base!$A$5:$E$1610,4,FALSE)</f>
        <v>143.51829102167184</v>
      </c>
      <c r="E373" s="247">
        <f>+VLOOKUP(A373,Base!$A$5:$F$1610,5,FALSE)</f>
        <v>179.39786377708978</v>
      </c>
    </row>
    <row r="374" spans="1:5" x14ac:dyDescent="0.25">
      <c r="A374" s="168" t="s">
        <v>632</v>
      </c>
      <c r="B374" s="164" t="s">
        <v>2022</v>
      </c>
      <c r="C374" s="168">
        <v>1</v>
      </c>
      <c r="D374" s="247">
        <f>+VLOOKUP(A374,Base!$A$5:$E$1610,4,FALSE)</f>
        <v>10.600632352941174</v>
      </c>
      <c r="E374" s="247">
        <f>+VLOOKUP(A374,Base!$A$5:$F$1610,5,FALSE)</f>
        <v>13.250790441176466</v>
      </c>
    </row>
    <row r="375" spans="1:5" x14ac:dyDescent="0.25">
      <c r="A375" s="168" t="s">
        <v>599</v>
      </c>
      <c r="B375" s="164" t="s">
        <v>2023</v>
      </c>
      <c r="C375" s="168">
        <v>1</v>
      </c>
      <c r="D375" s="247">
        <f>+VLOOKUP(A375,Base!$A$5:$E$1610,4,FALSE)</f>
        <v>66.623558823529407</v>
      </c>
      <c r="E375" s="247">
        <f>+VLOOKUP(A375,Base!$A$5:$F$1610,5,FALSE)</f>
        <v>83.279448529411752</v>
      </c>
    </row>
    <row r="376" spans="1:5" x14ac:dyDescent="0.25">
      <c r="A376" s="168" t="s">
        <v>605</v>
      </c>
      <c r="B376" s="164" t="s">
        <v>2024</v>
      </c>
      <c r="C376" s="168">
        <v>1</v>
      </c>
      <c r="D376" s="247">
        <f>+VLOOKUP(A376,Base!$A$5:$E$1610,4,FALSE)</f>
        <v>140.96291447368421</v>
      </c>
      <c r="E376" s="247">
        <f>+VLOOKUP(A376,Base!$A$5:$F$1610,5,FALSE)</f>
        <v>176.20364309210524</v>
      </c>
    </row>
    <row r="377" spans="1:5" x14ac:dyDescent="0.25">
      <c r="A377" s="168" t="s">
        <v>678</v>
      </c>
      <c r="B377" s="164" t="s">
        <v>2025</v>
      </c>
      <c r="C377" s="168">
        <v>1</v>
      </c>
      <c r="D377" s="247">
        <f>+VLOOKUP(A377,Base!$A$5:$E$1610,4,FALSE)</f>
        <v>7.1967747678018563</v>
      </c>
      <c r="E377" s="247">
        <f>+VLOOKUP(A377,Base!$A$5:$F$1610,5,FALSE)</f>
        <v>8.9959684597523193</v>
      </c>
    </row>
    <row r="378" spans="1:5" x14ac:dyDescent="0.25">
      <c r="A378" s="168" t="s">
        <v>654</v>
      </c>
      <c r="B378" s="164" t="s">
        <v>2026</v>
      </c>
      <c r="C378" s="168">
        <v>1</v>
      </c>
      <c r="D378" s="247">
        <f>+VLOOKUP(A378,Base!$A$5:$E$1610,4,FALSE)</f>
        <v>14.394998161764706</v>
      </c>
      <c r="E378" s="247">
        <f>+VLOOKUP(A378,Base!$A$5:$F$1610,5,FALSE)</f>
        <v>17.99374770220588</v>
      </c>
    </row>
    <row r="379" spans="1:5" x14ac:dyDescent="0.25">
      <c r="A379" s="168" t="s">
        <v>636</v>
      </c>
      <c r="B379" s="164" t="s">
        <v>2027</v>
      </c>
      <c r="C379" s="168">
        <v>1</v>
      </c>
      <c r="D379" s="247">
        <f>+VLOOKUP(A379,Base!$A$5:$E$1610,4,FALSE)</f>
        <v>19.869356424148606</v>
      </c>
      <c r="E379" s="247">
        <f>+VLOOKUP(A379,Base!$A$5:$F$1610,5,FALSE)</f>
        <v>24.836695530185757</v>
      </c>
    </row>
    <row r="380" spans="1:5" x14ac:dyDescent="0.25">
      <c r="A380" s="168" t="s">
        <v>648</v>
      </c>
      <c r="B380" s="164" t="s">
        <v>2015</v>
      </c>
      <c r="C380" s="168">
        <v>1</v>
      </c>
      <c r="D380" s="247">
        <f>+VLOOKUP(A380,Base!$A$5:$E$1610,4,FALSE)</f>
        <v>7.2663088235294113</v>
      </c>
      <c r="E380" s="247">
        <f>+VLOOKUP(A380,Base!$A$5:$F$1610,5,FALSE)</f>
        <v>9.0828860294117639</v>
      </c>
    </row>
    <row r="381" spans="1:5" x14ac:dyDescent="0.25">
      <c r="A381" s="168" t="s">
        <v>675</v>
      </c>
      <c r="B381" s="164" t="s">
        <v>2028</v>
      </c>
      <c r="C381" s="168">
        <v>1</v>
      </c>
      <c r="D381" s="247">
        <f>+VLOOKUP(A381,Base!$A$5:$E$1610,4,FALSE)</f>
        <v>9.1002695433436536</v>
      </c>
      <c r="E381" s="247">
        <f>+VLOOKUP(A381,Base!$A$5:$F$1610,5,FALSE)</f>
        <v>11.375336929179566</v>
      </c>
    </row>
    <row r="382" spans="1:5" x14ac:dyDescent="0.25">
      <c r="A382" s="168" t="s">
        <v>621</v>
      </c>
      <c r="B382" s="164" t="s">
        <v>2029</v>
      </c>
      <c r="C382" s="168">
        <v>1</v>
      </c>
      <c r="D382" s="247">
        <f>+VLOOKUP(A382,Base!$A$5:$E$1610,4,FALSE)</f>
        <v>34.054303792569655</v>
      </c>
      <c r="E382" s="247">
        <f>+VLOOKUP(A382,Base!$A$5:$F$1610,5,FALSE)</f>
        <v>42.567879740712065</v>
      </c>
    </row>
    <row r="383" spans="1:5" x14ac:dyDescent="0.25">
      <c r="A383" s="168" t="s">
        <v>672</v>
      </c>
      <c r="B383" s="164" t="s">
        <v>2030</v>
      </c>
      <c r="C383" s="163">
        <v>1</v>
      </c>
      <c r="D383" s="247">
        <f>+VLOOKUP(A383,Base!$A$5:$E$1610,4,FALSE)</f>
        <v>6.3884413699690397</v>
      </c>
      <c r="E383" s="247">
        <f>+VLOOKUP(A383,Base!$A$5:$F$1610,5,FALSE)</f>
        <v>7.9855517124612989</v>
      </c>
    </row>
    <row r="384" spans="1:5" x14ac:dyDescent="0.25">
      <c r="A384" s="168"/>
      <c r="B384" s="164"/>
      <c r="C384" s="163"/>
      <c r="D384" s="247"/>
      <c r="E384" s="247"/>
    </row>
    <row r="385" spans="1:5" x14ac:dyDescent="0.25">
      <c r="A385" s="168" t="s">
        <v>622</v>
      </c>
      <c r="B385" s="164" t="s">
        <v>2031</v>
      </c>
      <c r="C385" s="163">
        <v>1</v>
      </c>
      <c r="D385" s="247">
        <f>+VLOOKUP(A385,Base!$A$5:$E$1610,4,FALSE)</f>
        <v>10.560484713622291</v>
      </c>
      <c r="E385" s="247">
        <f>+VLOOKUP(A385,Base!$A$5:$F$1610,5,FALSE)</f>
        <v>13.200605892027863</v>
      </c>
    </row>
    <row r="386" spans="1:5" x14ac:dyDescent="0.25">
      <c r="A386" s="168">
        <v>3559256</v>
      </c>
      <c r="B386" s="164" t="s">
        <v>2032</v>
      </c>
      <c r="C386" s="168">
        <v>1</v>
      </c>
      <c r="D386" s="247">
        <f>+VLOOKUP(A386,Base!$A$5:$E$1610,4,FALSE)</f>
        <v>32.30726064241486</v>
      </c>
      <c r="E386" s="247">
        <f>+VLOOKUP(A386,Base!$A$5:$F$1610,5,FALSE)</f>
        <v>40.384075803018575</v>
      </c>
    </row>
  </sheetData>
  <protectedRanges>
    <protectedRange sqref="A277" name="Range1"/>
    <protectedRange sqref="A278" name="Range1_1"/>
    <protectedRange sqref="A279:B279" name="Range1_2"/>
    <protectedRange sqref="A280:B280" name="Range1_3"/>
    <protectedRange sqref="A281:B281" name="Range1_4"/>
    <protectedRange sqref="A355:B355" name="Range1_5"/>
    <protectedRange sqref="A304" name="Range1_11"/>
    <protectedRange sqref="A305 I303" name="Range1_12"/>
  </protectedRanges>
  <mergeCells count="18">
    <mergeCell ref="A263:E263"/>
    <mergeCell ref="A53:E53"/>
    <mergeCell ref="A62:E62"/>
    <mergeCell ref="A66:E66"/>
    <mergeCell ref="A69:E69"/>
    <mergeCell ref="A72:E72"/>
    <mergeCell ref="A75:E75"/>
    <mergeCell ref="A88:E88"/>
    <mergeCell ref="A117:E117"/>
    <mergeCell ref="A144:E144"/>
    <mergeCell ref="A154:E154"/>
    <mergeCell ref="A258:E258"/>
    <mergeCell ref="A46:E46"/>
    <mergeCell ref="A9:E9"/>
    <mergeCell ref="A14:E14"/>
    <mergeCell ref="A19:E19"/>
    <mergeCell ref="A27:E27"/>
    <mergeCell ref="A42:E42"/>
  </mergeCells>
  <conditionalFormatting sqref="A95">
    <cfRule type="duplicateValues" dxfId="34" priority="5"/>
  </conditionalFormatting>
  <conditionalFormatting sqref="A139">
    <cfRule type="duplicateValues" dxfId="33" priority="4"/>
  </conditionalFormatting>
  <conditionalFormatting sqref="A304">
    <cfRule type="duplicateValues" dxfId="32" priority="3"/>
  </conditionalFormatting>
  <conditionalFormatting sqref="A305">
    <cfRule type="duplicateValues" dxfId="31" priority="2"/>
  </conditionalFormatting>
  <conditionalFormatting sqref="I303">
    <cfRule type="duplicateValues" dxfId="30" priority="1"/>
  </conditionalFormatting>
  <pageMargins left="1" right="1" top="1" bottom="1" header="0.5" footer="0.5"/>
  <pageSetup paperSize="9" scale="73" fitToHeight="6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72ADA-4116-4BAB-AD15-78914B8C27AB}">
  <sheetPr codeName="Sheet10">
    <pageSetUpPr fitToPage="1"/>
  </sheetPr>
  <dimension ref="A4:F100"/>
  <sheetViews>
    <sheetView tabSelected="1" workbookViewId="0">
      <selection activeCell="B7" sqref="B7"/>
    </sheetView>
  </sheetViews>
  <sheetFormatPr baseColWidth="10" defaultColWidth="11.42578125" defaultRowHeight="15" x14ac:dyDescent="0.25"/>
  <cols>
    <col min="1" max="1" width="9.85546875" bestFit="1" customWidth="1"/>
    <col min="2" max="2" width="64.28515625" bestFit="1" customWidth="1"/>
    <col min="3" max="3" width="9.5703125" bestFit="1" customWidth="1"/>
    <col min="4" max="4" width="13.5703125" style="87" bestFit="1" customWidth="1"/>
    <col min="5" max="5" width="13.140625" customWidth="1"/>
    <col min="6" max="6" width="11.42578125" bestFit="1" customWidth="1"/>
  </cols>
  <sheetData>
    <row r="4" spans="1:6" ht="21" x14ac:dyDescent="0.35">
      <c r="B4" s="217"/>
    </row>
    <row r="6" spans="1:6" ht="30" x14ac:dyDescent="0.25">
      <c r="A6" s="218" t="s">
        <v>1834</v>
      </c>
      <c r="B6" s="218" t="s">
        <v>1829</v>
      </c>
      <c r="C6" s="218" t="s">
        <v>2049</v>
      </c>
      <c r="D6" s="219" t="s">
        <v>57</v>
      </c>
      <c r="E6" s="220" t="s">
        <v>2050</v>
      </c>
      <c r="F6" s="220" t="s">
        <v>2051</v>
      </c>
    </row>
    <row r="7" spans="1:6" ht="15.75" x14ac:dyDescent="0.25">
      <c r="A7" s="221" t="s">
        <v>553</v>
      </c>
      <c r="B7" s="222" t="s">
        <v>2266</v>
      </c>
      <c r="C7" s="223">
        <v>30</v>
      </c>
      <c r="D7" s="224">
        <f>+VLOOKUP(A7,Base!A5:G1310,4,FALSE)</f>
        <v>102.00548797740667</v>
      </c>
      <c r="E7" s="224">
        <f>+VLOOKUP(A7,Base!A5:E1313,5,FALSE)</f>
        <v>127.50685997175833</v>
      </c>
      <c r="F7" s="225">
        <f>+D7/C7</f>
        <v>3.4001829325802224</v>
      </c>
    </row>
    <row r="8" spans="1:6" ht="15.75" x14ac:dyDescent="0.25">
      <c r="A8" s="226" t="s">
        <v>2052</v>
      </c>
      <c r="B8" s="222" t="s">
        <v>2053</v>
      </c>
      <c r="C8" s="223">
        <v>230</v>
      </c>
      <c r="D8" s="224">
        <f>+VLOOKUP(A8,Base!A6:G1311,4,FALSE)</f>
        <v>731.09522206827069</v>
      </c>
      <c r="E8" s="224">
        <f>+VLOOKUP(A8,Base!A6:E1311,5,FALSE)</f>
        <v>974.79362942436092</v>
      </c>
      <c r="F8" s="225">
        <f>+D8/C8</f>
        <v>3.1786748785576986</v>
      </c>
    </row>
    <row r="9" spans="1:6" ht="15.75" x14ac:dyDescent="0.25">
      <c r="A9" s="226" t="s">
        <v>2054</v>
      </c>
      <c r="B9" s="222" t="s">
        <v>2055</v>
      </c>
      <c r="C9" s="223">
        <v>1150</v>
      </c>
      <c r="D9" s="224">
        <f>+VLOOKUP(A9,Base!A7:G1312,4,FALSE)</f>
        <v>3586.6138812391855</v>
      </c>
      <c r="E9" s="224">
        <f>+VLOOKUP(A9,Base!A7:E1312,5,FALSE)</f>
        <v>4782.1518416522476</v>
      </c>
      <c r="F9" s="225">
        <f>+D9/C9</f>
        <v>3.1187946793384222</v>
      </c>
    </row>
    <row r="10" spans="1:6" ht="15.75" x14ac:dyDescent="0.25">
      <c r="A10" s="226"/>
      <c r="B10" s="222"/>
      <c r="C10" s="223"/>
      <c r="D10" s="224"/>
      <c r="E10" s="224"/>
      <c r="F10" s="225"/>
    </row>
    <row r="11" spans="1:6" ht="15.75" x14ac:dyDescent="0.25">
      <c r="A11" s="226" t="s">
        <v>496</v>
      </c>
      <c r="B11" s="222" t="s">
        <v>1746</v>
      </c>
      <c r="C11" s="222">
        <v>30</v>
      </c>
      <c r="D11" s="224">
        <f>+VLOOKUP(A11,Base!A9:G1314,4,FALSE)</f>
        <v>43.164860681114547</v>
      </c>
      <c r="E11" s="224">
        <f>+VLOOKUP(A11,Base!A9:E1314,5,FALSE)</f>
        <v>53.95607585139318</v>
      </c>
      <c r="F11" s="225">
        <f>+D11/C11</f>
        <v>1.4388286893704849</v>
      </c>
    </row>
    <row r="12" spans="1:6" ht="15.75" x14ac:dyDescent="0.25">
      <c r="A12" s="221" t="s">
        <v>561</v>
      </c>
      <c r="B12" s="227" t="s">
        <v>2152</v>
      </c>
      <c r="C12" s="222">
        <v>220</v>
      </c>
      <c r="D12" s="224">
        <f>+VLOOKUP(A12,Base!A10:G1315,4,FALSE)</f>
        <v>269.65441176470586</v>
      </c>
      <c r="E12" s="224">
        <f>+VLOOKUP(A12,Base!A10:E1315,5,FALSE)</f>
        <v>337.06801470588232</v>
      </c>
      <c r="F12" s="225">
        <f>+D12/C12</f>
        <v>1.2257018716577539</v>
      </c>
    </row>
    <row r="13" spans="1:6" ht="15.75" x14ac:dyDescent="0.25">
      <c r="A13" s="226" t="s">
        <v>571</v>
      </c>
      <c r="B13" s="227" t="s">
        <v>572</v>
      </c>
      <c r="C13" s="222">
        <v>1300</v>
      </c>
      <c r="D13" s="224">
        <f>+VLOOKUP(A13,Base!A11:G1316,4,FALSE)</f>
        <v>1477.5986842105262</v>
      </c>
      <c r="E13" s="224">
        <f>+VLOOKUP(A13,Base!A11:E1316,5,FALSE)</f>
        <v>1846.9983552631577</v>
      </c>
      <c r="F13" s="225">
        <f>+D13/C13</f>
        <v>1.1366143724696356</v>
      </c>
    </row>
    <row r="14" spans="1:6" ht="15.75" x14ac:dyDescent="0.25">
      <c r="A14" s="226"/>
      <c r="B14" s="227"/>
      <c r="C14" s="222"/>
      <c r="D14" s="224"/>
      <c r="E14" s="224"/>
      <c r="F14" s="225"/>
    </row>
    <row r="15" spans="1:6" ht="15.75" x14ac:dyDescent="0.25">
      <c r="A15" s="221" t="s">
        <v>554</v>
      </c>
      <c r="B15" s="222" t="s">
        <v>2056</v>
      </c>
      <c r="C15" s="222">
        <v>30</v>
      </c>
      <c r="D15" s="224">
        <f>+VLOOKUP(A15,Base!A13:G1318,4,FALSE)</f>
        <v>42.105800653594777</v>
      </c>
      <c r="E15" s="224">
        <f>+VLOOKUP(A15,Base!A13:E1318,5,FALSE)</f>
        <v>56.141067538126372</v>
      </c>
      <c r="F15" s="225">
        <f>+D15/C15</f>
        <v>1.4035266884531592</v>
      </c>
    </row>
    <row r="16" spans="1:6" ht="15.75" x14ac:dyDescent="0.25">
      <c r="A16" s="226" t="s">
        <v>2057</v>
      </c>
      <c r="B16" s="222" t="s">
        <v>2153</v>
      </c>
      <c r="C16" s="222">
        <v>220</v>
      </c>
      <c r="D16" s="224">
        <f>+VLOOKUP(A16,Base!A14:G1319,4,FALSE)</f>
        <v>282.33047385620915</v>
      </c>
      <c r="E16" s="224">
        <f>+VLOOKUP(A16,Base!A14:E1319,5,FALSE)</f>
        <v>352.9130923202614</v>
      </c>
      <c r="F16" s="225">
        <f>+D16/C16</f>
        <v>1.2833203357100416</v>
      </c>
    </row>
    <row r="17" spans="1:6" ht="15.75" x14ac:dyDescent="0.25">
      <c r="A17" s="226" t="s">
        <v>2059</v>
      </c>
      <c r="B17" s="222" t="s">
        <v>2060</v>
      </c>
      <c r="C17" s="222">
        <v>1300</v>
      </c>
      <c r="D17" s="224">
        <f>+VLOOKUP(A17,Base!A15:G1320,4,FALSE)</f>
        <v>1418.7438725490194</v>
      </c>
      <c r="E17" s="224">
        <f>+VLOOKUP(A17,Base!A15:E1320,5,FALSE)</f>
        <v>1773.4298406862742</v>
      </c>
      <c r="F17" s="225">
        <f>+D17/C17</f>
        <v>1.0913414404223227</v>
      </c>
    </row>
    <row r="18" spans="1:6" ht="15.75" x14ac:dyDescent="0.25">
      <c r="A18" s="226"/>
      <c r="B18" s="222"/>
      <c r="C18" s="222"/>
      <c r="D18" s="224"/>
      <c r="E18" s="228"/>
      <c r="F18" s="228"/>
    </row>
    <row r="19" spans="1:6" ht="15.75" x14ac:dyDescent="0.25">
      <c r="A19" s="226" t="s">
        <v>558</v>
      </c>
      <c r="B19" s="222" t="s">
        <v>1784</v>
      </c>
      <c r="C19" s="222">
        <v>30</v>
      </c>
      <c r="D19" s="224">
        <f>+VLOOKUP(A19,Base!A17:G1322,4,FALSE)</f>
        <v>37.543252595155707</v>
      </c>
      <c r="E19" s="224">
        <f>+VLOOKUP(A19,Base!A17:E1322,5,FALSE)</f>
        <v>50.057670126874278</v>
      </c>
      <c r="F19" s="225">
        <f>+D19/C19</f>
        <v>1.2514417531718569</v>
      </c>
    </row>
    <row r="20" spans="1:6" ht="15.75" x14ac:dyDescent="0.25">
      <c r="A20" s="226" t="s">
        <v>533</v>
      </c>
      <c r="B20" s="222" t="s">
        <v>2154</v>
      </c>
      <c r="C20" s="222">
        <v>220</v>
      </c>
      <c r="D20" s="224">
        <f>+VLOOKUP(A20,Base!A18:G1323,4,FALSE)</f>
        <v>254.82482698961934</v>
      </c>
      <c r="E20" s="224">
        <f>+VLOOKUP(A20,Base!A18:E1323,5,FALSE)</f>
        <v>339.76643598615914</v>
      </c>
      <c r="F20" s="225">
        <f>+D20/C20</f>
        <v>1.1582946681346333</v>
      </c>
    </row>
    <row r="21" spans="1:6" ht="15.75" x14ac:dyDescent="0.25">
      <c r="A21" s="226" t="s">
        <v>534</v>
      </c>
      <c r="B21" s="229" t="s">
        <v>1762</v>
      </c>
      <c r="C21" s="222">
        <v>1300</v>
      </c>
      <c r="D21" s="224">
        <f>+VLOOKUP(A21,Base!A19:G1324,4,FALSE)</f>
        <v>1197.1604671280277</v>
      </c>
      <c r="E21" s="224">
        <f>+VLOOKUP(A21,Base!A19:E1324,5,FALSE)</f>
        <v>1710.2292387543253</v>
      </c>
      <c r="F21" s="225">
        <f>+D21/C21</f>
        <v>0.9208926670215597</v>
      </c>
    </row>
    <row r="22" spans="1:6" ht="15.75" x14ac:dyDescent="0.25">
      <c r="A22" s="226"/>
      <c r="B22" s="229"/>
      <c r="C22" s="222"/>
      <c r="D22" s="224"/>
      <c r="E22" s="224"/>
      <c r="F22" s="225"/>
    </row>
    <row r="23" spans="1:6" ht="15.75" x14ac:dyDescent="0.25">
      <c r="A23" s="221" t="s">
        <v>559</v>
      </c>
      <c r="B23" s="222" t="s">
        <v>2061</v>
      </c>
      <c r="C23" s="222">
        <v>30</v>
      </c>
      <c r="D23" s="224">
        <f>+VLOOKUP(A23,Base!A21:G1326,4,FALSE)</f>
        <v>50.214100346020757</v>
      </c>
      <c r="E23" s="224">
        <f>+VLOOKUP(A23,Base!A21:E1326,5,FALSE)</f>
        <v>66.952133794694348</v>
      </c>
      <c r="F23" s="225">
        <f t="shared" ref="F23:F25" si="0">+D23/C23</f>
        <v>1.6738033448673586</v>
      </c>
    </row>
    <row r="24" spans="1:6" ht="15.75" x14ac:dyDescent="0.25">
      <c r="A24" s="226" t="s">
        <v>2062</v>
      </c>
      <c r="B24" s="222" t="s">
        <v>2063</v>
      </c>
      <c r="C24" s="222">
        <v>260</v>
      </c>
      <c r="D24" s="224">
        <f>+VLOOKUP(A24,Base!A22:G1327,4,FALSE)</f>
        <v>364.63884083044979</v>
      </c>
      <c r="E24" s="224">
        <f>+VLOOKUP(A24,Base!A22:E1327,5,FALSE)</f>
        <v>455.79855103806221</v>
      </c>
      <c r="F24" s="225">
        <f t="shared" si="0"/>
        <v>1.4024570801171146</v>
      </c>
    </row>
    <row r="25" spans="1:6" ht="15.75" x14ac:dyDescent="0.25">
      <c r="A25" s="226" t="s">
        <v>2064</v>
      </c>
      <c r="B25" s="222" t="s">
        <v>2065</v>
      </c>
      <c r="C25" s="222">
        <v>1300</v>
      </c>
      <c r="D25" s="224">
        <f>+VLOOKUP(A25,Base!A23:G1328,4,FALSE)</f>
        <v>1746.23053633218</v>
      </c>
      <c r="E25" s="224">
        <f>+VLOOKUP(A25,Base!A23:E1328,5,FALSE)</f>
        <v>2182.7881704152251</v>
      </c>
      <c r="F25" s="225">
        <f t="shared" si="0"/>
        <v>1.3432542587170615</v>
      </c>
    </row>
    <row r="26" spans="1:6" ht="15.75" x14ac:dyDescent="0.25">
      <c r="A26" s="226"/>
      <c r="B26" s="229"/>
      <c r="C26" s="222"/>
      <c r="D26" s="224"/>
      <c r="E26" s="224"/>
      <c r="F26" s="225"/>
    </row>
    <row r="27" spans="1:6" ht="15.75" x14ac:dyDescent="0.25">
      <c r="A27" s="230" t="s">
        <v>497</v>
      </c>
      <c r="B27" s="231" t="s">
        <v>498</v>
      </c>
      <c r="C27" s="222">
        <v>10</v>
      </c>
      <c r="D27" s="224">
        <f>+VLOOKUP(A27,Base!A25:G1330,4,FALSE)</f>
        <v>43.961907378771379</v>
      </c>
      <c r="E27" s="224">
        <f>+VLOOKUP(A27,Base!A25:E1330,5,FALSE)</f>
        <v>54.952384223464222</v>
      </c>
      <c r="F27" s="225">
        <f>+D27/C27</f>
        <v>4.3961907378771379</v>
      </c>
    </row>
    <row r="28" spans="1:6" ht="15.75" x14ac:dyDescent="0.25">
      <c r="A28" s="230"/>
      <c r="B28" s="231"/>
      <c r="C28" s="222"/>
      <c r="D28" s="224"/>
      <c r="E28" s="224"/>
      <c r="F28" s="225"/>
    </row>
    <row r="29" spans="1:6" ht="15.75" x14ac:dyDescent="0.25">
      <c r="A29" s="228"/>
      <c r="B29" s="232" t="s">
        <v>2066</v>
      </c>
      <c r="C29" s="228"/>
      <c r="D29" s="233"/>
      <c r="E29" s="228"/>
      <c r="F29" s="228"/>
    </row>
    <row r="30" spans="1:6" ht="15.75" x14ac:dyDescent="0.25">
      <c r="A30" s="226" t="s">
        <v>500</v>
      </c>
      <c r="B30" s="222" t="s">
        <v>1748</v>
      </c>
      <c r="C30" s="222">
        <v>25</v>
      </c>
      <c r="D30" s="224">
        <f>+VLOOKUP(A30,Base!A28:G1333,4,FALSE)</f>
        <v>45.774323937908491</v>
      </c>
      <c r="E30" s="224">
        <f>+VLOOKUP(A30,Base!A28:E1333,5,FALSE)</f>
        <v>65.391891339869275</v>
      </c>
      <c r="F30" s="225">
        <f t="shared" ref="F30:F44" si="1">+D30/C30</f>
        <v>1.8309729575163396</v>
      </c>
    </row>
    <row r="31" spans="1:6" ht="15.75" x14ac:dyDescent="0.25">
      <c r="A31" s="226" t="s">
        <v>539</v>
      </c>
      <c r="B31" s="222" t="s">
        <v>1767</v>
      </c>
      <c r="C31" s="222">
        <v>200</v>
      </c>
      <c r="D31" s="224">
        <f>+VLOOKUP(A31,Base!A29:G1334,4,FALSE)</f>
        <v>308.132908496732</v>
      </c>
      <c r="E31" s="224">
        <f>+VLOOKUP(A31,Base!A29:E1334,5,FALSE)</f>
        <v>440.18986928104573</v>
      </c>
      <c r="F31" s="225">
        <f t="shared" si="1"/>
        <v>1.54066454248366</v>
      </c>
    </row>
    <row r="32" spans="1:6" ht="15.75" x14ac:dyDescent="0.25">
      <c r="A32" s="226" t="s">
        <v>540</v>
      </c>
      <c r="B32" s="222" t="s">
        <v>1768</v>
      </c>
      <c r="C32" s="222">
        <v>1000</v>
      </c>
      <c r="D32" s="224">
        <f>+VLOOKUP(A32,Base!A30:G1335,4,FALSE)</f>
        <v>1467.9766339869282</v>
      </c>
      <c r="E32" s="224">
        <f>+VLOOKUP(A32,Base!A30:E1335,5,FALSE)</f>
        <v>2097.1094771241833</v>
      </c>
      <c r="F32" s="225">
        <f t="shared" si="1"/>
        <v>1.4679766339869282</v>
      </c>
    </row>
    <row r="33" spans="1:6" ht="15.75" x14ac:dyDescent="0.25">
      <c r="A33" s="226" t="s">
        <v>494</v>
      </c>
      <c r="B33" s="222" t="s">
        <v>1744</v>
      </c>
      <c r="C33" s="222">
        <v>25</v>
      </c>
      <c r="D33" s="224">
        <f>+VLOOKUP(A33,Base!A31:G1336,4,FALSE)</f>
        <v>73.293765479876157</v>
      </c>
      <c r="E33" s="224">
        <f>+VLOOKUP(A33,Base!A31:E1336,5,FALSE)</f>
        <v>86.227959388089602</v>
      </c>
      <c r="F33" s="225">
        <f t="shared" si="1"/>
        <v>2.9317506191950464</v>
      </c>
    </row>
    <row r="34" spans="1:6" ht="15.75" x14ac:dyDescent="0.25">
      <c r="A34" s="226" t="s">
        <v>525</v>
      </c>
      <c r="B34" s="222" t="s">
        <v>1753</v>
      </c>
      <c r="C34" s="222">
        <v>200</v>
      </c>
      <c r="D34" s="224">
        <f>+VLOOKUP(A34,Base!A32:G1337,4,FALSE)</f>
        <v>531.34431888544896</v>
      </c>
      <c r="E34" s="224">
        <f>+VLOOKUP(A34,Base!A32:E1337,5,FALSE)</f>
        <v>625.11096339464586</v>
      </c>
      <c r="F34" s="225">
        <f t="shared" si="1"/>
        <v>2.6567215944272449</v>
      </c>
    </row>
    <row r="35" spans="1:6" ht="15.75" x14ac:dyDescent="0.25">
      <c r="A35" s="226" t="s">
        <v>526</v>
      </c>
      <c r="B35" s="222" t="s">
        <v>1754</v>
      </c>
      <c r="C35" s="222">
        <v>1000</v>
      </c>
      <c r="D35" s="224">
        <f>+VLOOKUP(A35,Base!A33:G1338,4,FALSE)</f>
        <v>2587.8593653250773</v>
      </c>
      <c r="E35" s="224">
        <f>+VLOOKUP(A35,Base!A33:E1338,5,FALSE)</f>
        <v>3044.5404297942086</v>
      </c>
      <c r="F35" s="225">
        <f t="shared" si="1"/>
        <v>2.5878593653250772</v>
      </c>
    </row>
    <row r="36" spans="1:6" ht="15.75" x14ac:dyDescent="0.25">
      <c r="A36" s="226" t="s">
        <v>555</v>
      </c>
      <c r="B36" s="222" t="s">
        <v>1781</v>
      </c>
      <c r="C36" s="222">
        <v>25</v>
      </c>
      <c r="D36" s="224">
        <f>+VLOOKUP(A36,Base!A34:G1339,4,FALSE)</f>
        <v>131.47143188854491</v>
      </c>
      <c r="E36" s="224">
        <f>+VLOOKUP(A36,Base!A34:E1339,5,FALSE)</f>
        <v>154.67227281005285</v>
      </c>
      <c r="F36" s="225">
        <f t="shared" si="1"/>
        <v>5.2588572755417964</v>
      </c>
    </row>
    <row r="37" spans="1:6" ht="15.75" x14ac:dyDescent="0.25">
      <c r="A37" s="226" t="s">
        <v>556</v>
      </c>
      <c r="B37" s="222" t="s">
        <v>1782</v>
      </c>
      <c r="C37" s="222">
        <v>200</v>
      </c>
      <c r="D37" s="224">
        <f>+VLOOKUP(A37,Base!A35:G1340,4,FALSE)</f>
        <v>996.76565015479878</v>
      </c>
      <c r="E37" s="224">
        <f>+VLOOKUP(A37,Base!A35:E1340,5,FALSE)</f>
        <v>1172.6654707703515</v>
      </c>
      <c r="F37" s="225">
        <f t="shared" si="1"/>
        <v>4.9838282507739935</v>
      </c>
    </row>
    <row r="38" spans="1:6" ht="15.75" x14ac:dyDescent="0.25">
      <c r="A38" s="226" t="s">
        <v>557</v>
      </c>
      <c r="B38" s="222" t="s">
        <v>1783</v>
      </c>
      <c r="C38" s="222">
        <v>1000</v>
      </c>
      <c r="D38" s="224">
        <f>+VLOOKUP(A38,Base!A36:G1341,4,FALSE)</f>
        <v>4914.9660216718266</v>
      </c>
      <c r="E38" s="224">
        <f>+VLOOKUP(A38,Base!A36:E1341,5,FALSE)</f>
        <v>5782.3129666727373</v>
      </c>
      <c r="F38" s="225">
        <f t="shared" si="1"/>
        <v>4.9149660216718267</v>
      </c>
    </row>
    <row r="39" spans="1:6" ht="15.75" x14ac:dyDescent="0.25">
      <c r="A39" s="226" t="s">
        <v>501</v>
      </c>
      <c r="B39" s="222" t="s">
        <v>1749</v>
      </c>
      <c r="C39" s="222">
        <v>25</v>
      </c>
      <c r="D39" s="224">
        <f>+VLOOKUP(A39,Base!A37:G1342,4,FALSE)</f>
        <v>75.813115325077405</v>
      </c>
      <c r="E39" s="224">
        <f>+VLOOKUP(A39,Base!A37:E1342,5,FALSE)</f>
        <v>89.191900382444004</v>
      </c>
      <c r="F39" s="225">
        <f t="shared" si="1"/>
        <v>3.0325246130030963</v>
      </c>
    </row>
    <row r="40" spans="1:6" ht="15.75" x14ac:dyDescent="0.25">
      <c r="A40" s="226" t="s">
        <v>527</v>
      </c>
      <c r="B40" s="222" t="s">
        <v>1755</v>
      </c>
      <c r="C40" s="222">
        <v>200</v>
      </c>
      <c r="D40" s="224">
        <f>+VLOOKUP(A40,Base!A38:G1343,4,FALSE)</f>
        <v>534.70345201238388</v>
      </c>
      <c r="E40" s="224">
        <f>+VLOOKUP(A40,Base!A38:E1343,5,FALSE)</f>
        <v>629.06288472045162</v>
      </c>
      <c r="F40" s="225">
        <f t="shared" si="1"/>
        <v>2.6735172600619195</v>
      </c>
    </row>
    <row r="41" spans="1:6" ht="15.75" x14ac:dyDescent="0.25">
      <c r="A41" s="226" t="s">
        <v>528</v>
      </c>
      <c r="B41" s="222" t="s">
        <v>1756</v>
      </c>
      <c r="C41" s="222">
        <v>1000</v>
      </c>
      <c r="D41" s="224">
        <f>+VLOOKUP(A41,Base!A39:G1344,4,FALSE)</f>
        <v>2604.6550309597524</v>
      </c>
      <c r="E41" s="224">
        <f>+VLOOKUP(A41,Base!A39:E1344,5,FALSE)</f>
        <v>3064.300036423238</v>
      </c>
      <c r="F41" s="225">
        <f t="shared" si="1"/>
        <v>2.6046550309597523</v>
      </c>
    </row>
    <row r="42" spans="1:6" ht="15.75" x14ac:dyDescent="0.25">
      <c r="A42" s="226" t="s">
        <v>502</v>
      </c>
      <c r="B42" s="222" t="s">
        <v>1750</v>
      </c>
      <c r="C42" s="222">
        <v>25</v>
      </c>
      <c r="D42" s="224">
        <f>+VLOOKUP(A42,Base!A40:G1345,4,FALSE)</f>
        <v>135.67034829721362</v>
      </c>
      <c r="E42" s="224">
        <f>+VLOOKUP(A42,Base!A40:E1345,5,FALSE)</f>
        <v>159.61217446731015</v>
      </c>
      <c r="F42" s="225">
        <f t="shared" si="1"/>
        <v>5.4268139318885451</v>
      </c>
    </row>
    <row r="43" spans="1:6" ht="15.75" x14ac:dyDescent="0.25">
      <c r="A43" s="226" t="s">
        <v>529</v>
      </c>
      <c r="B43" s="222" t="s">
        <v>1757</v>
      </c>
      <c r="C43" s="222">
        <v>200</v>
      </c>
      <c r="D43" s="224">
        <f>+VLOOKUP(A43,Base!A41:G1346,4,FALSE)</f>
        <v>1003.4839164086686</v>
      </c>
      <c r="E43" s="224">
        <f>+VLOOKUP(A43,Base!A41:E1346,5,FALSE)</f>
        <v>1180.5693134219632</v>
      </c>
      <c r="F43" s="225">
        <f t="shared" si="1"/>
        <v>5.0174195820433427</v>
      </c>
    </row>
    <row r="44" spans="1:6" ht="15.75" x14ac:dyDescent="0.25">
      <c r="A44" s="226" t="s">
        <v>530</v>
      </c>
      <c r="B44" s="222" t="s">
        <v>1758</v>
      </c>
      <c r="C44" s="222">
        <v>1000</v>
      </c>
      <c r="D44" s="224">
        <f>+VLOOKUP(A44,Base!A42:G1347,4,FALSE)</f>
        <v>4948.5573529411758</v>
      </c>
      <c r="E44" s="224">
        <f>+VLOOKUP(A44,Base!A42:E1347,5,FALSE)</f>
        <v>5821.8321799307951</v>
      </c>
      <c r="F44" s="225">
        <f t="shared" si="1"/>
        <v>4.9485573529411759</v>
      </c>
    </row>
    <row r="45" spans="1:6" ht="15.75" x14ac:dyDescent="0.25">
      <c r="A45" s="226"/>
      <c r="B45" s="222"/>
      <c r="C45" s="222"/>
      <c r="D45" s="224"/>
      <c r="E45" s="228"/>
      <c r="F45" s="228"/>
    </row>
    <row r="46" spans="1:6" ht="15.75" x14ac:dyDescent="0.25">
      <c r="A46" s="226" t="s">
        <v>547</v>
      </c>
      <c r="B46" s="222" t="s">
        <v>1773</v>
      </c>
      <c r="C46" s="222">
        <v>25</v>
      </c>
      <c r="D46" s="224">
        <f>+VLOOKUP(A46,Base!A44:G1349,4,FALSE)</f>
        <v>46.120477941176468</v>
      </c>
      <c r="E46" s="224">
        <f>+VLOOKUP(A46,Base!A44:E1349,5,FALSE)</f>
        <v>57.650597426470583</v>
      </c>
      <c r="F46" s="225">
        <f t="shared" ref="F46:F57" si="2">+D46/C46</f>
        <v>1.8448191176470587</v>
      </c>
    </row>
    <row r="47" spans="1:6" ht="15.75" x14ac:dyDescent="0.25">
      <c r="A47" s="226" t="s">
        <v>548</v>
      </c>
      <c r="B47" s="222" t="s">
        <v>1774</v>
      </c>
      <c r="C47" s="222">
        <v>200</v>
      </c>
      <c r="D47" s="224">
        <f>+VLOOKUP(A47,Base!A45:G1350,4,FALSE)</f>
        <v>307.48674740484432</v>
      </c>
      <c r="E47" s="224">
        <f>+VLOOKUP(A47,Base!A45:E1350,5,FALSE)</f>
        <v>384.35843425605538</v>
      </c>
      <c r="F47" s="225">
        <f t="shared" si="2"/>
        <v>1.5374337370242217</v>
      </c>
    </row>
    <row r="48" spans="1:6" ht="15.75" x14ac:dyDescent="0.25">
      <c r="A48" s="226" t="s">
        <v>549</v>
      </c>
      <c r="B48" s="222" t="s">
        <v>1775</v>
      </c>
      <c r="C48" s="222">
        <v>1000</v>
      </c>
      <c r="D48" s="224">
        <f>+VLOOKUP(A48,Base!A46:G1351,4,FALSE)</f>
        <v>1460.4700692041522</v>
      </c>
      <c r="E48" s="224">
        <f>+VLOOKUP(A48,Base!A46:E1351,5,FALSE)</f>
        <v>1825.5875865051901</v>
      </c>
      <c r="F48" s="225">
        <f t="shared" si="2"/>
        <v>1.4604700692041521</v>
      </c>
    </row>
    <row r="49" spans="1:6" ht="15.75" x14ac:dyDescent="0.25">
      <c r="A49" s="226" t="s">
        <v>493</v>
      </c>
      <c r="B49" s="222" t="s">
        <v>1743</v>
      </c>
      <c r="C49" s="222">
        <v>25</v>
      </c>
      <c r="D49" s="224">
        <f>+VLOOKUP(A49,Base!A47:G1352,4,FALSE)</f>
        <v>71.194307275541803</v>
      </c>
      <c r="E49" s="224">
        <f>+VLOOKUP(A49,Base!A47:E1352,5,FALSE)</f>
        <v>88.992884094427254</v>
      </c>
      <c r="F49" s="225">
        <f t="shared" si="2"/>
        <v>2.8477722910216721</v>
      </c>
    </row>
    <row r="50" spans="1:6" ht="15.75" x14ac:dyDescent="0.25">
      <c r="A50" s="226" t="s">
        <v>535</v>
      </c>
      <c r="B50" s="222" t="s">
        <v>1763</v>
      </c>
      <c r="C50" s="222">
        <v>200</v>
      </c>
      <c r="D50" s="224">
        <f>+VLOOKUP(A50,Base!A48:G1353,4,FALSE)</f>
        <v>514.54865325077401</v>
      </c>
      <c r="E50" s="224">
        <f>+VLOOKUP(A50,Base!A48:E1353,5,FALSE)</f>
        <v>643.18581656346748</v>
      </c>
      <c r="F50" s="225">
        <f t="shared" si="2"/>
        <v>2.5727432662538701</v>
      </c>
    </row>
    <row r="51" spans="1:6" ht="15.75" x14ac:dyDescent="0.25">
      <c r="A51" s="226" t="s">
        <v>536</v>
      </c>
      <c r="B51" s="222" t="s">
        <v>1764</v>
      </c>
      <c r="C51" s="222">
        <v>1000</v>
      </c>
      <c r="D51" s="224">
        <f>+VLOOKUP(A51,Base!A49:G1354,4,FALSE)</f>
        <v>2503.8810371517025</v>
      </c>
      <c r="E51" s="224">
        <f>+VLOOKUP(A51,Base!A49:E1354,5,FALSE)</f>
        <v>3129.8512964396277</v>
      </c>
      <c r="F51" s="225">
        <f t="shared" si="2"/>
        <v>2.5038810371517024</v>
      </c>
    </row>
    <row r="52" spans="1:6" ht="15.75" x14ac:dyDescent="0.25">
      <c r="A52" s="226" t="s">
        <v>550</v>
      </c>
      <c r="B52" s="222" t="s">
        <v>1776</v>
      </c>
      <c r="C52" s="222">
        <v>25</v>
      </c>
      <c r="D52" s="224">
        <f>+VLOOKUP(A52,Base!A50:G1355,4,FALSE)</f>
        <v>77.072790247678029</v>
      </c>
      <c r="E52" s="224">
        <f>+VLOOKUP(A52,Base!A50:E1355,5,FALSE)</f>
        <v>96.340987809597536</v>
      </c>
      <c r="F52" s="225">
        <f t="shared" si="2"/>
        <v>3.082911609907121</v>
      </c>
    </row>
    <row r="53" spans="1:6" ht="15.75" x14ac:dyDescent="0.25">
      <c r="A53" s="226" t="s">
        <v>551</v>
      </c>
      <c r="B53" s="222" t="s">
        <v>1777</v>
      </c>
      <c r="C53" s="222">
        <v>200</v>
      </c>
      <c r="D53" s="224">
        <f>+VLOOKUP(A53,Base!A51:G1356,4,FALSE)</f>
        <v>521.26691950464397</v>
      </c>
      <c r="E53" s="224">
        <f>+VLOOKUP(A53,Base!A51:E1356,5,FALSE)</f>
        <v>651.5836493808049</v>
      </c>
      <c r="F53" s="225">
        <f t="shared" si="2"/>
        <v>2.6063345975232197</v>
      </c>
    </row>
    <row r="54" spans="1:6" ht="15.75" x14ac:dyDescent="0.25">
      <c r="A54" s="226" t="s">
        <v>552</v>
      </c>
      <c r="B54" s="222" t="s">
        <v>1778</v>
      </c>
      <c r="C54" s="222">
        <v>1000</v>
      </c>
      <c r="D54" s="224">
        <f>+VLOOKUP(A54,Base!A52:G1357,4,FALSE)</f>
        <v>2660.7142973856207</v>
      </c>
      <c r="E54" s="224">
        <f>+VLOOKUP(A54,Base!A52:E1357,5,FALSE)</f>
        <v>3325.8928717320259</v>
      </c>
      <c r="F54" s="225">
        <f t="shared" si="2"/>
        <v>2.6607142973856206</v>
      </c>
    </row>
    <row r="55" spans="1:6" ht="15.75" x14ac:dyDescent="0.25">
      <c r="A55" s="226" t="s">
        <v>2124</v>
      </c>
      <c r="B55" s="164" t="s">
        <v>2127</v>
      </c>
      <c r="C55" s="222">
        <v>25</v>
      </c>
      <c r="D55" s="224">
        <f>+VLOOKUP(A55,Base!A53:G1358,4,FALSE)</f>
        <v>138.60958978328173</v>
      </c>
      <c r="E55" s="224">
        <f>+VLOOKUP(A55,Base!A53:E1358,5,FALSE)</f>
        <v>163.07010562739029</v>
      </c>
      <c r="F55" s="225">
        <f t="shared" si="2"/>
        <v>5.5443835913312691</v>
      </c>
    </row>
    <row r="56" spans="1:6" ht="15.75" x14ac:dyDescent="0.25">
      <c r="A56" s="226" t="s">
        <v>2125</v>
      </c>
      <c r="B56" s="164" t="s">
        <v>2128</v>
      </c>
      <c r="C56" s="222">
        <v>200</v>
      </c>
      <c r="D56" s="224">
        <f>+VLOOKUP(A56,Base!A54:G1359,4,FALSE)</f>
        <v>990.04738390092882</v>
      </c>
      <c r="E56" s="224">
        <f>+VLOOKUP(A56,Base!A54:E1359,5,FALSE)</f>
        <v>1164.7616281187397</v>
      </c>
      <c r="F56" s="225">
        <f t="shared" si="2"/>
        <v>4.9502369195046443</v>
      </c>
    </row>
    <row r="57" spans="1:6" ht="15.75" x14ac:dyDescent="0.25">
      <c r="A57" s="226" t="s">
        <v>2126</v>
      </c>
      <c r="B57" s="164" t="s">
        <v>2129</v>
      </c>
      <c r="C57" s="222">
        <v>1000</v>
      </c>
      <c r="D57" s="224">
        <f>+VLOOKUP(A57,Base!A55:G1360,4,FALSE)</f>
        <v>4856.1811919504644</v>
      </c>
      <c r="E57" s="224">
        <f>+VLOOKUP(A57,Base!A55:E1360,5,FALSE)</f>
        <v>5713.1543434711348</v>
      </c>
      <c r="F57" s="225">
        <f t="shared" si="2"/>
        <v>4.8561811919504647</v>
      </c>
    </row>
    <row r="58" spans="1:6" ht="15.75" x14ac:dyDescent="0.25">
      <c r="A58" s="226"/>
      <c r="B58" s="222"/>
      <c r="C58" s="222"/>
      <c r="D58" s="224"/>
      <c r="E58" s="228"/>
      <c r="F58" s="228"/>
    </row>
    <row r="59" spans="1:6" ht="15.75" x14ac:dyDescent="0.25">
      <c r="A59" s="226"/>
      <c r="B59" s="222"/>
      <c r="C59" s="222"/>
      <c r="D59" s="224"/>
      <c r="E59" s="228"/>
      <c r="F59" s="228"/>
    </row>
    <row r="60" spans="1:6" ht="15.75" x14ac:dyDescent="0.25">
      <c r="A60" s="226" t="s">
        <v>495</v>
      </c>
      <c r="B60" s="222" t="s">
        <v>1745</v>
      </c>
      <c r="C60" s="222">
        <v>25</v>
      </c>
      <c r="D60" s="224">
        <f>+VLOOKUP(A60,Base!A58:G1363,4,FALSE)</f>
        <v>62.001068474264713</v>
      </c>
      <c r="E60" s="224">
        <f>+VLOOKUP(A60,Base!A58:E1363,5,FALSE)</f>
        <v>88.572954963235304</v>
      </c>
      <c r="F60" s="225">
        <f t="shared" ref="F60:F62" si="3">+D60/C60</f>
        <v>2.4800427389705884</v>
      </c>
    </row>
    <row r="61" spans="1:6" ht="15.75" x14ac:dyDescent="0.25">
      <c r="A61" s="226" t="s">
        <v>537</v>
      </c>
      <c r="B61" s="222" t="s">
        <v>1765</v>
      </c>
      <c r="C61" s="222">
        <v>200</v>
      </c>
      <c r="D61" s="224">
        <f>+VLOOKUP(A61,Base!A59:G1364,4,FALSE)</f>
        <v>430.68915441176466</v>
      </c>
      <c r="E61" s="224">
        <f>+VLOOKUP(A61,Base!A59:E1364,5,FALSE)</f>
        <v>615.27022058823525</v>
      </c>
      <c r="F61" s="225">
        <f t="shared" si="3"/>
        <v>2.1534457720588231</v>
      </c>
    </row>
    <row r="62" spans="1:6" ht="15.75" x14ac:dyDescent="0.25">
      <c r="A62" s="226" t="s">
        <v>538</v>
      </c>
      <c r="B62" s="222" t="s">
        <v>1766</v>
      </c>
      <c r="C62" s="222">
        <v>1000</v>
      </c>
      <c r="D62" s="224">
        <f>+VLOOKUP(A62,Base!A60:G1365,4,FALSE)</f>
        <v>2032.7794117647059</v>
      </c>
      <c r="E62" s="224">
        <f>+VLOOKUP(A62,Base!A60:E1365,5,FALSE)</f>
        <v>2903.9705882352941</v>
      </c>
      <c r="F62" s="225">
        <f t="shared" si="3"/>
        <v>2.032779411764706</v>
      </c>
    </row>
    <row r="63" spans="1:6" ht="15.75" x14ac:dyDescent="0.25">
      <c r="A63" s="226"/>
      <c r="B63" s="222"/>
      <c r="C63" s="222"/>
      <c r="D63" s="224"/>
      <c r="E63" s="224"/>
      <c r="F63" s="234"/>
    </row>
    <row r="64" spans="1:6" ht="15.75" x14ac:dyDescent="0.25">
      <c r="A64" s="226" t="s">
        <v>503</v>
      </c>
      <c r="B64" s="222" t="s">
        <v>1751</v>
      </c>
      <c r="C64" s="222">
        <v>25</v>
      </c>
      <c r="D64" s="224">
        <f>+VLOOKUP(A64,Base!A62:G1367,4,FALSE)</f>
        <v>64.992796415441177</v>
      </c>
      <c r="E64" s="224">
        <f>+VLOOKUP(A64,Base!A62:E1367,5,FALSE)</f>
        <v>92.846852022058826</v>
      </c>
      <c r="F64" s="225">
        <f t="shared" ref="F64:F66" si="4">+D64/C64</f>
        <v>2.5997118566176471</v>
      </c>
    </row>
    <row r="65" spans="1:6" ht="15.75" x14ac:dyDescent="0.25">
      <c r="A65" s="226" t="s">
        <v>541</v>
      </c>
      <c r="B65" s="222" t="s">
        <v>1769</v>
      </c>
      <c r="C65" s="222">
        <v>200</v>
      </c>
      <c r="D65" s="224">
        <f>+VLOOKUP(A65,Base!A63:G1368,4,FALSE)</f>
        <v>434.67812500000002</v>
      </c>
      <c r="E65" s="224">
        <f>+VLOOKUP(A65,Base!A63:E1368,5,FALSE)</f>
        <v>620.96875000000011</v>
      </c>
      <c r="F65" s="225">
        <f t="shared" si="4"/>
        <v>2.1733906250000001</v>
      </c>
    </row>
    <row r="66" spans="1:6" ht="15.75" x14ac:dyDescent="0.25">
      <c r="A66" s="226" t="s">
        <v>542</v>
      </c>
      <c r="B66" s="222" t="s">
        <v>1770</v>
      </c>
      <c r="C66" s="222">
        <v>1000</v>
      </c>
      <c r="D66" s="224">
        <f>+VLOOKUP(A66,Base!A64:G1369,4,FALSE)</f>
        <v>2081.6443014705883</v>
      </c>
      <c r="E66" s="224">
        <f>+VLOOKUP(A66,Base!A64:E1369,5,FALSE)</f>
        <v>2973.7775735294122</v>
      </c>
      <c r="F66" s="225">
        <f t="shared" si="4"/>
        <v>2.0816443014705883</v>
      </c>
    </row>
    <row r="67" spans="1:6" ht="15.75" x14ac:dyDescent="0.25">
      <c r="A67" s="226"/>
      <c r="B67" s="222"/>
      <c r="C67" s="222"/>
      <c r="D67" s="224"/>
      <c r="E67" s="224"/>
      <c r="F67" s="234"/>
    </row>
    <row r="68" spans="1:6" ht="15.75" x14ac:dyDescent="0.25">
      <c r="A68" s="226" t="s">
        <v>504</v>
      </c>
      <c r="B68" s="222" t="s">
        <v>1752</v>
      </c>
      <c r="C68" s="222">
        <v>25</v>
      </c>
      <c r="D68" s="224">
        <f>+VLOOKUP(A68,Base!A66:G1371,4,FALSE)</f>
        <v>68.981767003676481</v>
      </c>
      <c r="E68" s="224">
        <f>+VLOOKUP(A68,Base!A66:E1371,5,FALSE)</f>
        <v>98.54538143382355</v>
      </c>
      <c r="F68" s="225">
        <f t="shared" ref="F68:F70" si="5">+D68/C68</f>
        <v>2.7592706801470595</v>
      </c>
    </row>
    <row r="69" spans="1:6" ht="15.75" x14ac:dyDescent="0.25">
      <c r="A69" s="226" t="s">
        <v>543</v>
      </c>
      <c r="B69" s="222" t="s">
        <v>1771</v>
      </c>
      <c r="C69" s="222">
        <v>200</v>
      </c>
      <c r="D69" s="224">
        <f>+VLOOKUP(A69,Base!A67:G1372,4,FALSE)</f>
        <v>438.66709558823533</v>
      </c>
      <c r="E69" s="224">
        <f>+VLOOKUP(A69,Base!A67:E1372,5,FALSE)</f>
        <v>626.66727941176475</v>
      </c>
      <c r="F69" s="225">
        <f t="shared" si="5"/>
        <v>2.1933354779411767</v>
      </c>
    </row>
    <row r="70" spans="1:6" ht="15.75" x14ac:dyDescent="0.25">
      <c r="A70" s="226" t="s">
        <v>544</v>
      </c>
      <c r="B70" s="222" t="s">
        <v>1772</v>
      </c>
      <c r="C70" s="222">
        <v>1000</v>
      </c>
      <c r="D70" s="224">
        <f>+VLOOKUP(A70,Base!A68:G1373,4,FALSE)</f>
        <v>2101.5891544117644</v>
      </c>
      <c r="E70" s="224">
        <f>+VLOOKUP(A70,Base!A68:E1373,5,FALSE)</f>
        <v>3002.2702205882351</v>
      </c>
      <c r="F70" s="225">
        <f t="shared" si="5"/>
        <v>2.1015891544117644</v>
      </c>
    </row>
    <row r="71" spans="1:6" ht="15.75" x14ac:dyDescent="0.25">
      <c r="A71" s="235"/>
      <c r="B71" s="236"/>
      <c r="C71" s="236"/>
      <c r="D71" s="357"/>
      <c r="E71" s="357"/>
      <c r="F71" s="358"/>
    </row>
    <row r="72" spans="1:6" ht="15.75" x14ac:dyDescent="0.25">
      <c r="A72" s="164" t="s">
        <v>2121</v>
      </c>
      <c r="B72" s="222" t="s">
        <v>2159</v>
      </c>
      <c r="C72" s="222">
        <v>10</v>
      </c>
      <c r="D72" s="224">
        <f>+VLOOKUP(A72,Base!A70:G1375,4,FALSE)</f>
        <v>11.169117647058824</v>
      </c>
      <c r="E72" s="224">
        <f>+VLOOKUP(A72,Base!A70:E1375,5,FALSE)</f>
        <v>13.1401384083045</v>
      </c>
      <c r="F72" s="225">
        <f t="shared" ref="F72:F74" si="6">+D72/C72</f>
        <v>1.1169117647058824</v>
      </c>
    </row>
    <row r="73" spans="1:6" ht="15.75" x14ac:dyDescent="0.25">
      <c r="A73" s="164" t="s">
        <v>2122</v>
      </c>
      <c r="B73" s="222" t="s">
        <v>2160</v>
      </c>
      <c r="C73" s="222">
        <v>200</v>
      </c>
      <c r="D73" s="224">
        <f>+VLOOKUP(A73,Base!A71:G1376,4,FALSE)</f>
        <v>220.44311145510838</v>
      </c>
      <c r="E73" s="224">
        <f>+VLOOKUP(A73,Base!A71:E1376,5,FALSE)</f>
        <v>259.34483700600987</v>
      </c>
      <c r="F73" s="225">
        <f t="shared" si="6"/>
        <v>1.1022155572755419</v>
      </c>
    </row>
    <row r="74" spans="1:6" ht="15.75" x14ac:dyDescent="0.25">
      <c r="A74" s="164" t="s">
        <v>2123</v>
      </c>
      <c r="B74" s="222" t="s">
        <v>2161</v>
      </c>
      <c r="C74" s="222">
        <v>1000</v>
      </c>
      <c r="D74" s="224">
        <f>+VLOOKUP(A74,Base!A72:G1377,4,FALSE)</f>
        <v>1050.1489938080495</v>
      </c>
      <c r="E74" s="224">
        <f>+VLOOKUP(A74,Base!A72:E1377,5,FALSE)</f>
        <v>1235.4694044800583</v>
      </c>
      <c r="F74" s="225">
        <f t="shared" si="6"/>
        <v>1.0501489938080495</v>
      </c>
    </row>
    <row r="75" spans="1:6" ht="15.75" x14ac:dyDescent="0.25">
      <c r="A75" s="235"/>
      <c r="B75" s="236"/>
      <c r="C75" s="236"/>
      <c r="D75" s="357"/>
      <c r="E75" s="357"/>
      <c r="F75" s="358"/>
    </row>
    <row r="76" spans="1:6" ht="15.75" x14ac:dyDescent="0.25">
      <c r="A76" s="168" t="s">
        <v>2130</v>
      </c>
      <c r="B76" s="164" t="s">
        <v>2133</v>
      </c>
      <c r="C76" s="222">
        <v>25</v>
      </c>
      <c r="D76" s="224">
        <f>+VLOOKUP(A76,Base!A74:G1379,4,FALSE)</f>
        <v>27.630269607843132</v>
      </c>
      <c r="E76" s="224">
        <f>+VLOOKUP(A76,Base!A74:E1379,5,FALSE)</f>
        <v>32.506199538638981</v>
      </c>
      <c r="F76" s="225">
        <f t="shared" ref="F76:F78" si="7">+D76/C76</f>
        <v>1.1052107843137253</v>
      </c>
    </row>
    <row r="77" spans="1:6" ht="15.75" x14ac:dyDescent="0.25">
      <c r="A77" s="168" t="s">
        <v>2131</v>
      </c>
      <c r="B77" s="164" t="s">
        <v>2134</v>
      </c>
      <c r="C77" s="222">
        <v>200</v>
      </c>
      <c r="D77" s="224">
        <f>+VLOOKUP(A77,Base!A75:G1380,4,FALSE)</f>
        <v>159.87794117647056</v>
      </c>
      <c r="E77" s="224">
        <f>+VLOOKUP(A77,Base!A75:E1380,5,FALSE)</f>
        <v>188.09169550173007</v>
      </c>
      <c r="F77" s="225">
        <f t="shared" si="7"/>
        <v>0.79938970588235281</v>
      </c>
    </row>
    <row r="78" spans="1:6" ht="15.75" x14ac:dyDescent="0.25">
      <c r="A78" s="168" t="s">
        <v>2132</v>
      </c>
      <c r="B78" s="164" t="s">
        <v>2135</v>
      </c>
      <c r="C78" s="222">
        <v>1000</v>
      </c>
      <c r="D78" s="224">
        <f>+VLOOKUP(A78,Base!A76:G1381,4,FALSE)</f>
        <v>605.79166666666663</v>
      </c>
      <c r="E78" s="224">
        <f>+VLOOKUP(A78,Base!A76:E1381,5,FALSE)</f>
        <v>712.69607843137248</v>
      </c>
      <c r="F78" s="225">
        <f t="shared" si="7"/>
        <v>0.60579166666666662</v>
      </c>
    </row>
    <row r="79" spans="1:6" ht="15.75" x14ac:dyDescent="0.25">
      <c r="A79" s="235"/>
      <c r="B79" s="236"/>
      <c r="C79" s="236"/>
      <c r="D79" s="357"/>
      <c r="E79" s="357"/>
      <c r="F79" s="358"/>
    </row>
    <row r="80" spans="1:6" ht="15.75" x14ac:dyDescent="0.25">
      <c r="A80" s="168" t="s">
        <v>563</v>
      </c>
      <c r="B80" s="164" t="s">
        <v>2208</v>
      </c>
      <c r="C80" s="206">
        <v>10</v>
      </c>
      <c r="D80" s="224">
        <f>+VLOOKUP(A80,Base!A78:G1383,4,FALSE)</f>
        <v>6.4663312693498449</v>
      </c>
      <c r="E80" s="224">
        <f>+VLOOKUP(A80,Base!A78:E1383,5,FALSE)</f>
        <v>8.082914086687305</v>
      </c>
      <c r="F80" s="225">
        <f t="shared" ref="F80:F83" si="8">+D80/C80</f>
        <v>0.64663312693498454</v>
      </c>
    </row>
    <row r="81" spans="1:6" ht="15.75" x14ac:dyDescent="0.25">
      <c r="A81" s="168" t="s">
        <v>565</v>
      </c>
      <c r="B81" s="164" t="s">
        <v>2209</v>
      </c>
      <c r="C81" s="206">
        <v>30</v>
      </c>
      <c r="D81" s="224">
        <f>+VLOOKUP(A81,Base!A79:G1384,4,FALSE)</f>
        <v>25.277476780185761</v>
      </c>
      <c r="E81" s="224">
        <f>+VLOOKUP(A81,Base!A79:E1384,5,FALSE)</f>
        <v>31.596845975232199</v>
      </c>
      <c r="F81" s="225">
        <f t="shared" si="8"/>
        <v>0.84258255933952542</v>
      </c>
    </row>
    <row r="82" spans="1:6" ht="15.75" x14ac:dyDescent="0.25">
      <c r="A82" s="168" t="s">
        <v>567</v>
      </c>
      <c r="B82" s="164" t="s">
        <v>2210</v>
      </c>
      <c r="C82" s="206">
        <v>200</v>
      </c>
      <c r="D82" s="224">
        <f>+VLOOKUP(A82,Base!A80:G1385,4,FALSE)</f>
        <v>126.38738390092878</v>
      </c>
      <c r="E82" s="224">
        <f>+VLOOKUP(A82,Base!A80:E1385,5,FALSE)</f>
        <v>157.98422987616098</v>
      </c>
      <c r="F82" s="225">
        <f t="shared" si="8"/>
        <v>0.63193691950464392</v>
      </c>
    </row>
    <row r="83" spans="1:6" ht="15.75" x14ac:dyDescent="0.25">
      <c r="A83" s="168" t="s">
        <v>569</v>
      </c>
      <c r="B83" s="164" t="s">
        <v>2211</v>
      </c>
      <c r="C83" s="206">
        <v>1000</v>
      </c>
      <c r="D83" s="224">
        <f>+VLOOKUP(A83,Base!A81:G1386,4,FALSE)</f>
        <v>579.87035603715162</v>
      </c>
      <c r="E83" s="224">
        <f>+VLOOKUP(A83,Base!A81:E1386,5,FALSE)</f>
        <v>724.83794504643947</v>
      </c>
      <c r="F83" s="225">
        <f t="shared" si="8"/>
        <v>0.57987035603715165</v>
      </c>
    </row>
    <row r="84" spans="1:6" ht="15.75" x14ac:dyDescent="0.25">
      <c r="A84" s="235"/>
      <c r="B84" s="236"/>
      <c r="C84" s="236"/>
      <c r="D84" s="237"/>
      <c r="E84" s="238"/>
      <c r="F84" s="238"/>
    </row>
    <row r="85" spans="1:6" ht="15.75" x14ac:dyDescent="0.25">
      <c r="A85" s="235"/>
      <c r="B85" s="239" t="s">
        <v>2067</v>
      </c>
      <c r="C85" s="236"/>
      <c r="D85" s="237"/>
      <c r="E85" s="238"/>
      <c r="F85" s="238"/>
    </row>
    <row r="86" spans="1:6" ht="15.75" x14ac:dyDescent="0.25">
      <c r="A86" s="238"/>
      <c r="B86" s="238"/>
      <c r="C86" s="238"/>
      <c r="D86" s="237"/>
      <c r="E86" s="238"/>
      <c r="F86" s="238"/>
    </row>
    <row r="87" spans="1:6" ht="31.5" x14ac:dyDescent="0.25">
      <c r="A87" s="240" t="s">
        <v>1834</v>
      </c>
      <c r="B87" s="240" t="s">
        <v>1829</v>
      </c>
      <c r="C87" s="240" t="s">
        <v>2049</v>
      </c>
      <c r="D87" s="241" t="s">
        <v>57</v>
      </c>
      <c r="E87" s="242" t="s">
        <v>2050</v>
      </c>
      <c r="F87" s="242" t="s">
        <v>2254</v>
      </c>
    </row>
    <row r="88" spans="1:6" ht="15.75" x14ac:dyDescent="0.25">
      <c r="A88" s="243">
        <v>8589532</v>
      </c>
      <c r="B88" s="228" t="s">
        <v>378</v>
      </c>
      <c r="C88" s="221">
        <v>100</v>
      </c>
      <c r="D88" s="224">
        <v>860.80988051470581</v>
      </c>
      <c r="E88" s="224">
        <v>1076.0123506433822</v>
      </c>
      <c r="F88" s="225">
        <v>8.6080988051470584</v>
      </c>
    </row>
    <row r="89" spans="1:6" ht="15.75" x14ac:dyDescent="0.25">
      <c r="A89" s="243">
        <v>8589524</v>
      </c>
      <c r="B89" s="244" t="s">
        <v>2068</v>
      </c>
      <c r="C89" s="221">
        <v>100</v>
      </c>
      <c r="D89" s="224">
        <v>845.14554498269877</v>
      </c>
      <c r="E89" s="224">
        <v>1056.4319312283733</v>
      </c>
      <c r="F89" s="225">
        <v>8.4514554498269874</v>
      </c>
    </row>
    <row r="90" spans="1:6" ht="15.75" x14ac:dyDescent="0.25">
      <c r="A90" s="243">
        <v>8589528</v>
      </c>
      <c r="B90" s="244" t="s">
        <v>2068</v>
      </c>
      <c r="C90" s="221">
        <v>100</v>
      </c>
      <c r="D90" s="224">
        <v>816.00259515570929</v>
      </c>
      <c r="E90" s="224">
        <v>1020.0032439446366</v>
      </c>
      <c r="F90" s="225">
        <v>8.1600259515570936</v>
      </c>
    </row>
    <row r="91" spans="1:6" ht="15.75" x14ac:dyDescent="0.25">
      <c r="A91" s="221">
        <v>5100750</v>
      </c>
      <c r="B91" s="228" t="s">
        <v>218</v>
      </c>
      <c r="C91" s="228">
        <v>100</v>
      </c>
      <c r="D91" s="224">
        <v>593.05902897923886</v>
      </c>
      <c r="E91" s="224">
        <v>741.32378622404849</v>
      </c>
      <c r="F91" s="225">
        <v>5.9305902897923888</v>
      </c>
    </row>
    <row r="92" spans="1:6" ht="15.75" x14ac:dyDescent="0.25">
      <c r="A92" s="221">
        <v>5100751</v>
      </c>
      <c r="B92" s="228" t="s">
        <v>219</v>
      </c>
      <c r="C92" s="228">
        <v>100</v>
      </c>
      <c r="D92" s="224">
        <v>593.05902897923886</v>
      </c>
      <c r="E92" s="224">
        <v>741.32378622404849</v>
      </c>
      <c r="F92" s="225">
        <v>5.9305902897923888</v>
      </c>
    </row>
    <row r="93" spans="1:6" ht="15.75" x14ac:dyDescent="0.25">
      <c r="A93" s="221">
        <v>5100752</v>
      </c>
      <c r="B93" s="228" t="s">
        <v>220</v>
      </c>
      <c r="C93" s="228">
        <v>100</v>
      </c>
      <c r="D93" s="224">
        <v>596.93504130622841</v>
      </c>
      <c r="E93" s="224">
        <v>746.16880163278552</v>
      </c>
      <c r="F93" s="225">
        <v>5.9693504130622843</v>
      </c>
    </row>
    <row r="94" spans="1:6" ht="15.75" x14ac:dyDescent="0.25">
      <c r="A94" s="238"/>
      <c r="B94" s="238"/>
      <c r="C94" s="238"/>
      <c r="D94" s="237"/>
      <c r="E94" s="238"/>
      <c r="F94" s="238"/>
    </row>
    <row r="95" spans="1:6" ht="15.75" x14ac:dyDescent="0.25">
      <c r="A95" s="413" t="s">
        <v>1834</v>
      </c>
      <c r="B95" s="414" t="s">
        <v>1812</v>
      </c>
      <c r="C95" s="413" t="s">
        <v>1886</v>
      </c>
      <c r="D95" s="415" t="s">
        <v>2215</v>
      </c>
      <c r="E95" s="415" t="s">
        <v>2215</v>
      </c>
      <c r="F95" s="238"/>
    </row>
    <row r="96" spans="1:6" ht="15.75" x14ac:dyDescent="0.25">
      <c r="A96" s="416" t="s">
        <v>973</v>
      </c>
      <c r="B96" s="417" t="s">
        <v>2155</v>
      </c>
      <c r="C96" s="418">
        <v>100</v>
      </c>
      <c r="D96" s="419">
        <f>+VLOOKUP(A96,Base!$A$5:$E$1610,4,FALSE)</f>
        <v>5839.1003460207612</v>
      </c>
      <c r="E96" s="419">
        <f>+VLOOKUP(A96,Base!$A$5:$F$1610,5,FALSE)</f>
        <v>7298.8754325259515</v>
      </c>
    </row>
    <row r="97" spans="1:5" ht="15.75" x14ac:dyDescent="0.25">
      <c r="A97" s="416" t="s">
        <v>975</v>
      </c>
      <c r="B97" s="417" t="s">
        <v>2156</v>
      </c>
      <c r="C97" s="418">
        <v>100</v>
      </c>
      <c r="D97" s="419">
        <f>+VLOOKUP(A97,Base!$A$5:$E$1610,4,FALSE)</f>
        <v>7407.1207430340564</v>
      </c>
      <c r="E97" s="419">
        <f>+VLOOKUP(A97,Base!$A$5:$F$1610,5,FALSE)</f>
        <v>9258.9009287925692</v>
      </c>
    </row>
    <row r="98" spans="1:5" ht="15.75" x14ac:dyDescent="0.25">
      <c r="A98" s="416" t="s">
        <v>1177</v>
      </c>
      <c r="B98" s="417" t="s">
        <v>2157</v>
      </c>
      <c r="C98" s="418">
        <v>100</v>
      </c>
      <c r="D98" s="419">
        <f>+VLOOKUP(A98,Base!$A$5:$E$1610,4,FALSE)</f>
        <v>13166.666666666666</v>
      </c>
      <c r="E98" s="419">
        <f>+VLOOKUP(A98,Base!$A$5:$F$1610,5,FALSE)</f>
        <v>16458.333333333332</v>
      </c>
    </row>
    <row r="99" spans="1:5" ht="15.75" x14ac:dyDescent="0.25">
      <c r="A99" s="416" t="s">
        <v>1556</v>
      </c>
      <c r="B99" s="222" t="s">
        <v>2158</v>
      </c>
      <c r="C99" s="418">
        <v>100</v>
      </c>
      <c r="D99" s="419">
        <f>+VLOOKUP(A99,Base!$A$5:$E$1610,4,FALSE)</f>
        <v>10277.777777777779</v>
      </c>
      <c r="E99" s="419">
        <f>+VLOOKUP(A99,Base!$A$5:$F$1610,5,FALSE)</f>
        <v>12847.222222222223</v>
      </c>
    </row>
    <row r="100" spans="1:5" ht="15.75" x14ac:dyDescent="0.25">
      <c r="A100" s="416" t="s">
        <v>967</v>
      </c>
      <c r="B100" s="417" t="s">
        <v>968</v>
      </c>
      <c r="C100" s="418">
        <v>100</v>
      </c>
      <c r="D100" s="419">
        <f>+VLOOKUP(A100,Base!$A$5:$E$1610,4,FALSE)</f>
        <v>5939.5424836601314</v>
      </c>
      <c r="E100" s="419">
        <f>+VLOOKUP(A100,Base!$A$5:$F$1610,5,FALSE)</f>
        <v>7424.4281045751641</v>
      </c>
    </row>
  </sheetData>
  <conditionalFormatting sqref="A27:A28">
    <cfRule type="duplicateValues" dxfId="29" priority="4"/>
  </conditionalFormatting>
  <pageMargins left="0.7" right="0.7" top="0.75" bottom="0.75" header="0.3" footer="0.3"/>
  <pageSetup paperSize="9" scale="72" fitToHeight="2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>
    <pageSetUpPr fitToPage="1"/>
  </sheetPr>
  <dimension ref="A1:G517"/>
  <sheetViews>
    <sheetView topLeftCell="A141" zoomScaleNormal="100" workbookViewId="0">
      <selection activeCell="A338" sqref="A338:F389"/>
    </sheetView>
  </sheetViews>
  <sheetFormatPr baseColWidth="10" defaultColWidth="8.7109375" defaultRowHeight="15" x14ac:dyDescent="0.25"/>
  <cols>
    <col min="1" max="1" width="13.5703125" style="83" bestFit="1" customWidth="1"/>
    <col min="2" max="2" width="63.5703125" customWidth="1"/>
    <col min="3" max="3" width="9.42578125" customWidth="1"/>
    <col min="4" max="4" width="11.85546875" style="56" bestFit="1" customWidth="1"/>
    <col min="5" max="5" width="7.140625" style="56" bestFit="1" customWidth="1"/>
    <col min="6" max="6" width="10.42578125" style="56" bestFit="1" customWidth="1"/>
  </cols>
  <sheetData>
    <row r="1" spans="1:6" x14ac:dyDescent="0.25">
      <c r="A1" s="83">
        <v>11</v>
      </c>
    </row>
    <row r="8" spans="1:6" x14ac:dyDescent="0.25">
      <c r="A8" s="83" t="s">
        <v>57</v>
      </c>
    </row>
    <row r="11" spans="1:6" x14ac:dyDescent="0.25">
      <c r="B11" t="s">
        <v>4</v>
      </c>
      <c r="C11" s="56">
        <v>1</v>
      </c>
      <c r="D11" s="56" t="s">
        <v>6</v>
      </c>
    </row>
    <row r="12" spans="1:6" x14ac:dyDescent="0.25">
      <c r="B12" t="s">
        <v>5</v>
      </c>
      <c r="C12" s="56">
        <v>1</v>
      </c>
      <c r="D12" s="56" t="s">
        <v>7</v>
      </c>
    </row>
    <row r="15" spans="1:6" x14ac:dyDescent="0.25">
      <c r="A15" t="s">
        <v>1834</v>
      </c>
      <c r="B15" t="s">
        <v>1829</v>
      </c>
      <c r="C15" t="s">
        <v>1835</v>
      </c>
      <c r="D15" s="56" t="s">
        <v>1831</v>
      </c>
      <c r="E15" s="56" t="s">
        <v>1836</v>
      </c>
      <c r="F15" s="56" t="s">
        <v>1833</v>
      </c>
    </row>
    <row r="16" spans="1:6" ht="18.75" x14ac:dyDescent="0.3">
      <c r="A16" s="83" t="s">
        <v>1837</v>
      </c>
      <c r="B16" s="153" t="s">
        <v>12</v>
      </c>
      <c r="F16" s="56">
        <f>SUBTOTAL(9,F17:F44)</f>
        <v>0</v>
      </c>
    </row>
    <row r="17" spans="1:6" hidden="1" x14ac:dyDescent="0.25">
      <c r="A17" s="84"/>
      <c r="B17" s="17"/>
      <c r="C17" s="17"/>
      <c r="D17" s="274"/>
      <c r="E17" s="274"/>
      <c r="F17" s="275"/>
    </row>
    <row r="18" spans="1:6" hidden="1" x14ac:dyDescent="0.25">
      <c r="A18" s="85"/>
      <c r="B18" s="18"/>
      <c r="C18" s="18"/>
      <c r="D18" s="276"/>
      <c r="E18" s="276"/>
      <c r="F18" s="275"/>
    </row>
    <row r="19" spans="1:6" hidden="1" x14ac:dyDescent="0.25">
      <c r="A19" s="85"/>
      <c r="B19" s="18"/>
      <c r="C19" s="18"/>
      <c r="D19" s="276"/>
      <c r="E19" s="276"/>
      <c r="F19" s="277"/>
    </row>
    <row r="20" spans="1:6" hidden="1" x14ac:dyDescent="0.25">
      <c r="A20" s="85"/>
      <c r="B20" s="18"/>
      <c r="C20" s="18"/>
      <c r="D20" s="276"/>
      <c r="E20" s="276"/>
      <c r="F20" s="275"/>
    </row>
    <row r="21" spans="1:6" hidden="1" x14ac:dyDescent="0.25">
      <c r="A21" s="85"/>
      <c r="B21" s="18"/>
      <c r="C21" s="18"/>
      <c r="D21" s="276"/>
      <c r="E21" s="276"/>
      <c r="F21" s="277"/>
    </row>
    <row r="22" spans="1:6" hidden="1" x14ac:dyDescent="0.25">
      <c r="A22" s="85"/>
      <c r="B22" s="18"/>
      <c r="C22" s="18"/>
      <c r="D22" s="276"/>
      <c r="E22" s="276"/>
      <c r="F22" s="277"/>
    </row>
    <row r="23" spans="1:6" hidden="1" x14ac:dyDescent="0.25">
      <c r="A23" s="85"/>
      <c r="B23" s="18"/>
      <c r="C23" s="18"/>
      <c r="D23" s="276"/>
      <c r="E23" s="18"/>
      <c r="F23" s="277"/>
    </row>
    <row r="24" spans="1:6" hidden="1" x14ac:dyDescent="0.25">
      <c r="A24" s="85"/>
      <c r="B24" s="18"/>
      <c r="C24" s="18"/>
      <c r="D24" s="276"/>
      <c r="E24" s="18"/>
      <c r="F24" s="277"/>
    </row>
    <row r="25" spans="1:6" hidden="1" x14ac:dyDescent="0.25">
      <c r="A25" s="85"/>
      <c r="B25" s="18"/>
      <c r="C25" s="18"/>
      <c r="D25" s="276"/>
      <c r="E25" s="18"/>
      <c r="F25" s="277"/>
    </row>
    <row r="26" spans="1:6" hidden="1" x14ac:dyDescent="0.25">
      <c r="A26" s="85"/>
      <c r="B26" s="18"/>
      <c r="C26" s="18"/>
      <c r="D26" s="276"/>
      <c r="E26" s="18"/>
      <c r="F26" s="277"/>
    </row>
    <row r="27" spans="1:6" hidden="1" x14ac:dyDescent="0.25">
      <c r="A27" s="85"/>
      <c r="B27" s="18"/>
      <c r="C27" s="18"/>
      <c r="D27" s="276"/>
      <c r="E27" s="18"/>
      <c r="F27" s="277"/>
    </row>
    <row r="28" spans="1:6" hidden="1" x14ac:dyDescent="0.25">
      <c r="A28" s="85"/>
      <c r="B28" s="18"/>
      <c r="C28" s="18"/>
      <c r="D28" s="276"/>
      <c r="E28" s="18"/>
      <c r="F28" s="277"/>
    </row>
    <row r="29" spans="1:6" hidden="1" x14ac:dyDescent="0.25">
      <c r="A29" s="85"/>
      <c r="B29" s="18"/>
      <c r="C29" s="18"/>
      <c r="D29" s="276"/>
      <c r="E29" s="18"/>
      <c r="F29" s="277"/>
    </row>
    <row r="30" spans="1:6" hidden="1" x14ac:dyDescent="0.25">
      <c r="A30" s="85"/>
      <c r="B30" s="18"/>
      <c r="C30" s="18"/>
      <c r="D30" s="276"/>
      <c r="E30" s="18"/>
      <c r="F30" s="277"/>
    </row>
    <row r="31" spans="1:6" hidden="1" x14ac:dyDescent="0.25">
      <c r="A31" s="85"/>
      <c r="B31" s="18"/>
      <c r="C31" s="18"/>
      <c r="D31" s="276"/>
      <c r="E31" s="18"/>
      <c r="F31" s="277"/>
    </row>
    <row r="32" spans="1:6" hidden="1" x14ac:dyDescent="0.25">
      <c r="A32" s="85"/>
      <c r="B32" s="18"/>
      <c r="C32" s="18"/>
      <c r="D32" s="276"/>
      <c r="E32" s="18"/>
      <c r="F32" s="277"/>
    </row>
    <row r="33" spans="1:6" hidden="1" x14ac:dyDescent="0.25">
      <c r="A33" s="85"/>
      <c r="B33" s="18"/>
      <c r="C33" s="18"/>
      <c r="D33" s="276"/>
      <c r="E33" s="18"/>
      <c r="F33" s="277"/>
    </row>
    <row r="34" spans="1:6" hidden="1" x14ac:dyDescent="0.25">
      <c r="A34" s="85"/>
      <c r="B34" s="18"/>
      <c r="C34" s="18"/>
      <c r="D34" s="276"/>
      <c r="E34" s="18"/>
      <c r="F34" s="277"/>
    </row>
    <row r="35" spans="1:6" hidden="1" x14ac:dyDescent="0.25">
      <c r="A35" s="85"/>
      <c r="B35" s="18"/>
      <c r="C35" s="18"/>
      <c r="D35" s="276"/>
      <c r="E35" s="276"/>
      <c r="F35" s="277"/>
    </row>
    <row r="36" spans="1:6" hidden="1" x14ac:dyDescent="0.25">
      <c r="A36" s="85"/>
      <c r="B36" s="18"/>
      <c r="C36" s="18"/>
      <c r="D36" s="276"/>
      <c r="E36" s="276"/>
      <c r="F36" s="277"/>
    </row>
    <row r="37" spans="1:6" hidden="1" x14ac:dyDescent="0.25">
      <c r="A37" s="85"/>
      <c r="B37" s="18"/>
      <c r="C37" s="18"/>
      <c r="D37" s="276"/>
      <c r="E37" s="276"/>
      <c r="F37" s="277"/>
    </row>
    <row r="38" spans="1:6" hidden="1" x14ac:dyDescent="0.25">
      <c r="A38" s="85"/>
      <c r="B38" s="18"/>
      <c r="C38" s="18"/>
      <c r="D38" s="276"/>
      <c r="E38" s="276"/>
      <c r="F38" s="277"/>
    </row>
    <row r="39" spans="1:6" hidden="1" x14ac:dyDescent="0.25">
      <c r="A39" s="85"/>
      <c r="B39" s="18"/>
      <c r="C39" s="18"/>
      <c r="D39" s="276"/>
      <c r="E39" s="276"/>
      <c r="F39" s="277"/>
    </row>
    <row r="40" spans="1:6" hidden="1" x14ac:dyDescent="0.25">
      <c r="A40" s="85"/>
      <c r="B40" s="18"/>
      <c r="C40" s="18"/>
      <c r="D40" s="276"/>
      <c r="E40" s="276"/>
      <c r="F40" s="277"/>
    </row>
    <row r="41" spans="1:6" hidden="1" x14ac:dyDescent="0.25">
      <c r="A41" s="85"/>
      <c r="B41" s="18"/>
      <c r="C41" s="18"/>
      <c r="D41" s="276"/>
      <c r="E41" s="276"/>
      <c r="F41" s="277"/>
    </row>
    <row r="42" spans="1:6" hidden="1" x14ac:dyDescent="0.25">
      <c r="A42" s="85"/>
      <c r="B42" s="18"/>
      <c r="C42" s="18"/>
      <c r="D42" s="276"/>
      <c r="E42" s="276"/>
      <c r="F42" s="277"/>
    </row>
    <row r="43" spans="1:6" hidden="1" x14ac:dyDescent="0.25">
      <c r="A43" s="85"/>
      <c r="B43" s="18"/>
      <c r="C43" s="18"/>
      <c r="D43" s="276"/>
      <c r="E43" s="276"/>
      <c r="F43" s="277"/>
    </row>
    <row r="44" spans="1:6" ht="15.75" hidden="1" thickBot="1" x14ac:dyDescent="0.3">
      <c r="A44" s="86"/>
      <c r="B44" s="19"/>
      <c r="C44" s="19"/>
      <c r="D44" s="278"/>
      <c r="E44" s="278"/>
      <c r="F44" s="279"/>
    </row>
    <row r="45" spans="1:6" x14ac:dyDescent="0.25">
      <c r="A45" s="88" t="s">
        <v>1837</v>
      </c>
      <c r="B45" s="438" t="s">
        <v>1825</v>
      </c>
      <c r="F45" s="280">
        <f>SUM(F46:F140)</f>
        <v>0</v>
      </c>
    </row>
    <row r="46" spans="1:6" hidden="1" x14ac:dyDescent="0.25">
      <c r="A46" s="85"/>
      <c r="B46" s="18"/>
      <c r="C46" s="18"/>
      <c r="D46" s="276"/>
      <c r="E46" s="276"/>
      <c r="F46" s="277"/>
    </row>
    <row r="47" spans="1:6" hidden="1" x14ac:dyDescent="0.25">
      <c r="A47" s="85"/>
      <c r="B47" s="18"/>
      <c r="C47" s="18"/>
      <c r="D47" s="276"/>
      <c r="E47" s="276"/>
      <c r="F47" s="277"/>
    </row>
    <row r="48" spans="1:6" hidden="1" x14ac:dyDescent="0.25">
      <c r="A48" s="85"/>
      <c r="B48" s="18"/>
      <c r="C48" s="18"/>
      <c r="D48" s="276"/>
      <c r="E48" s="276"/>
      <c r="F48" s="277"/>
    </row>
    <row r="49" spans="1:6" hidden="1" x14ac:dyDescent="0.25">
      <c r="A49" s="85"/>
      <c r="B49" s="18"/>
      <c r="C49" s="18"/>
      <c r="D49" s="276"/>
      <c r="E49" s="276"/>
      <c r="F49" s="277"/>
    </row>
    <row r="50" spans="1:6" hidden="1" x14ac:dyDescent="0.25">
      <c r="A50" s="85"/>
      <c r="B50" s="18"/>
      <c r="C50" s="18"/>
      <c r="D50" s="276"/>
      <c r="E50" s="276"/>
      <c r="F50" s="277"/>
    </row>
    <row r="51" spans="1:6" hidden="1" x14ac:dyDescent="0.25">
      <c r="A51" s="85"/>
      <c r="B51" s="18"/>
      <c r="C51" s="18"/>
      <c r="D51" s="276"/>
      <c r="E51" s="276"/>
      <c r="F51" s="277"/>
    </row>
    <row r="52" spans="1:6" hidden="1" x14ac:dyDescent="0.25">
      <c r="A52" s="85"/>
      <c r="B52" s="18"/>
      <c r="C52" s="18"/>
      <c r="D52" s="276"/>
      <c r="E52" s="276"/>
      <c r="F52" s="277"/>
    </row>
    <row r="53" spans="1:6" hidden="1" x14ac:dyDescent="0.25">
      <c r="A53" s="85"/>
      <c r="B53" s="18"/>
      <c r="C53" s="18"/>
      <c r="D53" s="276"/>
      <c r="E53" s="276"/>
      <c r="F53" s="277"/>
    </row>
    <row r="54" spans="1:6" hidden="1" x14ac:dyDescent="0.25">
      <c r="A54" s="85"/>
      <c r="B54" s="18"/>
      <c r="C54" s="18"/>
      <c r="D54" s="276"/>
      <c r="E54" s="276"/>
      <c r="F54" s="277"/>
    </row>
    <row r="55" spans="1:6" hidden="1" x14ac:dyDescent="0.25">
      <c r="A55" s="85"/>
      <c r="B55" s="18"/>
      <c r="C55" s="18"/>
      <c r="D55" s="276"/>
      <c r="E55" s="276"/>
      <c r="F55" s="277"/>
    </row>
    <row r="56" spans="1:6" hidden="1" x14ac:dyDescent="0.25">
      <c r="A56" s="85"/>
      <c r="B56" s="18"/>
      <c r="C56" s="18"/>
      <c r="D56" s="276"/>
      <c r="E56" s="276"/>
      <c r="F56" s="277"/>
    </row>
    <row r="57" spans="1:6" hidden="1" x14ac:dyDescent="0.25">
      <c r="A57" s="85"/>
      <c r="B57" s="18"/>
      <c r="C57" s="18"/>
      <c r="D57" s="276"/>
      <c r="E57" s="18"/>
      <c r="F57" s="277"/>
    </row>
    <row r="58" spans="1:6" hidden="1" x14ac:dyDescent="0.25">
      <c r="A58" s="85"/>
      <c r="B58" s="18"/>
      <c r="C58" s="18"/>
      <c r="D58" s="276"/>
      <c r="E58" s="18"/>
      <c r="F58" s="277"/>
    </row>
    <row r="59" spans="1:6" hidden="1" x14ac:dyDescent="0.25">
      <c r="A59" s="85"/>
      <c r="B59" s="18"/>
      <c r="C59" s="18"/>
      <c r="D59" s="276"/>
      <c r="E59" s="18"/>
      <c r="F59" s="277"/>
    </row>
    <row r="60" spans="1:6" hidden="1" x14ac:dyDescent="0.25">
      <c r="A60" s="85"/>
      <c r="B60" s="18"/>
      <c r="C60" s="18"/>
      <c r="D60" s="276"/>
      <c r="E60" s="18"/>
      <c r="F60" s="277"/>
    </row>
    <row r="61" spans="1:6" hidden="1" x14ac:dyDescent="0.25">
      <c r="A61" s="85"/>
      <c r="B61" s="18"/>
      <c r="C61" s="18"/>
      <c r="D61" s="276"/>
      <c r="E61" s="18"/>
      <c r="F61" s="277"/>
    </row>
    <row r="62" spans="1:6" hidden="1" x14ac:dyDescent="0.25">
      <c r="A62" s="85"/>
      <c r="B62" s="18"/>
      <c r="C62" s="18"/>
      <c r="D62" s="276"/>
      <c r="E62" s="18"/>
      <c r="F62" s="277"/>
    </row>
    <row r="63" spans="1:6" hidden="1" x14ac:dyDescent="0.25">
      <c r="A63" s="85"/>
      <c r="B63" s="18"/>
      <c r="C63" s="18"/>
      <c r="D63" s="276"/>
      <c r="E63" s="18"/>
      <c r="F63" s="277"/>
    </row>
    <row r="64" spans="1:6" hidden="1" x14ac:dyDescent="0.25">
      <c r="A64" s="85"/>
      <c r="B64" s="18"/>
      <c r="C64" s="18"/>
      <c r="D64" s="276"/>
      <c r="E64" s="18"/>
      <c r="F64" s="277"/>
    </row>
    <row r="65" spans="1:6" hidden="1" x14ac:dyDescent="0.25">
      <c r="A65" s="85"/>
      <c r="B65" s="18"/>
      <c r="C65" s="18"/>
      <c r="D65" s="276"/>
      <c r="E65" s="18"/>
      <c r="F65" s="277"/>
    </row>
    <row r="66" spans="1:6" hidden="1" x14ac:dyDescent="0.25">
      <c r="A66" s="85"/>
      <c r="B66" s="18"/>
      <c r="C66" s="18"/>
      <c r="D66" s="276"/>
      <c r="E66" s="18"/>
      <c r="F66" s="277"/>
    </row>
    <row r="67" spans="1:6" hidden="1" x14ac:dyDescent="0.25">
      <c r="A67" s="85"/>
      <c r="B67" s="18"/>
      <c r="C67" s="18"/>
      <c r="D67" s="276"/>
      <c r="E67" s="18"/>
      <c r="F67" s="277"/>
    </row>
    <row r="68" spans="1:6" hidden="1" x14ac:dyDescent="0.25">
      <c r="A68" s="85"/>
      <c r="B68" s="18"/>
      <c r="C68" s="18"/>
      <c r="D68" s="276"/>
      <c r="E68" s="18"/>
      <c r="F68" s="277"/>
    </row>
    <row r="69" spans="1:6" hidden="1" x14ac:dyDescent="0.25">
      <c r="A69" s="85"/>
      <c r="B69" s="18"/>
      <c r="C69" s="18"/>
      <c r="D69" s="276"/>
      <c r="E69" s="18"/>
      <c r="F69" s="277"/>
    </row>
    <row r="70" spans="1:6" hidden="1" x14ac:dyDescent="0.25">
      <c r="A70" s="85"/>
      <c r="B70" s="18"/>
      <c r="C70" s="18"/>
      <c r="D70" s="276"/>
      <c r="E70" s="18"/>
      <c r="F70" s="277"/>
    </row>
    <row r="71" spans="1:6" hidden="1" x14ac:dyDescent="0.25">
      <c r="A71" s="85"/>
      <c r="B71" s="18"/>
      <c r="C71" s="18"/>
      <c r="D71" s="276"/>
      <c r="E71" s="18"/>
      <c r="F71" s="277"/>
    </row>
    <row r="72" spans="1:6" hidden="1" x14ac:dyDescent="0.25">
      <c r="A72" s="85"/>
      <c r="B72" s="18"/>
      <c r="C72" s="18"/>
      <c r="D72" s="276"/>
      <c r="E72" s="18"/>
      <c r="F72" s="277"/>
    </row>
    <row r="73" spans="1:6" hidden="1" x14ac:dyDescent="0.25">
      <c r="A73" s="85"/>
      <c r="B73" s="18"/>
      <c r="C73" s="18"/>
      <c r="D73" s="276"/>
      <c r="E73" s="18"/>
      <c r="F73" s="277"/>
    </row>
    <row r="74" spans="1:6" hidden="1" x14ac:dyDescent="0.25">
      <c r="A74" s="85"/>
      <c r="B74" s="18"/>
      <c r="C74" s="18"/>
      <c r="D74" s="276"/>
      <c r="E74" s="18"/>
      <c r="F74" s="277"/>
    </row>
    <row r="75" spans="1:6" hidden="1" x14ac:dyDescent="0.25">
      <c r="A75" s="85"/>
      <c r="B75" s="18"/>
      <c r="C75" s="18"/>
      <c r="D75" s="276"/>
      <c r="E75" s="18"/>
      <c r="F75" s="277"/>
    </row>
    <row r="76" spans="1:6" hidden="1" x14ac:dyDescent="0.25">
      <c r="A76" s="85"/>
      <c r="B76" s="18"/>
      <c r="C76" s="18"/>
      <c r="D76" s="276"/>
      <c r="E76" s="18"/>
      <c r="F76" s="277"/>
    </row>
    <row r="77" spans="1:6" hidden="1" x14ac:dyDescent="0.25">
      <c r="A77" s="85"/>
      <c r="B77" s="18"/>
      <c r="C77" s="18"/>
      <c r="D77" s="276"/>
      <c r="E77" s="18"/>
      <c r="F77" s="277"/>
    </row>
    <row r="78" spans="1:6" hidden="1" x14ac:dyDescent="0.25">
      <c r="A78" s="85"/>
      <c r="B78" s="18"/>
      <c r="C78" s="18"/>
      <c r="D78" s="276"/>
      <c r="E78" s="276"/>
      <c r="F78" s="277"/>
    </row>
    <row r="79" spans="1:6" hidden="1" x14ac:dyDescent="0.25">
      <c r="A79" s="85"/>
      <c r="B79" s="18"/>
      <c r="C79" s="18"/>
      <c r="D79" s="276"/>
      <c r="E79" s="276"/>
      <c r="F79" s="277"/>
    </row>
    <row r="80" spans="1:6" hidden="1" x14ac:dyDescent="0.25">
      <c r="A80" s="85"/>
      <c r="B80" s="18"/>
      <c r="C80" s="18"/>
      <c r="D80" s="276"/>
      <c r="E80" s="276"/>
      <c r="F80" s="277"/>
    </row>
    <row r="81" spans="1:6" hidden="1" x14ac:dyDescent="0.25">
      <c r="A81" s="85"/>
      <c r="B81" s="18"/>
      <c r="C81" s="18"/>
      <c r="D81" s="276"/>
      <c r="E81" s="276"/>
      <c r="F81" s="277"/>
    </row>
    <row r="82" spans="1:6" hidden="1" x14ac:dyDescent="0.25">
      <c r="A82" s="85"/>
      <c r="B82" s="18"/>
      <c r="C82" s="18"/>
      <c r="D82" s="276"/>
      <c r="E82" s="276"/>
      <c r="F82" s="277"/>
    </row>
    <row r="83" spans="1:6" hidden="1" x14ac:dyDescent="0.25">
      <c r="A83" s="85"/>
      <c r="B83" s="18"/>
      <c r="C83" s="18"/>
      <c r="D83" s="276"/>
      <c r="E83" s="18"/>
      <c r="F83" s="277"/>
    </row>
    <row r="84" spans="1:6" hidden="1" x14ac:dyDescent="0.25">
      <c r="A84" s="85"/>
      <c r="B84" s="18"/>
      <c r="C84" s="18"/>
      <c r="D84" s="276"/>
      <c r="E84" s="18"/>
      <c r="F84" s="277"/>
    </row>
    <row r="85" spans="1:6" hidden="1" x14ac:dyDescent="0.25">
      <c r="A85" s="85"/>
      <c r="B85" s="18"/>
      <c r="C85" s="18"/>
      <c r="D85" s="276"/>
      <c r="E85" s="18"/>
      <c r="F85" s="277"/>
    </row>
    <row r="86" spans="1:6" hidden="1" x14ac:dyDescent="0.25">
      <c r="A86" s="85"/>
      <c r="B86" s="18"/>
      <c r="C86" s="18"/>
      <c r="D86" s="276"/>
      <c r="E86" s="18"/>
      <c r="F86" s="277"/>
    </row>
    <row r="87" spans="1:6" hidden="1" x14ac:dyDescent="0.25">
      <c r="A87" s="85"/>
      <c r="B87" s="18"/>
      <c r="C87" s="18"/>
      <c r="D87" s="276"/>
      <c r="E87" s="18"/>
      <c r="F87" s="277"/>
    </row>
    <row r="88" spans="1:6" hidden="1" x14ac:dyDescent="0.25">
      <c r="A88" s="85"/>
      <c r="B88" s="18"/>
      <c r="C88" s="18"/>
      <c r="D88" s="276"/>
      <c r="E88" s="18"/>
      <c r="F88" s="277"/>
    </row>
    <row r="89" spans="1:6" hidden="1" x14ac:dyDescent="0.25">
      <c r="A89" s="85"/>
      <c r="B89" s="18"/>
      <c r="C89" s="18"/>
      <c r="D89" s="276"/>
      <c r="E89" s="18"/>
      <c r="F89" s="277"/>
    </row>
    <row r="90" spans="1:6" hidden="1" x14ac:dyDescent="0.25">
      <c r="A90" s="85"/>
      <c r="B90" s="18"/>
      <c r="C90" s="18"/>
      <c r="D90" s="276"/>
      <c r="E90" s="18"/>
      <c r="F90" s="277"/>
    </row>
    <row r="91" spans="1:6" hidden="1" x14ac:dyDescent="0.25">
      <c r="A91" s="85"/>
      <c r="B91" s="18"/>
      <c r="C91" s="18"/>
      <c r="D91" s="276"/>
      <c r="E91" s="18"/>
      <c r="F91" s="277"/>
    </row>
    <row r="92" spans="1:6" hidden="1" x14ac:dyDescent="0.25">
      <c r="A92" s="85"/>
      <c r="B92" s="18"/>
      <c r="C92" s="18"/>
      <c r="D92" s="276"/>
      <c r="E92" s="18"/>
      <c r="F92" s="277"/>
    </row>
    <row r="93" spans="1:6" hidden="1" x14ac:dyDescent="0.25">
      <c r="A93" s="85"/>
      <c r="B93" s="18"/>
      <c r="C93" s="18"/>
      <c r="D93" s="276"/>
      <c r="E93" s="18"/>
      <c r="F93" s="277"/>
    </row>
    <row r="94" spans="1:6" hidden="1" x14ac:dyDescent="0.25">
      <c r="A94" s="85"/>
      <c r="B94" s="18"/>
      <c r="C94" s="18"/>
      <c r="D94" s="276"/>
      <c r="E94" s="18"/>
      <c r="F94" s="277"/>
    </row>
    <row r="95" spans="1:6" hidden="1" x14ac:dyDescent="0.25">
      <c r="A95" s="85"/>
      <c r="B95" s="18"/>
      <c r="C95" s="18"/>
      <c r="D95" s="276"/>
      <c r="E95" s="18"/>
      <c r="F95" s="277"/>
    </row>
    <row r="96" spans="1:6" hidden="1" x14ac:dyDescent="0.25">
      <c r="A96" s="85"/>
      <c r="B96" s="18"/>
      <c r="C96" s="18"/>
      <c r="D96" s="276"/>
      <c r="E96" s="18"/>
      <c r="F96" s="277"/>
    </row>
    <row r="97" spans="1:6" hidden="1" x14ac:dyDescent="0.25">
      <c r="A97" s="85"/>
      <c r="B97" s="18"/>
      <c r="C97" s="18"/>
      <c r="D97" s="276"/>
      <c r="E97" s="18"/>
      <c r="F97" s="277"/>
    </row>
    <row r="98" spans="1:6" hidden="1" x14ac:dyDescent="0.25">
      <c r="A98" s="85"/>
      <c r="B98" s="18"/>
      <c r="C98" s="18"/>
      <c r="D98" s="276"/>
      <c r="E98" s="18"/>
      <c r="F98" s="277"/>
    </row>
    <row r="99" spans="1:6" hidden="1" x14ac:dyDescent="0.25">
      <c r="A99" s="85"/>
      <c r="B99" s="18"/>
      <c r="C99" s="18"/>
      <c r="D99" s="276"/>
      <c r="E99" s="18"/>
      <c r="F99" s="277"/>
    </row>
    <row r="100" spans="1:6" hidden="1" x14ac:dyDescent="0.25">
      <c r="A100" s="85"/>
      <c r="B100" s="18"/>
      <c r="C100" s="18"/>
      <c r="D100" s="276"/>
      <c r="E100" s="18"/>
      <c r="F100" s="277"/>
    </row>
    <row r="101" spans="1:6" hidden="1" x14ac:dyDescent="0.25">
      <c r="A101" s="85"/>
      <c r="B101" s="18"/>
      <c r="C101" s="18"/>
      <c r="D101" s="276"/>
      <c r="E101" s="18"/>
      <c r="F101" s="277"/>
    </row>
    <row r="102" spans="1:6" hidden="1" x14ac:dyDescent="0.25">
      <c r="A102" s="85"/>
      <c r="B102" s="18"/>
      <c r="C102" s="18"/>
      <c r="D102" s="276"/>
      <c r="E102" s="18"/>
      <c r="F102" s="277"/>
    </row>
    <row r="103" spans="1:6" hidden="1" x14ac:dyDescent="0.25">
      <c r="A103" s="85"/>
      <c r="B103" s="18"/>
      <c r="C103" s="18"/>
      <c r="D103" s="276"/>
      <c r="E103" s="18"/>
      <c r="F103" s="277"/>
    </row>
    <row r="104" spans="1:6" hidden="1" x14ac:dyDescent="0.25">
      <c r="A104" s="85"/>
      <c r="B104" s="18"/>
      <c r="C104" s="18"/>
      <c r="D104" s="276"/>
      <c r="E104" s="18"/>
      <c r="F104" s="277"/>
    </row>
    <row r="105" spans="1:6" hidden="1" x14ac:dyDescent="0.25">
      <c r="A105" s="85"/>
      <c r="B105" s="18"/>
      <c r="C105" s="18"/>
      <c r="D105" s="276"/>
      <c r="E105" s="18"/>
      <c r="F105" s="277"/>
    </row>
    <row r="106" spans="1:6" hidden="1" x14ac:dyDescent="0.25">
      <c r="A106" s="85"/>
      <c r="B106" s="18"/>
      <c r="C106" s="18"/>
      <c r="D106" s="276"/>
      <c r="E106" s="18"/>
      <c r="F106" s="277"/>
    </row>
    <row r="107" spans="1:6" hidden="1" x14ac:dyDescent="0.25">
      <c r="A107" s="85"/>
      <c r="B107" s="18"/>
      <c r="C107" s="18"/>
      <c r="D107" s="276"/>
      <c r="E107" s="18"/>
      <c r="F107" s="277"/>
    </row>
    <row r="108" spans="1:6" hidden="1" x14ac:dyDescent="0.25">
      <c r="A108" s="85"/>
      <c r="B108" s="18"/>
      <c r="C108" s="18"/>
      <c r="D108" s="276"/>
      <c r="E108" s="18"/>
      <c r="F108" s="277"/>
    </row>
    <row r="109" spans="1:6" hidden="1" x14ac:dyDescent="0.25">
      <c r="A109" s="85"/>
      <c r="B109" s="18"/>
      <c r="C109" s="18"/>
      <c r="D109" s="276"/>
      <c r="E109" s="18"/>
      <c r="F109" s="277"/>
    </row>
    <row r="110" spans="1:6" hidden="1" x14ac:dyDescent="0.25">
      <c r="A110" s="85"/>
      <c r="B110" s="18"/>
      <c r="C110" s="18"/>
      <c r="D110" s="276"/>
      <c r="E110" s="18"/>
      <c r="F110" s="277"/>
    </row>
    <row r="111" spans="1:6" hidden="1" x14ac:dyDescent="0.25">
      <c r="A111" s="85"/>
      <c r="B111" s="18"/>
      <c r="C111" s="18"/>
      <c r="D111" s="276"/>
      <c r="E111" s="18"/>
      <c r="F111" s="277"/>
    </row>
    <row r="112" spans="1:6" hidden="1" x14ac:dyDescent="0.25">
      <c r="A112" s="85"/>
      <c r="B112" s="18"/>
      <c r="C112" s="18"/>
      <c r="D112" s="276"/>
      <c r="E112" s="18"/>
      <c r="F112" s="277"/>
    </row>
    <row r="113" spans="1:6" hidden="1" x14ac:dyDescent="0.25">
      <c r="A113" s="85"/>
      <c r="B113" s="18"/>
      <c r="C113" s="18"/>
      <c r="D113" s="276"/>
      <c r="E113" s="18"/>
      <c r="F113" s="277"/>
    </row>
    <row r="114" spans="1:6" hidden="1" x14ac:dyDescent="0.25">
      <c r="A114" s="85"/>
      <c r="B114" s="18"/>
      <c r="C114" s="18"/>
      <c r="D114" s="276"/>
      <c r="E114" s="18"/>
      <c r="F114" s="277"/>
    </row>
    <row r="115" spans="1:6" hidden="1" x14ac:dyDescent="0.25">
      <c r="A115" s="85"/>
      <c r="B115" s="18"/>
      <c r="C115" s="18"/>
      <c r="D115" s="276"/>
      <c r="E115" s="18"/>
      <c r="F115" s="277"/>
    </row>
    <row r="116" spans="1:6" hidden="1" x14ac:dyDescent="0.25">
      <c r="A116" s="85"/>
      <c r="B116" s="18"/>
      <c r="C116" s="18"/>
      <c r="D116" s="276"/>
      <c r="E116" s="18"/>
      <c r="F116" s="277"/>
    </row>
    <row r="117" spans="1:6" hidden="1" x14ac:dyDescent="0.25">
      <c r="A117" s="85"/>
      <c r="B117" s="18"/>
      <c r="C117" s="18"/>
      <c r="D117" s="276"/>
      <c r="E117" s="18"/>
      <c r="F117" s="277"/>
    </row>
    <row r="118" spans="1:6" hidden="1" x14ac:dyDescent="0.25">
      <c r="A118" s="85"/>
      <c r="B118" s="18"/>
      <c r="C118" s="18"/>
      <c r="D118" s="276"/>
      <c r="E118" s="18"/>
      <c r="F118" s="277"/>
    </row>
    <row r="119" spans="1:6" hidden="1" x14ac:dyDescent="0.25">
      <c r="A119" s="85"/>
      <c r="B119" s="18"/>
      <c r="C119" s="18"/>
      <c r="D119" s="276"/>
      <c r="E119" s="18"/>
      <c r="F119" s="277"/>
    </row>
    <row r="120" spans="1:6" hidden="1" x14ac:dyDescent="0.25">
      <c r="A120" s="85"/>
      <c r="B120" s="18"/>
      <c r="C120" s="18"/>
      <c r="D120" s="276"/>
      <c r="E120" s="18"/>
      <c r="F120" s="277"/>
    </row>
    <row r="121" spans="1:6" hidden="1" x14ac:dyDescent="0.25">
      <c r="A121" s="85"/>
      <c r="B121" s="18"/>
      <c r="C121" s="18"/>
      <c r="D121" s="276"/>
      <c r="E121" s="18"/>
      <c r="F121" s="277"/>
    </row>
    <row r="122" spans="1:6" hidden="1" x14ac:dyDescent="0.25">
      <c r="A122" s="85"/>
      <c r="B122" s="18"/>
      <c r="C122" s="18"/>
      <c r="D122" s="276"/>
      <c r="E122" s="276"/>
      <c r="F122" s="277"/>
    </row>
    <row r="123" spans="1:6" hidden="1" x14ac:dyDescent="0.25">
      <c r="A123" s="85"/>
      <c r="B123" s="18"/>
      <c r="C123" s="18"/>
      <c r="D123" s="276"/>
      <c r="E123" s="276"/>
      <c r="F123" s="277"/>
    </row>
    <row r="124" spans="1:6" hidden="1" x14ac:dyDescent="0.25">
      <c r="A124" s="85"/>
      <c r="B124" s="18"/>
      <c r="C124" s="18"/>
      <c r="D124" s="276"/>
      <c r="E124" s="276"/>
      <c r="F124" s="277"/>
    </row>
    <row r="125" spans="1:6" hidden="1" x14ac:dyDescent="0.25">
      <c r="A125" s="85"/>
      <c r="B125" s="18"/>
      <c r="C125" s="18"/>
      <c r="D125" s="276"/>
      <c r="E125" s="276"/>
      <c r="F125" s="277"/>
    </row>
    <row r="126" spans="1:6" hidden="1" x14ac:dyDescent="0.25">
      <c r="A126" s="85"/>
      <c r="B126" s="18"/>
      <c r="C126" s="18"/>
      <c r="D126" s="276"/>
      <c r="E126" s="276"/>
      <c r="F126" s="277"/>
    </row>
    <row r="127" spans="1:6" hidden="1" x14ac:dyDescent="0.25">
      <c r="A127" s="85"/>
      <c r="B127" s="18"/>
      <c r="C127" s="18"/>
      <c r="D127" s="276"/>
      <c r="E127" s="276"/>
      <c r="F127" s="277"/>
    </row>
    <row r="128" spans="1:6" hidden="1" x14ac:dyDescent="0.25">
      <c r="A128" s="85"/>
      <c r="B128" s="18"/>
      <c r="C128" s="18"/>
      <c r="D128" s="276"/>
      <c r="E128" s="276"/>
      <c r="F128" s="277"/>
    </row>
    <row r="129" spans="1:6" hidden="1" x14ac:dyDescent="0.25">
      <c r="A129" s="85"/>
      <c r="B129" s="18"/>
      <c r="C129" s="18"/>
      <c r="D129" s="276"/>
      <c r="E129" s="276"/>
      <c r="F129" s="277"/>
    </row>
    <row r="130" spans="1:6" hidden="1" x14ac:dyDescent="0.25">
      <c r="A130" s="85"/>
      <c r="B130" s="18"/>
      <c r="C130" s="18"/>
      <c r="D130" s="276"/>
      <c r="E130" s="276"/>
      <c r="F130" s="277"/>
    </row>
    <row r="131" spans="1:6" hidden="1" x14ac:dyDescent="0.25">
      <c r="A131" s="85"/>
      <c r="B131" s="18"/>
      <c r="C131" s="18"/>
      <c r="D131" s="276"/>
      <c r="E131" s="276"/>
      <c r="F131" s="277"/>
    </row>
    <row r="132" spans="1:6" hidden="1" x14ac:dyDescent="0.25">
      <c r="A132" s="85"/>
      <c r="B132" s="18"/>
      <c r="C132" s="18"/>
      <c r="D132" s="276"/>
      <c r="E132" s="276"/>
      <c r="F132" s="277"/>
    </row>
    <row r="133" spans="1:6" hidden="1" x14ac:dyDescent="0.25">
      <c r="A133" s="85"/>
      <c r="B133" s="18"/>
      <c r="C133" s="18"/>
      <c r="D133" s="276"/>
      <c r="E133" s="276"/>
      <c r="F133" s="277"/>
    </row>
    <row r="134" spans="1:6" hidden="1" x14ac:dyDescent="0.25">
      <c r="A134" s="85"/>
      <c r="B134" s="18"/>
      <c r="C134" s="18"/>
      <c r="D134" s="276"/>
      <c r="E134" s="276"/>
      <c r="F134" s="277"/>
    </row>
    <row r="135" spans="1:6" hidden="1" x14ac:dyDescent="0.25">
      <c r="A135" s="82"/>
      <c r="B135" s="18"/>
      <c r="C135" s="18"/>
      <c r="D135" s="276"/>
      <c r="E135" s="276"/>
      <c r="F135" s="276"/>
    </row>
    <row r="136" spans="1:6" hidden="1" x14ac:dyDescent="0.25">
      <c r="A136" s="82"/>
      <c r="B136" s="18"/>
      <c r="C136" s="18"/>
      <c r="D136" s="276"/>
      <c r="E136" s="276"/>
      <c r="F136" s="276"/>
    </row>
    <row r="137" spans="1:6" hidden="1" x14ac:dyDescent="0.25">
      <c r="A137" s="82"/>
      <c r="B137" s="18"/>
      <c r="C137" s="18"/>
      <c r="D137" s="276"/>
      <c r="E137" s="276"/>
      <c r="F137" s="276"/>
    </row>
    <row r="138" spans="1:6" hidden="1" x14ac:dyDescent="0.25">
      <c r="A138" s="82"/>
      <c r="B138" s="18"/>
      <c r="C138" s="18"/>
      <c r="D138" s="276"/>
      <c r="E138" s="276"/>
      <c r="F138" s="276"/>
    </row>
    <row r="139" spans="1:6" hidden="1" x14ac:dyDescent="0.25">
      <c r="A139" s="82"/>
      <c r="B139" s="18"/>
      <c r="C139" s="18"/>
      <c r="D139" s="276"/>
      <c r="E139" s="276"/>
      <c r="F139" s="276"/>
    </row>
    <row r="140" spans="1:6" hidden="1" x14ac:dyDescent="0.25">
      <c r="A140" s="82"/>
      <c r="B140" s="18"/>
      <c r="C140" s="18"/>
      <c r="D140" s="276"/>
      <c r="E140" s="276"/>
      <c r="F140" s="276"/>
    </row>
    <row r="141" spans="1:6" x14ac:dyDescent="0.25">
      <c r="A141" s="88" t="s">
        <v>1837</v>
      </c>
      <c r="B141" s="439" t="s">
        <v>2265</v>
      </c>
      <c r="F141" s="280">
        <f>SUM(F142:F151)</f>
        <v>0</v>
      </c>
    </row>
    <row r="142" spans="1:6" hidden="1" x14ac:dyDescent="0.25">
      <c r="A142" s="89"/>
      <c r="B142" s="18"/>
      <c r="C142" s="18"/>
      <c r="D142" s="276"/>
      <c r="E142" s="276"/>
      <c r="F142" s="277"/>
    </row>
    <row r="143" spans="1:6" hidden="1" x14ac:dyDescent="0.25">
      <c r="A143" s="89"/>
      <c r="B143" s="18"/>
      <c r="C143" s="18"/>
      <c r="D143" s="276"/>
      <c r="E143" s="276"/>
      <c r="F143" s="277"/>
    </row>
    <row r="144" spans="1:6" hidden="1" x14ac:dyDescent="0.25">
      <c r="A144" s="89"/>
      <c r="B144" s="18"/>
      <c r="C144" s="18"/>
      <c r="D144" s="276"/>
      <c r="E144" s="276"/>
      <c r="F144" s="277"/>
    </row>
    <row r="145" spans="1:6" hidden="1" x14ac:dyDescent="0.25">
      <c r="A145" s="89"/>
      <c r="B145" s="18"/>
      <c r="C145" s="18"/>
      <c r="D145" s="276"/>
      <c r="E145" s="18"/>
      <c r="F145" s="275"/>
    </row>
    <row r="146" spans="1:6" hidden="1" x14ac:dyDescent="0.25">
      <c r="A146" s="89"/>
      <c r="B146" s="18"/>
      <c r="C146" s="18"/>
      <c r="D146" s="276"/>
      <c r="E146" s="18"/>
      <c r="F146" s="275"/>
    </row>
    <row r="147" spans="1:6" hidden="1" x14ac:dyDescent="0.25">
      <c r="A147" s="89"/>
      <c r="B147" s="18"/>
      <c r="C147" s="18"/>
      <c r="D147" s="276"/>
      <c r="E147" s="276"/>
      <c r="F147" s="277"/>
    </row>
    <row r="148" spans="1:6" hidden="1" x14ac:dyDescent="0.25">
      <c r="A148" s="89"/>
      <c r="B148" s="18"/>
      <c r="C148" s="18"/>
      <c r="D148" s="276"/>
      <c r="E148" s="276"/>
      <c r="F148" s="277"/>
    </row>
    <row r="149" spans="1:6" hidden="1" x14ac:dyDescent="0.25">
      <c r="A149" s="89"/>
      <c r="B149" s="18"/>
      <c r="C149" s="18"/>
      <c r="D149" s="276"/>
      <c r="E149" s="276"/>
      <c r="F149" s="277"/>
    </row>
    <row r="150" spans="1:6" hidden="1" x14ac:dyDescent="0.25">
      <c r="A150" s="89"/>
      <c r="B150" s="18"/>
      <c r="C150" s="18"/>
      <c r="D150" s="276"/>
      <c r="E150" s="276"/>
      <c r="F150" s="277"/>
    </row>
    <row r="151" spans="1:6" hidden="1" x14ac:dyDescent="0.25">
      <c r="A151" s="89"/>
      <c r="B151" s="18"/>
      <c r="C151" s="18"/>
      <c r="D151" s="276"/>
      <c r="E151" s="276"/>
      <c r="F151" s="277"/>
    </row>
    <row r="152" spans="1:6" ht="21" x14ac:dyDescent="0.35">
      <c r="A152" s="88" t="s">
        <v>1837</v>
      </c>
      <c r="B152" s="429" t="s">
        <v>2264</v>
      </c>
      <c r="F152" s="280">
        <f>SUM(F153:F202)</f>
        <v>0</v>
      </c>
    </row>
    <row r="153" spans="1:6" hidden="1" x14ac:dyDescent="0.25">
      <c r="A153" s="85" t="s">
        <v>2094</v>
      </c>
      <c r="B153" s="18" t="s">
        <v>2094</v>
      </c>
      <c r="C153" s="18" t="s">
        <v>2094</v>
      </c>
      <c r="D153" s="276" t="s">
        <v>2094</v>
      </c>
      <c r="E153" s="18" t="s">
        <v>2094</v>
      </c>
      <c r="F153" s="277" t="s">
        <v>2094</v>
      </c>
    </row>
    <row r="154" spans="1:6" hidden="1" x14ac:dyDescent="0.25">
      <c r="A154" s="85" t="s">
        <v>2094</v>
      </c>
      <c r="B154" s="18" t="s">
        <v>2094</v>
      </c>
      <c r="C154" s="18" t="s">
        <v>2094</v>
      </c>
      <c r="D154" s="276" t="s">
        <v>2094</v>
      </c>
      <c r="E154" s="276" t="s">
        <v>2094</v>
      </c>
      <c r="F154" s="277" t="s">
        <v>2094</v>
      </c>
    </row>
    <row r="155" spans="1:6" hidden="1" x14ac:dyDescent="0.25">
      <c r="A155" s="85" t="s">
        <v>2094</v>
      </c>
      <c r="B155" s="18" t="s">
        <v>2094</v>
      </c>
      <c r="C155" s="18" t="s">
        <v>2094</v>
      </c>
      <c r="D155" s="276" t="s">
        <v>2094</v>
      </c>
      <c r="E155" s="18" t="s">
        <v>2094</v>
      </c>
      <c r="F155" s="277" t="s">
        <v>2094</v>
      </c>
    </row>
    <row r="156" spans="1:6" hidden="1" x14ac:dyDescent="0.25">
      <c r="A156" s="85" t="s">
        <v>2094</v>
      </c>
      <c r="B156" s="18" t="s">
        <v>2094</v>
      </c>
      <c r="C156" s="18" t="s">
        <v>2094</v>
      </c>
      <c r="D156" s="276" t="s">
        <v>2094</v>
      </c>
      <c r="E156" s="18" t="s">
        <v>2094</v>
      </c>
      <c r="F156" s="277" t="s">
        <v>2094</v>
      </c>
    </row>
    <row r="157" spans="1:6" hidden="1" x14ac:dyDescent="0.25">
      <c r="A157" s="85"/>
      <c r="B157" s="18"/>
      <c r="C157" s="18"/>
      <c r="D157" s="276"/>
      <c r="E157" s="18"/>
      <c r="F157" s="277"/>
    </row>
    <row r="158" spans="1:6" ht="21" hidden="1" x14ac:dyDescent="0.35">
      <c r="A158" s="85"/>
      <c r="B158" s="155"/>
      <c r="C158" s="18"/>
      <c r="D158" s="276"/>
      <c r="E158" s="18"/>
      <c r="F158" s="277"/>
    </row>
    <row r="159" spans="1:6" hidden="1" x14ac:dyDescent="0.25">
      <c r="A159" s="85"/>
      <c r="B159" s="18"/>
      <c r="C159" s="18"/>
      <c r="D159" s="276"/>
      <c r="E159" s="18"/>
      <c r="F159" s="277"/>
    </row>
    <row r="160" spans="1:6" hidden="1" x14ac:dyDescent="0.25">
      <c r="A160" s="85" t="s">
        <v>2094</v>
      </c>
      <c r="B160" s="18" t="s">
        <v>2094</v>
      </c>
      <c r="C160" s="18" t="s">
        <v>2094</v>
      </c>
      <c r="D160" s="276" t="s">
        <v>2094</v>
      </c>
      <c r="E160" s="18" t="s">
        <v>2094</v>
      </c>
      <c r="F160" s="277" t="s">
        <v>2094</v>
      </c>
    </row>
    <row r="161" spans="1:6" hidden="1" x14ac:dyDescent="0.25">
      <c r="A161" s="85" t="s">
        <v>2094</v>
      </c>
      <c r="B161" s="18" t="s">
        <v>2094</v>
      </c>
      <c r="C161" s="18" t="s">
        <v>2094</v>
      </c>
      <c r="D161" s="276" t="s">
        <v>2094</v>
      </c>
      <c r="E161" s="276" t="s">
        <v>2094</v>
      </c>
      <c r="F161" s="277" t="s">
        <v>2094</v>
      </c>
    </row>
    <row r="162" spans="1:6" hidden="1" x14ac:dyDescent="0.25">
      <c r="A162" s="85"/>
      <c r="B162" s="18"/>
      <c r="C162" s="18"/>
      <c r="D162" s="276"/>
      <c r="E162" s="18"/>
      <c r="F162" s="277"/>
    </row>
    <row r="163" spans="1:6" hidden="1" x14ac:dyDescent="0.25">
      <c r="A163" s="85"/>
      <c r="B163" s="18"/>
      <c r="C163" s="18"/>
      <c r="D163" s="276"/>
      <c r="E163" s="18"/>
      <c r="F163" s="277"/>
    </row>
    <row r="164" spans="1:6" hidden="1" x14ac:dyDescent="0.25">
      <c r="A164" s="85"/>
      <c r="B164" s="18"/>
      <c r="C164" s="18"/>
      <c r="D164" s="276"/>
      <c r="E164" s="18"/>
      <c r="F164" s="277"/>
    </row>
    <row r="165" spans="1:6" hidden="1" x14ac:dyDescent="0.25">
      <c r="A165" s="85" t="s">
        <v>2094</v>
      </c>
      <c r="B165" s="18" t="s">
        <v>2094</v>
      </c>
      <c r="C165" s="18" t="s">
        <v>2094</v>
      </c>
      <c r="D165" s="276" t="s">
        <v>2094</v>
      </c>
      <c r="E165" s="276" t="s">
        <v>2094</v>
      </c>
      <c r="F165" s="277" t="s">
        <v>2094</v>
      </c>
    </row>
    <row r="166" spans="1:6" hidden="1" x14ac:dyDescent="0.25">
      <c r="A166" s="85" t="s">
        <v>2094</v>
      </c>
      <c r="B166" s="18" t="s">
        <v>2094</v>
      </c>
      <c r="C166" s="18" t="s">
        <v>2094</v>
      </c>
      <c r="D166" s="276" t="s">
        <v>2094</v>
      </c>
      <c r="E166" s="276" t="s">
        <v>2094</v>
      </c>
      <c r="F166" s="277" t="s">
        <v>2094</v>
      </c>
    </row>
    <row r="167" spans="1:6" hidden="1" x14ac:dyDescent="0.25">
      <c r="A167" s="85" t="s">
        <v>2094</v>
      </c>
      <c r="B167" s="18" t="s">
        <v>2094</v>
      </c>
      <c r="C167" s="18" t="s">
        <v>2094</v>
      </c>
      <c r="D167" s="276" t="s">
        <v>2094</v>
      </c>
      <c r="E167" s="18" t="s">
        <v>2094</v>
      </c>
      <c r="F167" s="277" t="s">
        <v>2094</v>
      </c>
    </row>
    <row r="168" spans="1:6" hidden="1" x14ac:dyDescent="0.25">
      <c r="A168" s="85" t="s">
        <v>2094</v>
      </c>
      <c r="B168" s="18" t="s">
        <v>2094</v>
      </c>
      <c r="C168" s="18" t="s">
        <v>2094</v>
      </c>
      <c r="D168" s="276" t="s">
        <v>2094</v>
      </c>
      <c r="E168" s="18" t="s">
        <v>2094</v>
      </c>
      <c r="F168" s="277" t="s">
        <v>2094</v>
      </c>
    </row>
    <row r="169" spans="1:6" hidden="1" x14ac:dyDescent="0.25">
      <c r="A169" s="85" t="s">
        <v>2094</v>
      </c>
      <c r="B169" s="18" t="s">
        <v>2094</v>
      </c>
      <c r="C169" s="18" t="s">
        <v>2094</v>
      </c>
      <c r="D169" s="276" t="s">
        <v>2094</v>
      </c>
      <c r="E169" s="18" t="s">
        <v>2094</v>
      </c>
      <c r="F169" s="277" t="s">
        <v>2094</v>
      </c>
    </row>
    <row r="170" spans="1:6" hidden="1" x14ac:dyDescent="0.25">
      <c r="A170" s="85" t="s">
        <v>2094</v>
      </c>
      <c r="B170" s="18" t="s">
        <v>2094</v>
      </c>
      <c r="C170" s="18" t="s">
        <v>2094</v>
      </c>
      <c r="D170" s="276" t="s">
        <v>2094</v>
      </c>
      <c r="E170" s="18" t="s">
        <v>2094</v>
      </c>
      <c r="F170" s="277" t="s">
        <v>2094</v>
      </c>
    </row>
    <row r="171" spans="1:6" hidden="1" x14ac:dyDescent="0.25">
      <c r="A171" s="85" t="s">
        <v>2094</v>
      </c>
      <c r="B171" s="18" t="s">
        <v>2094</v>
      </c>
      <c r="C171" s="18" t="s">
        <v>2094</v>
      </c>
      <c r="D171" s="276" t="s">
        <v>2094</v>
      </c>
      <c r="E171" s="18" t="s">
        <v>2094</v>
      </c>
      <c r="F171" s="277" t="s">
        <v>2094</v>
      </c>
    </row>
    <row r="172" spans="1:6" hidden="1" x14ac:dyDescent="0.25">
      <c r="A172" s="85"/>
      <c r="B172" s="18"/>
      <c r="C172" s="18"/>
      <c r="D172" s="276"/>
      <c r="E172" s="18"/>
      <c r="F172" s="277"/>
    </row>
    <row r="173" spans="1:6" hidden="1" x14ac:dyDescent="0.25">
      <c r="A173" s="85"/>
      <c r="B173" s="18"/>
      <c r="C173" s="18"/>
      <c r="D173" s="276"/>
      <c r="E173" s="18"/>
      <c r="F173" s="277"/>
    </row>
    <row r="174" spans="1:6" hidden="1" x14ac:dyDescent="0.25">
      <c r="A174" s="85"/>
      <c r="B174" s="18"/>
      <c r="C174" s="18"/>
      <c r="D174" s="276"/>
      <c r="E174" s="18"/>
      <c r="F174" s="277"/>
    </row>
    <row r="175" spans="1:6" hidden="1" x14ac:dyDescent="0.25">
      <c r="A175" s="85"/>
      <c r="B175" s="18"/>
      <c r="C175" s="18"/>
      <c r="D175" s="276"/>
      <c r="E175" s="18"/>
      <c r="F175" s="277"/>
    </row>
    <row r="176" spans="1:6" hidden="1" x14ac:dyDescent="0.25">
      <c r="A176" s="85"/>
      <c r="B176" s="18"/>
      <c r="C176" s="18"/>
      <c r="D176" s="276"/>
      <c r="E176" s="18"/>
      <c r="F176" s="277"/>
    </row>
    <row r="177" spans="1:6" hidden="1" x14ac:dyDescent="0.25">
      <c r="A177" s="85"/>
      <c r="B177" s="18"/>
      <c r="C177" s="18"/>
      <c r="D177" s="276"/>
      <c r="E177" s="18"/>
      <c r="F177" s="277"/>
    </row>
    <row r="178" spans="1:6" hidden="1" x14ac:dyDescent="0.25">
      <c r="A178" s="85"/>
      <c r="B178" s="18"/>
      <c r="C178" s="18"/>
      <c r="D178" s="276"/>
      <c r="E178" s="18"/>
      <c r="F178" s="277"/>
    </row>
    <row r="179" spans="1:6" hidden="1" x14ac:dyDescent="0.25">
      <c r="A179" s="85"/>
      <c r="B179" s="18"/>
      <c r="C179" s="18"/>
      <c r="D179" s="276"/>
      <c r="E179" s="18"/>
      <c r="F179" s="277"/>
    </row>
    <row r="180" spans="1:6" hidden="1" x14ac:dyDescent="0.25">
      <c r="A180" s="85"/>
      <c r="B180" s="18"/>
      <c r="C180" s="18"/>
      <c r="D180" s="276"/>
      <c r="E180" s="18"/>
      <c r="F180" s="277"/>
    </row>
    <row r="181" spans="1:6" hidden="1" x14ac:dyDescent="0.25">
      <c r="A181" s="85" t="s">
        <v>2094</v>
      </c>
      <c r="B181" s="18" t="s">
        <v>2094</v>
      </c>
      <c r="C181" s="18" t="s">
        <v>2094</v>
      </c>
      <c r="D181" s="276" t="s">
        <v>2094</v>
      </c>
      <c r="E181" s="18" t="s">
        <v>2094</v>
      </c>
      <c r="F181" s="277" t="s">
        <v>2094</v>
      </c>
    </row>
    <row r="182" spans="1:6" hidden="1" x14ac:dyDescent="0.25">
      <c r="A182" s="85" t="s">
        <v>2094</v>
      </c>
      <c r="B182" s="18" t="s">
        <v>2094</v>
      </c>
      <c r="C182" s="18" t="s">
        <v>2094</v>
      </c>
      <c r="D182" s="276" t="s">
        <v>2094</v>
      </c>
      <c r="E182" s="18" t="s">
        <v>2094</v>
      </c>
      <c r="F182" s="277" t="s">
        <v>2094</v>
      </c>
    </row>
    <row r="183" spans="1:6" hidden="1" x14ac:dyDescent="0.25">
      <c r="A183" s="85" t="s">
        <v>2094</v>
      </c>
      <c r="B183" s="18" t="s">
        <v>2094</v>
      </c>
      <c r="C183" s="18" t="s">
        <v>2094</v>
      </c>
      <c r="D183" s="276" t="s">
        <v>2094</v>
      </c>
      <c r="E183" s="18" t="s">
        <v>2094</v>
      </c>
      <c r="F183" s="277" t="s">
        <v>2094</v>
      </c>
    </row>
    <row r="184" spans="1:6" hidden="1" x14ac:dyDescent="0.25">
      <c r="A184" s="85" t="s">
        <v>2094</v>
      </c>
      <c r="B184" s="18" t="s">
        <v>2094</v>
      </c>
      <c r="C184" s="18" t="s">
        <v>2094</v>
      </c>
      <c r="D184" s="276" t="s">
        <v>2094</v>
      </c>
      <c r="E184" s="18" t="s">
        <v>2094</v>
      </c>
      <c r="F184" s="277" t="s">
        <v>2094</v>
      </c>
    </row>
    <row r="185" spans="1:6" hidden="1" x14ac:dyDescent="0.25">
      <c r="A185" s="85" t="s">
        <v>2094</v>
      </c>
      <c r="B185" s="18" t="s">
        <v>2094</v>
      </c>
      <c r="C185" s="18" t="s">
        <v>2094</v>
      </c>
      <c r="D185" s="276" t="s">
        <v>2094</v>
      </c>
      <c r="E185" s="18" t="s">
        <v>2094</v>
      </c>
      <c r="F185" s="277" t="s">
        <v>2094</v>
      </c>
    </row>
    <row r="186" spans="1:6" hidden="1" x14ac:dyDescent="0.25">
      <c r="A186" s="85" t="s">
        <v>2094</v>
      </c>
      <c r="B186" s="18" t="s">
        <v>2094</v>
      </c>
      <c r="C186" s="18" t="s">
        <v>2094</v>
      </c>
      <c r="D186" s="276" t="s">
        <v>2094</v>
      </c>
      <c r="E186" s="18" t="s">
        <v>2094</v>
      </c>
      <c r="F186" s="277" t="s">
        <v>2094</v>
      </c>
    </row>
    <row r="187" spans="1:6" hidden="1" x14ac:dyDescent="0.25">
      <c r="A187" s="85" t="s">
        <v>2094</v>
      </c>
      <c r="B187" s="18" t="s">
        <v>2094</v>
      </c>
      <c r="C187" s="18" t="s">
        <v>2094</v>
      </c>
      <c r="D187" s="276" t="s">
        <v>2094</v>
      </c>
      <c r="E187" s="18" t="s">
        <v>2094</v>
      </c>
      <c r="F187" s="277" t="s">
        <v>2094</v>
      </c>
    </row>
    <row r="188" spans="1:6" hidden="1" x14ac:dyDescent="0.25">
      <c r="A188" s="85" t="s">
        <v>2094</v>
      </c>
      <c r="B188" s="18" t="s">
        <v>2094</v>
      </c>
      <c r="C188" s="18" t="s">
        <v>2094</v>
      </c>
      <c r="D188" s="276" t="s">
        <v>2094</v>
      </c>
      <c r="E188" s="18" t="s">
        <v>2094</v>
      </c>
      <c r="F188" s="277" t="s">
        <v>2094</v>
      </c>
    </row>
    <row r="189" spans="1:6" hidden="1" x14ac:dyDescent="0.25">
      <c r="A189" s="85"/>
      <c r="B189" s="18"/>
      <c r="C189" s="18"/>
      <c r="D189" s="276"/>
      <c r="E189" s="18"/>
      <c r="F189" s="277"/>
    </row>
    <row r="190" spans="1:6" hidden="1" x14ac:dyDescent="0.25">
      <c r="A190" s="85" t="s">
        <v>2094</v>
      </c>
      <c r="B190" s="18" t="s">
        <v>2094</v>
      </c>
      <c r="C190" s="18" t="s">
        <v>2094</v>
      </c>
      <c r="D190" s="276" t="s">
        <v>2094</v>
      </c>
      <c r="E190" s="18" t="s">
        <v>2094</v>
      </c>
      <c r="F190" s="277" t="s">
        <v>2094</v>
      </c>
    </row>
    <row r="191" spans="1:6" hidden="1" x14ac:dyDescent="0.25">
      <c r="A191" s="85" t="s">
        <v>2094</v>
      </c>
      <c r="B191" s="18" t="s">
        <v>2094</v>
      </c>
      <c r="C191" s="18" t="s">
        <v>2094</v>
      </c>
      <c r="D191" s="276" t="s">
        <v>2094</v>
      </c>
      <c r="E191" s="18" t="s">
        <v>2094</v>
      </c>
      <c r="F191" s="277" t="s">
        <v>2094</v>
      </c>
    </row>
    <row r="192" spans="1:6" hidden="1" x14ac:dyDescent="0.25">
      <c r="A192" s="85" t="s">
        <v>2094</v>
      </c>
      <c r="B192" s="18" t="s">
        <v>2094</v>
      </c>
      <c r="C192" s="18" t="s">
        <v>2094</v>
      </c>
      <c r="D192" s="276" t="s">
        <v>2094</v>
      </c>
      <c r="E192" s="18" t="s">
        <v>2094</v>
      </c>
      <c r="F192" s="277" t="s">
        <v>2094</v>
      </c>
    </row>
    <row r="193" spans="1:6" hidden="1" x14ac:dyDescent="0.25">
      <c r="A193" s="85" t="s">
        <v>2094</v>
      </c>
      <c r="B193" s="18" t="s">
        <v>2094</v>
      </c>
      <c r="C193" s="18" t="s">
        <v>2094</v>
      </c>
      <c r="D193" s="276" t="s">
        <v>2094</v>
      </c>
      <c r="E193" s="18" t="s">
        <v>2094</v>
      </c>
      <c r="F193" s="277" t="s">
        <v>2094</v>
      </c>
    </row>
    <row r="194" spans="1:6" hidden="1" x14ac:dyDescent="0.25">
      <c r="A194" s="85" t="s">
        <v>2094</v>
      </c>
      <c r="B194" s="18" t="s">
        <v>2094</v>
      </c>
      <c r="C194" s="18" t="s">
        <v>2094</v>
      </c>
      <c r="D194" s="276" t="s">
        <v>2094</v>
      </c>
      <c r="E194" s="18" t="s">
        <v>2094</v>
      </c>
      <c r="F194" s="277" t="s">
        <v>2094</v>
      </c>
    </row>
    <row r="195" spans="1:6" hidden="1" x14ac:dyDescent="0.25">
      <c r="A195" s="85" t="s">
        <v>2094</v>
      </c>
      <c r="B195" s="18" t="s">
        <v>2094</v>
      </c>
      <c r="C195" s="18" t="s">
        <v>2094</v>
      </c>
      <c r="D195" s="276" t="s">
        <v>2094</v>
      </c>
      <c r="E195" s="18" t="s">
        <v>2094</v>
      </c>
      <c r="F195" s="277" t="s">
        <v>2094</v>
      </c>
    </row>
    <row r="196" spans="1:6" hidden="1" x14ac:dyDescent="0.25">
      <c r="A196" s="85" t="s">
        <v>2094</v>
      </c>
      <c r="B196" s="18" t="s">
        <v>2094</v>
      </c>
      <c r="C196" s="18" t="s">
        <v>2094</v>
      </c>
      <c r="D196" s="276" t="s">
        <v>2094</v>
      </c>
      <c r="E196" s="18" t="s">
        <v>2094</v>
      </c>
      <c r="F196" s="277" t="s">
        <v>2094</v>
      </c>
    </row>
    <row r="197" spans="1:6" hidden="1" x14ac:dyDescent="0.25">
      <c r="A197" s="85" t="s">
        <v>2094</v>
      </c>
      <c r="B197" s="18" t="s">
        <v>2094</v>
      </c>
      <c r="C197" s="18" t="s">
        <v>2094</v>
      </c>
      <c r="D197" s="276" t="s">
        <v>2094</v>
      </c>
      <c r="E197" s="18" t="s">
        <v>2094</v>
      </c>
      <c r="F197" s="277" t="s">
        <v>2094</v>
      </c>
    </row>
    <row r="198" spans="1:6" hidden="1" x14ac:dyDescent="0.25">
      <c r="A198" s="85"/>
      <c r="B198" s="18"/>
      <c r="C198" s="18"/>
      <c r="D198" s="276"/>
      <c r="E198" s="18" t="s">
        <v>2094</v>
      </c>
      <c r="F198" s="277" t="s">
        <v>2094</v>
      </c>
    </row>
    <row r="199" spans="1:6" hidden="1" x14ac:dyDescent="0.25">
      <c r="A199" s="85"/>
      <c r="B199" s="18"/>
      <c r="C199" s="18"/>
      <c r="D199" s="276"/>
      <c r="E199" s="18"/>
      <c r="F199" s="277"/>
    </row>
    <row r="200" spans="1:6" hidden="1" x14ac:dyDescent="0.25">
      <c r="A200" s="85" t="s">
        <v>2094</v>
      </c>
      <c r="B200" s="18" t="s">
        <v>2094</v>
      </c>
      <c r="C200" s="18" t="s">
        <v>2094</v>
      </c>
      <c r="D200" s="276" t="s">
        <v>2094</v>
      </c>
      <c r="E200" s="18" t="s">
        <v>2094</v>
      </c>
      <c r="F200" s="277" t="s">
        <v>2094</v>
      </c>
    </row>
    <row r="201" spans="1:6" hidden="1" x14ac:dyDescent="0.25">
      <c r="A201" s="85" t="s">
        <v>2094</v>
      </c>
      <c r="B201" s="18" t="s">
        <v>2094</v>
      </c>
      <c r="C201" s="18" t="s">
        <v>2094</v>
      </c>
      <c r="D201" s="276" t="s">
        <v>2094</v>
      </c>
      <c r="E201" s="276" t="s">
        <v>2094</v>
      </c>
      <c r="F201" s="277" t="s">
        <v>2094</v>
      </c>
    </row>
    <row r="202" spans="1:6" ht="15.75" hidden="1" thickBot="1" x14ac:dyDescent="0.3">
      <c r="A202" s="86" t="s">
        <v>2094</v>
      </c>
      <c r="B202" s="19" t="s">
        <v>2094</v>
      </c>
      <c r="C202" s="19" t="s">
        <v>2094</v>
      </c>
      <c r="D202" s="278" t="s">
        <v>2094</v>
      </c>
      <c r="E202" s="19" t="s">
        <v>2094</v>
      </c>
      <c r="F202" s="279" t="s">
        <v>2094</v>
      </c>
    </row>
    <row r="203" spans="1:6" ht="15.75" thickBot="1" x14ac:dyDescent="0.3">
      <c r="A203" s="430" t="s">
        <v>1837</v>
      </c>
      <c r="B203" s="440" t="s">
        <v>1860</v>
      </c>
      <c r="C203" s="431"/>
      <c r="D203" s="432"/>
      <c r="E203" s="431"/>
      <c r="F203" s="433">
        <f>SUM(F204:F296)</f>
        <v>0</v>
      </c>
    </row>
    <row r="204" spans="1:6" hidden="1" x14ac:dyDescent="0.25">
      <c r="A204" s="82"/>
      <c r="B204" s="18"/>
      <c r="C204" s="18"/>
      <c r="D204" s="276"/>
      <c r="E204" s="18"/>
      <c r="F204" s="276"/>
    </row>
    <row r="205" spans="1:6" hidden="1" x14ac:dyDescent="0.25">
      <c r="A205" s="82"/>
      <c r="B205" s="18"/>
      <c r="C205" s="18"/>
      <c r="D205" s="276"/>
      <c r="E205" s="18"/>
      <c r="F205" s="276"/>
    </row>
    <row r="206" spans="1:6" hidden="1" x14ac:dyDescent="0.25">
      <c r="A206" s="82"/>
      <c r="B206" s="18"/>
      <c r="C206" s="18"/>
      <c r="D206" s="276"/>
      <c r="E206" s="18"/>
      <c r="F206" s="276"/>
    </row>
    <row r="207" spans="1:6" hidden="1" x14ac:dyDescent="0.25">
      <c r="A207" s="82"/>
      <c r="B207" s="18"/>
      <c r="C207" s="18"/>
      <c r="D207" s="276"/>
      <c r="E207" s="18"/>
      <c r="F207" s="276"/>
    </row>
    <row r="208" spans="1:6" hidden="1" x14ac:dyDescent="0.25">
      <c r="A208" s="82"/>
      <c r="B208" s="18"/>
      <c r="C208" s="18"/>
      <c r="D208" s="276"/>
      <c r="E208" s="18"/>
      <c r="F208" s="276"/>
    </row>
    <row r="209" spans="1:6" hidden="1" x14ac:dyDescent="0.25">
      <c r="A209" s="82"/>
      <c r="B209" s="18"/>
      <c r="C209" s="18"/>
      <c r="D209" s="276"/>
      <c r="E209" s="18"/>
      <c r="F209" s="276"/>
    </row>
    <row r="210" spans="1:6" hidden="1" x14ac:dyDescent="0.25">
      <c r="A210" s="82"/>
      <c r="B210" s="18"/>
      <c r="C210" s="18"/>
      <c r="D210" s="276"/>
      <c r="E210" s="18"/>
      <c r="F210" s="276"/>
    </row>
    <row r="211" spans="1:6" hidden="1" x14ac:dyDescent="0.25">
      <c r="A211" s="82"/>
      <c r="B211" s="18"/>
      <c r="C211" s="18"/>
      <c r="D211" s="276"/>
      <c r="E211" s="18"/>
      <c r="F211" s="276"/>
    </row>
    <row r="212" spans="1:6" hidden="1" x14ac:dyDescent="0.25">
      <c r="A212" s="82"/>
      <c r="B212" s="18"/>
      <c r="C212" s="18"/>
      <c r="D212" s="276"/>
      <c r="E212" s="18"/>
      <c r="F212" s="276"/>
    </row>
    <row r="213" spans="1:6" hidden="1" x14ac:dyDescent="0.25">
      <c r="A213" s="82"/>
      <c r="B213" s="18"/>
      <c r="C213" s="18"/>
      <c r="D213" s="276"/>
      <c r="E213" s="18">
        <v>1</v>
      </c>
      <c r="F213" s="276">
        <v>0</v>
      </c>
    </row>
    <row r="214" spans="1:6" hidden="1" x14ac:dyDescent="0.25">
      <c r="A214" s="82"/>
      <c r="B214" s="18"/>
      <c r="C214" s="18"/>
      <c r="D214" s="276"/>
      <c r="E214" s="18"/>
      <c r="F214" s="276"/>
    </row>
    <row r="215" spans="1:6" hidden="1" x14ac:dyDescent="0.25">
      <c r="A215" s="82"/>
      <c r="B215" s="18"/>
      <c r="C215" s="18"/>
      <c r="D215" s="276"/>
      <c r="E215" s="18"/>
      <c r="F215" s="276"/>
    </row>
    <row r="216" spans="1:6" hidden="1" x14ac:dyDescent="0.25">
      <c r="A216" s="82"/>
      <c r="B216" s="18"/>
      <c r="C216" s="18"/>
      <c r="D216" s="276"/>
      <c r="E216" s="18"/>
      <c r="F216" s="276"/>
    </row>
    <row r="217" spans="1:6" hidden="1" x14ac:dyDescent="0.25">
      <c r="A217" s="82"/>
      <c r="B217" s="18"/>
      <c r="C217" s="18"/>
      <c r="D217" s="276"/>
      <c r="E217" s="18"/>
      <c r="F217" s="276"/>
    </row>
    <row r="218" spans="1:6" hidden="1" x14ac:dyDescent="0.25">
      <c r="A218" s="82"/>
      <c r="B218" s="18"/>
      <c r="C218" s="18"/>
      <c r="D218" s="276"/>
      <c r="E218" s="18"/>
      <c r="F218" s="276"/>
    </row>
    <row r="219" spans="1:6" hidden="1" x14ac:dyDescent="0.25">
      <c r="A219" s="82"/>
      <c r="B219" s="18"/>
      <c r="C219" s="18"/>
      <c r="D219" s="276"/>
      <c r="E219" s="18"/>
      <c r="F219" s="276"/>
    </row>
    <row r="220" spans="1:6" hidden="1" x14ac:dyDescent="0.25">
      <c r="A220" s="82"/>
      <c r="B220" s="18"/>
      <c r="C220" s="18"/>
      <c r="D220" s="276"/>
      <c r="E220" s="18"/>
      <c r="F220" s="276"/>
    </row>
    <row r="221" spans="1:6" hidden="1" x14ac:dyDescent="0.25">
      <c r="A221" s="82"/>
      <c r="B221" s="18"/>
      <c r="C221" s="18"/>
      <c r="D221" s="276"/>
      <c r="E221" s="18"/>
      <c r="F221" s="276"/>
    </row>
    <row r="222" spans="1:6" hidden="1" x14ac:dyDescent="0.25">
      <c r="A222" s="82"/>
      <c r="B222" s="18"/>
      <c r="C222" s="18"/>
      <c r="D222" s="276"/>
      <c r="E222" s="18"/>
      <c r="F222" s="276"/>
    </row>
    <row r="223" spans="1:6" hidden="1" x14ac:dyDescent="0.25">
      <c r="A223" s="82"/>
      <c r="B223" s="18"/>
      <c r="C223" s="18"/>
      <c r="D223" s="276"/>
      <c r="E223" s="18"/>
      <c r="F223" s="276"/>
    </row>
    <row r="224" spans="1:6" hidden="1" x14ac:dyDescent="0.25">
      <c r="A224" s="82"/>
      <c r="B224" s="18"/>
      <c r="C224" s="18"/>
      <c r="D224" s="276"/>
      <c r="E224" s="18"/>
      <c r="F224" s="276"/>
    </row>
    <row r="225" spans="1:6" hidden="1" x14ac:dyDescent="0.25">
      <c r="A225" s="82"/>
      <c r="B225" s="18"/>
      <c r="C225" s="18"/>
      <c r="D225" s="276"/>
      <c r="E225" s="18"/>
      <c r="F225" s="276"/>
    </row>
    <row r="226" spans="1:6" hidden="1" x14ac:dyDescent="0.25">
      <c r="A226" s="82"/>
      <c r="B226" s="18"/>
      <c r="C226" s="18"/>
      <c r="D226" s="276"/>
      <c r="E226" s="18"/>
      <c r="F226" s="276"/>
    </row>
    <row r="227" spans="1:6" hidden="1" x14ac:dyDescent="0.25">
      <c r="A227" s="82"/>
      <c r="B227" s="18"/>
      <c r="C227" s="18"/>
      <c r="D227" s="276"/>
      <c r="E227" s="18"/>
      <c r="F227" s="276"/>
    </row>
    <row r="228" spans="1:6" hidden="1" x14ac:dyDescent="0.25">
      <c r="A228" s="82"/>
      <c r="B228" s="18"/>
      <c r="C228" s="18"/>
      <c r="D228" s="276"/>
      <c r="E228" s="18"/>
      <c r="F228" s="276"/>
    </row>
    <row r="229" spans="1:6" hidden="1" x14ac:dyDescent="0.25">
      <c r="A229" s="82"/>
      <c r="B229" s="18"/>
      <c r="C229" s="18"/>
      <c r="D229" s="276"/>
      <c r="E229" s="18"/>
      <c r="F229" s="276"/>
    </row>
    <row r="230" spans="1:6" hidden="1" x14ac:dyDescent="0.25">
      <c r="A230" s="82"/>
      <c r="B230" s="18"/>
      <c r="C230" s="18"/>
      <c r="D230" s="276"/>
      <c r="E230" s="18"/>
      <c r="F230" s="276"/>
    </row>
    <row r="231" spans="1:6" hidden="1" x14ac:dyDescent="0.25">
      <c r="A231" s="82"/>
      <c r="B231" s="18"/>
      <c r="C231" s="18"/>
      <c r="D231" s="276"/>
      <c r="E231" s="18"/>
      <c r="F231" s="276"/>
    </row>
    <row r="232" spans="1:6" hidden="1" x14ac:dyDescent="0.25">
      <c r="A232" s="82"/>
      <c r="B232" s="18"/>
      <c r="C232" s="18"/>
      <c r="D232" s="276"/>
      <c r="E232" s="276"/>
      <c r="F232" s="276"/>
    </row>
    <row r="233" spans="1:6" hidden="1" x14ac:dyDescent="0.25">
      <c r="A233" s="82"/>
      <c r="B233" s="18"/>
      <c r="C233" s="18"/>
      <c r="D233" s="276"/>
      <c r="E233" s="276"/>
      <c r="F233" s="276"/>
    </row>
    <row r="234" spans="1:6" hidden="1" x14ac:dyDescent="0.25">
      <c r="A234" s="82"/>
      <c r="B234" s="18"/>
      <c r="C234" s="18"/>
      <c r="D234" s="276"/>
      <c r="E234" s="276"/>
      <c r="F234" s="276"/>
    </row>
    <row r="235" spans="1:6" hidden="1" x14ac:dyDescent="0.25">
      <c r="A235" s="82"/>
      <c r="B235" s="18"/>
      <c r="C235" s="18"/>
      <c r="D235" s="276"/>
      <c r="E235" s="276"/>
      <c r="F235" s="276"/>
    </row>
    <row r="236" spans="1:6" hidden="1" x14ac:dyDescent="0.25">
      <c r="A236" s="82"/>
      <c r="B236" s="18"/>
      <c r="C236" s="18"/>
      <c r="D236" s="276"/>
      <c r="E236" s="276"/>
      <c r="F236" s="276"/>
    </row>
    <row r="237" spans="1:6" hidden="1" x14ac:dyDescent="0.25">
      <c r="A237" s="82"/>
      <c r="B237" s="18"/>
      <c r="C237" s="18"/>
      <c r="D237" s="276"/>
      <c r="E237" s="18"/>
      <c r="F237" s="276"/>
    </row>
    <row r="238" spans="1:6" hidden="1" x14ac:dyDescent="0.25">
      <c r="A238" s="82"/>
      <c r="B238" s="18"/>
      <c r="C238" s="18"/>
      <c r="D238" s="276"/>
      <c r="E238" s="18"/>
      <c r="F238" s="276"/>
    </row>
    <row r="239" spans="1:6" hidden="1" x14ac:dyDescent="0.25">
      <c r="A239" s="82"/>
      <c r="B239" s="18"/>
      <c r="C239" s="18"/>
      <c r="D239" s="276"/>
      <c r="E239" s="18"/>
      <c r="F239" s="276"/>
    </row>
    <row r="240" spans="1:6" hidden="1" x14ac:dyDescent="0.25">
      <c r="A240" s="82"/>
      <c r="B240" s="18"/>
      <c r="C240" s="18"/>
      <c r="D240" s="276"/>
      <c r="E240" s="18"/>
      <c r="F240" s="276"/>
    </row>
    <row r="241" spans="1:6" hidden="1" x14ac:dyDescent="0.25">
      <c r="A241" s="82"/>
      <c r="B241" s="18"/>
      <c r="C241" s="18"/>
      <c r="D241" s="276"/>
      <c r="E241" s="18"/>
      <c r="F241" s="276"/>
    </row>
    <row r="242" spans="1:6" hidden="1" x14ac:dyDescent="0.25">
      <c r="A242" s="82"/>
      <c r="B242" s="18"/>
      <c r="C242" s="18"/>
      <c r="D242" s="276"/>
      <c r="E242" s="18"/>
      <c r="F242" s="276"/>
    </row>
    <row r="243" spans="1:6" hidden="1" x14ac:dyDescent="0.25">
      <c r="A243" s="82"/>
      <c r="B243" s="18"/>
      <c r="C243" s="18"/>
      <c r="D243" s="276"/>
      <c r="E243" s="18"/>
      <c r="F243" s="276"/>
    </row>
    <row r="244" spans="1:6" hidden="1" x14ac:dyDescent="0.25">
      <c r="A244" s="82"/>
      <c r="B244" s="18"/>
      <c r="C244" s="18"/>
      <c r="D244" s="276"/>
      <c r="E244" s="18"/>
      <c r="F244" s="276"/>
    </row>
    <row r="245" spans="1:6" hidden="1" x14ac:dyDescent="0.25">
      <c r="A245" s="82"/>
      <c r="B245" s="18"/>
      <c r="C245" s="18"/>
      <c r="D245" s="276"/>
      <c r="E245" s="18"/>
      <c r="F245" s="276"/>
    </row>
    <row r="246" spans="1:6" hidden="1" x14ac:dyDescent="0.25">
      <c r="A246" s="82"/>
      <c r="B246" s="18"/>
      <c r="C246" s="18"/>
      <c r="D246" s="276"/>
      <c r="E246" s="18"/>
      <c r="F246" s="276"/>
    </row>
    <row r="247" spans="1:6" hidden="1" x14ac:dyDescent="0.25">
      <c r="A247" s="82"/>
      <c r="B247" s="18"/>
      <c r="C247" s="18"/>
      <c r="D247" s="276"/>
      <c r="E247" s="18"/>
      <c r="F247" s="276"/>
    </row>
    <row r="248" spans="1:6" hidden="1" x14ac:dyDescent="0.25">
      <c r="A248" s="82"/>
      <c r="B248" s="18"/>
      <c r="C248" s="18"/>
      <c r="D248" s="276"/>
      <c r="E248" s="18"/>
      <c r="F248" s="276"/>
    </row>
    <row r="249" spans="1:6" hidden="1" x14ac:dyDescent="0.25">
      <c r="A249" s="82"/>
      <c r="B249" s="18"/>
      <c r="C249" s="18"/>
      <c r="D249" s="276"/>
      <c r="E249" s="18"/>
      <c r="F249" s="276"/>
    </row>
    <row r="250" spans="1:6" hidden="1" x14ac:dyDescent="0.25">
      <c r="A250" s="82"/>
      <c r="B250" s="18"/>
      <c r="C250" s="18"/>
      <c r="D250" s="276"/>
      <c r="E250" s="18"/>
      <c r="F250" s="276"/>
    </row>
    <row r="251" spans="1:6" hidden="1" x14ac:dyDescent="0.25">
      <c r="A251" s="82"/>
      <c r="B251" s="18"/>
      <c r="C251" s="18"/>
      <c r="D251" s="276"/>
      <c r="E251" s="18"/>
      <c r="F251" s="276"/>
    </row>
    <row r="252" spans="1:6" hidden="1" x14ac:dyDescent="0.25">
      <c r="A252" s="82"/>
      <c r="B252" s="18"/>
      <c r="C252" s="18"/>
      <c r="D252" s="276"/>
      <c r="E252" s="18"/>
      <c r="F252" s="276"/>
    </row>
    <row r="253" spans="1:6" hidden="1" x14ac:dyDescent="0.25">
      <c r="A253" s="82"/>
      <c r="B253" s="18"/>
      <c r="C253" s="18"/>
      <c r="D253" s="276"/>
      <c r="E253" s="18"/>
      <c r="F253" s="276"/>
    </row>
    <row r="254" spans="1:6" hidden="1" x14ac:dyDescent="0.25">
      <c r="A254" s="82"/>
      <c r="B254" s="18"/>
      <c r="C254" s="18"/>
      <c r="D254" s="276"/>
      <c r="E254" s="18"/>
      <c r="F254" s="276"/>
    </row>
    <row r="255" spans="1:6" hidden="1" x14ac:dyDescent="0.25">
      <c r="A255" s="82"/>
      <c r="B255" s="18"/>
      <c r="C255" s="18"/>
      <c r="D255" s="276"/>
      <c r="E255" s="18"/>
      <c r="F255" s="276"/>
    </row>
    <row r="256" spans="1:6" hidden="1" x14ac:dyDescent="0.25">
      <c r="A256" s="82"/>
      <c r="B256" s="18"/>
      <c r="C256" s="18"/>
      <c r="D256" s="276"/>
      <c r="E256" s="18"/>
      <c r="F256" s="276"/>
    </row>
    <row r="257" spans="1:6" hidden="1" x14ac:dyDescent="0.25">
      <c r="A257" s="82"/>
      <c r="B257" s="18"/>
      <c r="C257" s="18"/>
      <c r="D257" s="276"/>
      <c r="E257" s="18"/>
      <c r="F257" s="276"/>
    </row>
    <row r="258" spans="1:6" hidden="1" x14ac:dyDescent="0.25">
      <c r="A258" s="82"/>
      <c r="B258" s="18"/>
      <c r="C258" s="18"/>
      <c r="D258" s="276"/>
      <c r="E258" s="18"/>
      <c r="F258" s="276"/>
    </row>
    <row r="259" spans="1:6" hidden="1" x14ac:dyDescent="0.25">
      <c r="A259" s="82"/>
      <c r="B259" s="18"/>
      <c r="C259" s="18"/>
      <c r="D259" s="276"/>
      <c r="E259" s="18"/>
      <c r="F259" s="276"/>
    </row>
    <row r="260" spans="1:6" hidden="1" x14ac:dyDescent="0.25">
      <c r="A260" s="82"/>
      <c r="B260" s="18"/>
      <c r="C260" s="18"/>
      <c r="D260" s="276"/>
      <c r="E260" s="18"/>
      <c r="F260" s="276"/>
    </row>
    <row r="261" spans="1:6" hidden="1" x14ac:dyDescent="0.25">
      <c r="A261" s="82"/>
      <c r="B261" s="18"/>
      <c r="C261" s="18"/>
      <c r="D261" s="276"/>
      <c r="E261" s="18"/>
      <c r="F261" s="276"/>
    </row>
    <row r="262" spans="1:6" hidden="1" x14ac:dyDescent="0.25">
      <c r="A262" s="82"/>
      <c r="B262" s="18"/>
      <c r="C262" s="18"/>
      <c r="D262" s="276"/>
      <c r="E262" s="18"/>
      <c r="F262" s="276"/>
    </row>
    <row r="263" spans="1:6" hidden="1" x14ac:dyDescent="0.25">
      <c r="A263" s="82"/>
      <c r="B263" s="18"/>
      <c r="C263" s="18"/>
      <c r="D263" s="276"/>
      <c r="E263" s="18"/>
      <c r="F263" s="276"/>
    </row>
    <row r="264" spans="1:6" hidden="1" x14ac:dyDescent="0.25">
      <c r="A264" s="82"/>
      <c r="B264" s="18"/>
      <c r="C264" s="18"/>
      <c r="D264" s="276"/>
      <c r="E264" s="18"/>
      <c r="F264" s="276"/>
    </row>
    <row r="265" spans="1:6" hidden="1" x14ac:dyDescent="0.25">
      <c r="A265" s="82"/>
      <c r="B265" s="18"/>
      <c r="C265" s="18"/>
      <c r="D265" s="276"/>
      <c r="E265" s="18"/>
      <c r="F265" s="276"/>
    </row>
    <row r="266" spans="1:6" hidden="1" x14ac:dyDescent="0.25">
      <c r="A266" s="82"/>
      <c r="B266" s="18"/>
      <c r="C266" s="18"/>
      <c r="D266" s="276"/>
      <c r="E266" s="18"/>
      <c r="F266" s="276"/>
    </row>
    <row r="267" spans="1:6" hidden="1" x14ac:dyDescent="0.25">
      <c r="A267" s="82"/>
      <c r="B267" s="18"/>
      <c r="C267" s="18"/>
      <c r="D267" s="276"/>
      <c r="E267" s="18"/>
      <c r="F267" s="276"/>
    </row>
    <row r="268" spans="1:6" hidden="1" x14ac:dyDescent="0.25">
      <c r="A268" s="82"/>
      <c r="B268" s="18"/>
      <c r="C268" s="18"/>
      <c r="D268" s="276"/>
      <c r="E268" s="18"/>
      <c r="F268" s="276"/>
    </row>
    <row r="269" spans="1:6" hidden="1" x14ac:dyDescent="0.25">
      <c r="A269" s="82"/>
      <c r="B269" s="18"/>
      <c r="C269" s="18"/>
      <c r="D269" s="276"/>
      <c r="E269" s="18"/>
      <c r="F269" s="276"/>
    </row>
    <row r="270" spans="1:6" hidden="1" x14ac:dyDescent="0.25">
      <c r="A270" s="82"/>
      <c r="B270" s="18"/>
      <c r="C270" s="18"/>
      <c r="D270" s="276"/>
      <c r="E270" s="18"/>
      <c r="F270" s="276"/>
    </row>
    <row r="271" spans="1:6" hidden="1" x14ac:dyDescent="0.25">
      <c r="A271" s="82"/>
      <c r="B271" s="18"/>
      <c r="C271" s="18"/>
      <c r="D271" s="276"/>
      <c r="E271" s="18"/>
      <c r="F271" s="276"/>
    </row>
    <row r="272" spans="1:6" hidden="1" x14ac:dyDescent="0.25">
      <c r="A272" s="82"/>
      <c r="B272" s="18"/>
      <c r="C272" s="18"/>
      <c r="D272" s="276"/>
      <c r="E272" s="18"/>
      <c r="F272" s="276"/>
    </row>
    <row r="273" spans="1:6" hidden="1" x14ac:dyDescent="0.25">
      <c r="A273" s="82"/>
      <c r="B273" s="18"/>
      <c r="C273" s="18"/>
      <c r="D273" s="276"/>
      <c r="E273" s="18"/>
      <c r="F273" s="276"/>
    </row>
    <row r="274" spans="1:6" hidden="1" x14ac:dyDescent="0.25">
      <c r="A274" s="82"/>
      <c r="B274" s="18"/>
      <c r="C274" s="18"/>
      <c r="D274" s="276"/>
      <c r="E274" s="18"/>
      <c r="F274" s="276"/>
    </row>
    <row r="275" spans="1:6" hidden="1" x14ac:dyDescent="0.25">
      <c r="A275" s="82"/>
      <c r="B275" s="18"/>
      <c r="C275" s="18"/>
      <c r="D275" s="276"/>
      <c r="E275" s="18"/>
      <c r="F275" s="276"/>
    </row>
    <row r="276" spans="1:6" hidden="1" x14ac:dyDescent="0.25">
      <c r="A276" s="82"/>
      <c r="B276" s="18"/>
      <c r="C276" s="18"/>
      <c r="D276" s="276"/>
      <c r="E276" s="18"/>
      <c r="F276" s="276"/>
    </row>
    <row r="277" spans="1:6" hidden="1" x14ac:dyDescent="0.25">
      <c r="A277" s="82"/>
      <c r="B277" s="18"/>
      <c r="C277" s="18"/>
      <c r="D277" s="276"/>
      <c r="E277" s="18"/>
      <c r="F277" s="276"/>
    </row>
    <row r="278" spans="1:6" hidden="1" x14ac:dyDescent="0.25">
      <c r="A278" s="82"/>
      <c r="B278" s="18"/>
      <c r="C278" s="18"/>
      <c r="D278" s="276"/>
      <c r="E278" s="18"/>
      <c r="F278" s="276"/>
    </row>
    <row r="279" spans="1:6" hidden="1" x14ac:dyDescent="0.25">
      <c r="A279" s="82"/>
      <c r="B279" s="18"/>
      <c r="C279" s="18"/>
      <c r="D279" s="276"/>
      <c r="E279" s="18"/>
      <c r="F279" s="276"/>
    </row>
    <row r="280" spans="1:6" hidden="1" x14ac:dyDescent="0.25">
      <c r="A280" s="82"/>
      <c r="B280" s="18"/>
      <c r="C280" s="18"/>
      <c r="D280" s="276"/>
      <c r="E280" s="18"/>
      <c r="F280" s="276"/>
    </row>
    <row r="281" spans="1:6" hidden="1" x14ac:dyDescent="0.25">
      <c r="A281" s="82"/>
      <c r="B281" s="18"/>
      <c r="C281" s="18"/>
      <c r="D281" s="276"/>
      <c r="E281" s="18"/>
      <c r="F281" s="276"/>
    </row>
    <row r="282" spans="1:6" hidden="1" x14ac:dyDescent="0.25">
      <c r="A282" s="82"/>
      <c r="B282" s="18"/>
      <c r="C282" s="18"/>
      <c r="D282" s="276"/>
      <c r="E282" s="18"/>
      <c r="F282" s="276"/>
    </row>
    <row r="283" spans="1:6" hidden="1" x14ac:dyDescent="0.25">
      <c r="A283" s="82"/>
      <c r="B283" s="18"/>
      <c r="C283" s="18"/>
      <c r="D283" s="276"/>
      <c r="E283" s="18"/>
      <c r="F283" s="276"/>
    </row>
    <row r="284" spans="1:6" hidden="1" x14ac:dyDescent="0.25">
      <c r="A284" s="82"/>
      <c r="B284" s="18"/>
      <c r="C284" s="18"/>
      <c r="D284" s="276"/>
      <c r="E284" s="18"/>
      <c r="F284" s="276"/>
    </row>
    <row r="285" spans="1:6" hidden="1" x14ac:dyDescent="0.25">
      <c r="A285" s="82"/>
      <c r="B285" s="18"/>
      <c r="C285" s="18"/>
      <c r="D285" s="276"/>
      <c r="E285" s="18"/>
      <c r="F285" s="276"/>
    </row>
    <row r="286" spans="1:6" hidden="1" x14ac:dyDescent="0.25">
      <c r="A286" s="82"/>
      <c r="B286" s="18"/>
      <c r="C286" s="18"/>
      <c r="D286" s="276"/>
      <c r="E286" s="18"/>
      <c r="F286" s="276"/>
    </row>
    <row r="287" spans="1:6" hidden="1" x14ac:dyDescent="0.25">
      <c r="A287" s="82"/>
      <c r="B287" s="18"/>
      <c r="C287" s="18"/>
      <c r="D287" s="276"/>
      <c r="E287" s="18"/>
      <c r="F287" s="276"/>
    </row>
    <row r="288" spans="1:6" hidden="1" x14ac:dyDescent="0.25">
      <c r="A288" s="82"/>
      <c r="B288" s="18"/>
      <c r="C288" s="18"/>
      <c r="D288" s="276"/>
      <c r="E288" s="18"/>
      <c r="F288" s="276"/>
    </row>
    <row r="289" spans="1:6" hidden="1" x14ac:dyDescent="0.25">
      <c r="A289" s="82"/>
      <c r="B289" s="18"/>
      <c r="C289" s="18"/>
      <c r="D289" s="276"/>
      <c r="E289" s="18"/>
      <c r="F289" s="276"/>
    </row>
    <row r="290" spans="1:6" hidden="1" x14ac:dyDescent="0.25">
      <c r="A290" s="82"/>
      <c r="B290" s="18"/>
      <c r="C290" s="18"/>
      <c r="D290" s="276"/>
      <c r="E290" s="18"/>
      <c r="F290" s="276"/>
    </row>
    <row r="291" spans="1:6" hidden="1" x14ac:dyDescent="0.25">
      <c r="A291" s="82"/>
      <c r="B291" s="18"/>
      <c r="C291" s="18"/>
      <c r="D291" s="276"/>
      <c r="E291" s="18"/>
      <c r="F291" s="276"/>
    </row>
    <row r="292" spans="1:6" hidden="1" x14ac:dyDescent="0.25">
      <c r="A292" s="82"/>
      <c r="B292" s="18"/>
      <c r="C292" s="18"/>
      <c r="D292" s="276"/>
      <c r="E292" s="18"/>
      <c r="F292" s="276"/>
    </row>
    <row r="293" spans="1:6" hidden="1" x14ac:dyDescent="0.25">
      <c r="A293" s="82"/>
      <c r="B293" s="18"/>
      <c r="C293" s="18"/>
      <c r="D293" s="276"/>
      <c r="E293" s="18"/>
      <c r="F293" s="276"/>
    </row>
    <row r="294" spans="1:6" hidden="1" x14ac:dyDescent="0.25">
      <c r="A294" s="82"/>
      <c r="B294" s="18"/>
      <c r="C294" s="18"/>
      <c r="D294" s="276"/>
      <c r="E294" s="18"/>
      <c r="F294" s="276"/>
    </row>
    <row r="295" spans="1:6" hidden="1" x14ac:dyDescent="0.25">
      <c r="A295" s="82"/>
      <c r="B295" s="18"/>
      <c r="C295" s="18"/>
      <c r="D295" s="276"/>
      <c r="E295" s="18"/>
      <c r="F295" s="276"/>
    </row>
    <row r="296" spans="1:6" hidden="1" x14ac:dyDescent="0.25">
      <c r="A296" s="82"/>
      <c r="B296" s="18"/>
      <c r="C296" s="18"/>
      <c r="D296" s="276"/>
      <c r="E296" s="18"/>
      <c r="F296" s="276"/>
    </row>
    <row r="297" spans="1:6" ht="21" x14ac:dyDescent="0.35">
      <c r="A297" s="434" t="s">
        <v>1837</v>
      </c>
      <c r="B297" s="437" t="s">
        <v>2262</v>
      </c>
      <c r="C297" s="435"/>
      <c r="D297" s="436"/>
      <c r="E297" s="435"/>
      <c r="F297" s="436">
        <f>SUM(F298:F336)</f>
        <v>0</v>
      </c>
    </row>
    <row r="298" spans="1:6" hidden="1" x14ac:dyDescent="0.25">
      <c r="A298" s="18"/>
      <c r="B298" s="18"/>
      <c r="C298" s="18"/>
      <c r="D298" s="276"/>
      <c r="E298" s="276"/>
      <c r="F298" s="276"/>
    </row>
    <row r="299" spans="1:6" hidden="1" x14ac:dyDescent="0.25">
      <c r="A299" s="18"/>
      <c r="B299" s="18"/>
      <c r="C299" s="18"/>
      <c r="D299" s="276"/>
      <c r="E299" s="276"/>
      <c r="F299" s="276"/>
    </row>
    <row r="300" spans="1:6" hidden="1" x14ac:dyDescent="0.25">
      <c r="A300" s="18"/>
      <c r="B300" s="18"/>
      <c r="C300" s="18"/>
      <c r="D300" s="276"/>
      <c r="E300" s="276"/>
      <c r="F300" s="276"/>
    </row>
    <row r="301" spans="1:6" hidden="1" x14ac:dyDescent="0.25">
      <c r="A301" s="18"/>
      <c r="B301" s="18"/>
      <c r="C301" s="18"/>
      <c r="D301" s="276"/>
      <c r="E301" s="276"/>
      <c r="F301" s="276"/>
    </row>
    <row r="302" spans="1:6" hidden="1" x14ac:dyDescent="0.25">
      <c r="A302" s="18"/>
      <c r="B302" s="18"/>
      <c r="C302" s="18"/>
      <c r="D302" s="276"/>
      <c r="E302" s="276"/>
      <c r="F302" s="276"/>
    </row>
    <row r="303" spans="1:6" hidden="1" x14ac:dyDescent="0.25">
      <c r="A303" s="18"/>
      <c r="B303" s="18"/>
      <c r="C303" s="18"/>
      <c r="D303" s="276"/>
      <c r="E303" s="276"/>
      <c r="F303" s="276"/>
    </row>
    <row r="304" spans="1:6" hidden="1" x14ac:dyDescent="0.25">
      <c r="A304" s="18"/>
      <c r="B304" s="18"/>
      <c r="C304" s="18"/>
      <c r="D304" s="276"/>
      <c r="E304" s="276"/>
      <c r="F304" s="276"/>
    </row>
    <row r="305" spans="1:6" hidden="1" x14ac:dyDescent="0.25">
      <c r="A305" s="18"/>
      <c r="B305" s="18"/>
      <c r="C305" s="18"/>
      <c r="D305" s="276"/>
      <c r="E305" s="276"/>
      <c r="F305" s="276"/>
    </row>
    <row r="306" spans="1:6" hidden="1" x14ac:dyDescent="0.25">
      <c r="A306" s="18"/>
      <c r="B306" s="18"/>
      <c r="C306" s="18"/>
      <c r="D306" s="276"/>
      <c r="E306" s="276"/>
      <c r="F306" s="276"/>
    </row>
    <row r="307" spans="1:6" hidden="1" x14ac:dyDescent="0.25">
      <c r="A307" s="18"/>
      <c r="B307" s="18"/>
      <c r="C307" s="18"/>
      <c r="D307" s="276"/>
      <c r="E307" s="276"/>
      <c r="F307" s="276"/>
    </row>
    <row r="308" spans="1:6" hidden="1" x14ac:dyDescent="0.25">
      <c r="A308" s="18"/>
      <c r="B308" s="18"/>
      <c r="C308" s="18"/>
      <c r="D308" s="276"/>
      <c r="E308" s="276"/>
      <c r="F308" s="276"/>
    </row>
    <row r="309" spans="1:6" hidden="1" x14ac:dyDescent="0.25">
      <c r="A309" s="18"/>
      <c r="B309" s="18"/>
      <c r="C309" s="18"/>
      <c r="D309" s="276"/>
      <c r="E309" s="276"/>
      <c r="F309" s="276"/>
    </row>
    <row r="310" spans="1:6" hidden="1" x14ac:dyDescent="0.25">
      <c r="A310" s="18"/>
      <c r="B310" s="18"/>
      <c r="C310" s="18"/>
      <c r="D310" s="276"/>
      <c r="E310" s="276"/>
      <c r="F310" s="276"/>
    </row>
    <row r="311" spans="1:6" hidden="1" x14ac:dyDescent="0.25">
      <c r="A311" s="18"/>
      <c r="B311" s="18"/>
      <c r="C311" s="18"/>
      <c r="D311" s="276"/>
      <c r="E311" s="276"/>
      <c r="F311" s="276"/>
    </row>
    <row r="312" spans="1:6" hidden="1" x14ac:dyDescent="0.25">
      <c r="A312" s="18"/>
      <c r="B312" s="18"/>
      <c r="C312" s="18"/>
      <c r="D312" s="276"/>
      <c r="E312" s="276"/>
      <c r="F312" s="276"/>
    </row>
    <row r="313" spans="1:6" hidden="1" x14ac:dyDescent="0.25">
      <c r="A313" s="18"/>
      <c r="B313" s="18"/>
      <c r="C313" s="18"/>
      <c r="D313" s="276"/>
      <c r="E313" s="276"/>
      <c r="F313" s="276"/>
    </row>
    <row r="314" spans="1:6" hidden="1" x14ac:dyDescent="0.25">
      <c r="A314" s="18"/>
      <c r="B314" s="18"/>
      <c r="C314" s="18"/>
      <c r="D314" s="276"/>
      <c r="E314" s="276"/>
      <c r="F314" s="276"/>
    </row>
    <row r="315" spans="1:6" hidden="1" x14ac:dyDescent="0.25">
      <c r="A315" s="18"/>
      <c r="B315" s="18"/>
      <c r="C315" s="18"/>
      <c r="D315" s="276"/>
      <c r="E315" s="276"/>
      <c r="F315" s="276"/>
    </row>
    <row r="316" spans="1:6" hidden="1" x14ac:dyDescent="0.25">
      <c r="A316" s="18"/>
      <c r="B316" s="18"/>
      <c r="C316" s="18"/>
      <c r="D316" s="276"/>
      <c r="E316" s="276"/>
      <c r="F316" s="276"/>
    </row>
    <row r="317" spans="1:6" hidden="1" x14ac:dyDescent="0.25">
      <c r="A317" s="18"/>
      <c r="B317" s="18"/>
      <c r="C317" s="18"/>
      <c r="D317" s="276"/>
      <c r="E317" s="276"/>
      <c r="F317" s="276"/>
    </row>
    <row r="318" spans="1:6" hidden="1" x14ac:dyDescent="0.25">
      <c r="A318" s="18"/>
      <c r="B318" s="18"/>
      <c r="C318" s="18"/>
      <c r="D318" s="276"/>
      <c r="E318" s="276"/>
      <c r="F318" s="276"/>
    </row>
    <row r="319" spans="1:6" hidden="1" x14ac:dyDescent="0.25">
      <c r="A319" s="18"/>
      <c r="B319" s="18"/>
      <c r="C319" s="18"/>
      <c r="D319" s="276"/>
      <c r="E319" s="276"/>
      <c r="F319" s="276"/>
    </row>
    <row r="320" spans="1:6" hidden="1" x14ac:dyDescent="0.25">
      <c r="A320" s="18"/>
      <c r="B320" s="18"/>
      <c r="C320" s="18"/>
      <c r="D320" s="276"/>
      <c r="E320" s="276"/>
      <c r="F320" s="276"/>
    </row>
    <row r="321" spans="1:6" hidden="1" x14ac:dyDescent="0.25">
      <c r="A321" s="18"/>
      <c r="B321" s="18"/>
      <c r="C321" s="18"/>
      <c r="D321" s="276"/>
      <c r="E321" s="276"/>
      <c r="F321" s="276"/>
    </row>
    <row r="322" spans="1:6" hidden="1" x14ac:dyDescent="0.25">
      <c r="A322" s="18"/>
      <c r="B322" s="18"/>
      <c r="C322" s="18"/>
      <c r="D322" s="276"/>
      <c r="E322" s="276"/>
      <c r="F322" s="276"/>
    </row>
    <row r="323" spans="1:6" hidden="1" x14ac:dyDescent="0.25">
      <c r="A323" s="18"/>
      <c r="B323" s="18"/>
      <c r="C323" s="18"/>
      <c r="D323" s="276"/>
      <c r="E323" s="276"/>
      <c r="F323" s="276"/>
    </row>
    <row r="324" spans="1:6" hidden="1" x14ac:dyDescent="0.25">
      <c r="A324" s="18"/>
      <c r="B324" s="18"/>
      <c r="C324" s="18"/>
      <c r="D324" s="276"/>
      <c r="E324" s="276"/>
      <c r="F324" s="276"/>
    </row>
    <row r="325" spans="1:6" hidden="1" x14ac:dyDescent="0.25">
      <c r="A325" s="18"/>
      <c r="B325" s="18"/>
      <c r="C325" s="18"/>
      <c r="D325" s="276"/>
      <c r="E325" s="276"/>
      <c r="F325" s="276"/>
    </row>
    <row r="326" spans="1:6" hidden="1" x14ac:dyDescent="0.25">
      <c r="A326" s="18"/>
      <c r="B326" s="18"/>
      <c r="C326" s="18"/>
      <c r="D326" s="276"/>
      <c r="E326" s="276"/>
      <c r="F326" s="276"/>
    </row>
    <row r="327" spans="1:6" hidden="1" x14ac:dyDescent="0.25">
      <c r="A327" s="18"/>
      <c r="B327" s="18"/>
      <c r="C327" s="18"/>
      <c r="D327" s="276"/>
      <c r="E327" s="276"/>
      <c r="F327" s="276"/>
    </row>
    <row r="328" spans="1:6" hidden="1" x14ac:dyDescent="0.25">
      <c r="A328" s="18"/>
      <c r="B328" s="18"/>
      <c r="C328" s="18"/>
      <c r="D328" s="276"/>
      <c r="E328" s="276"/>
      <c r="F328" s="276"/>
    </row>
    <row r="329" spans="1:6" hidden="1" x14ac:dyDescent="0.25">
      <c r="A329" s="18"/>
      <c r="B329" s="18"/>
      <c r="C329" s="18"/>
      <c r="D329" s="276"/>
      <c r="E329" s="276"/>
      <c r="F329" s="276"/>
    </row>
    <row r="330" spans="1:6" hidden="1" x14ac:dyDescent="0.25">
      <c r="A330" s="18"/>
      <c r="B330" s="18"/>
      <c r="C330" s="18"/>
      <c r="D330" s="276"/>
      <c r="E330" s="276"/>
      <c r="F330" s="276"/>
    </row>
    <row r="331" spans="1:6" hidden="1" x14ac:dyDescent="0.25">
      <c r="A331" s="18"/>
      <c r="B331" s="18"/>
      <c r="C331" s="18"/>
      <c r="D331" s="276"/>
      <c r="E331" s="276"/>
      <c r="F331" s="276"/>
    </row>
    <row r="332" spans="1:6" hidden="1" x14ac:dyDescent="0.25">
      <c r="A332" s="18"/>
      <c r="B332" s="18"/>
      <c r="C332" s="18"/>
      <c r="D332" s="276"/>
      <c r="E332" s="276"/>
      <c r="F332" s="276"/>
    </row>
    <row r="333" spans="1:6" hidden="1" x14ac:dyDescent="0.25">
      <c r="A333" s="18"/>
      <c r="B333" s="18"/>
      <c r="C333" s="18"/>
      <c r="D333" s="276"/>
      <c r="E333" s="276"/>
      <c r="F333" s="276"/>
    </row>
    <row r="334" spans="1:6" hidden="1" x14ac:dyDescent="0.25">
      <c r="A334" s="18"/>
      <c r="B334" s="18"/>
      <c r="C334" s="18"/>
      <c r="D334" s="276"/>
      <c r="E334" s="276"/>
      <c r="F334" s="276"/>
    </row>
    <row r="335" spans="1:6" hidden="1" x14ac:dyDescent="0.25">
      <c r="A335" s="18"/>
      <c r="B335" s="18"/>
      <c r="C335" s="18"/>
      <c r="D335" s="276"/>
      <c r="E335" s="276"/>
      <c r="F335" s="276"/>
    </row>
    <row r="336" spans="1:6" hidden="1" x14ac:dyDescent="0.25">
      <c r="A336" s="18"/>
      <c r="B336" s="18"/>
      <c r="C336" s="18"/>
      <c r="D336" s="276"/>
      <c r="E336" s="276"/>
      <c r="F336" s="276"/>
    </row>
    <row r="337" spans="1:6" ht="18.75" x14ac:dyDescent="0.3">
      <c r="A337" s="83" t="s">
        <v>1837</v>
      </c>
      <c r="B337" s="153" t="s">
        <v>2078</v>
      </c>
      <c r="F337" s="56">
        <f>SUM(F338:F389)</f>
        <v>28467.167109133123</v>
      </c>
    </row>
    <row r="338" spans="1:6" hidden="1" x14ac:dyDescent="0.25">
      <c r="A338" s="82" t="s">
        <v>2094</v>
      </c>
      <c r="B338" s="18" t="s">
        <v>2094</v>
      </c>
      <c r="C338" s="18" t="s">
        <v>2094</v>
      </c>
      <c r="D338" s="276" t="s">
        <v>2094</v>
      </c>
      <c r="E338" s="276" t="s">
        <v>2094</v>
      </c>
      <c r="F338" s="276" t="s">
        <v>2094</v>
      </c>
    </row>
    <row r="339" spans="1:6" hidden="1" x14ac:dyDescent="0.25">
      <c r="A339" s="82" t="s">
        <v>2094</v>
      </c>
      <c r="B339" s="18" t="s">
        <v>2094</v>
      </c>
      <c r="C339" s="18" t="s">
        <v>2094</v>
      </c>
      <c r="D339" s="276" t="s">
        <v>2094</v>
      </c>
      <c r="E339" s="276" t="s">
        <v>2094</v>
      </c>
      <c r="F339" s="276" t="s">
        <v>2094</v>
      </c>
    </row>
    <row r="340" spans="1:6" hidden="1" x14ac:dyDescent="0.25">
      <c r="A340" s="82" t="s">
        <v>2094</v>
      </c>
      <c r="B340" s="18" t="s">
        <v>2094</v>
      </c>
      <c r="C340" s="18" t="s">
        <v>2094</v>
      </c>
      <c r="D340" s="276" t="s">
        <v>2094</v>
      </c>
      <c r="E340" s="276" t="s">
        <v>2094</v>
      </c>
      <c r="F340" s="276" t="s">
        <v>2094</v>
      </c>
    </row>
    <row r="341" spans="1:6" hidden="1" x14ac:dyDescent="0.25">
      <c r="A341" s="82" t="s">
        <v>2094</v>
      </c>
      <c r="B341" s="18" t="s">
        <v>2094</v>
      </c>
      <c r="C341" s="18" t="s">
        <v>2094</v>
      </c>
      <c r="D341" s="276" t="s">
        <v>2094</v>
      </c>
      <c r="E341" s="276" t="s">
        <v>2094</v>
      </c>
      <c r="F341" s="276" t="s">
        <v>2094</v>
      </c>
    </row>
    <row r="342" spans="1:6" x14ac:dyDescent="0.25">
      <c r="A342" s="82">
        <v>3562185</v>
      </c>
      <c r="B342" s="18" t="s">
        <v>2074</v>
      </c>
      <c r="C342" s="18">
        <v>1</v>
      </c>
      <c r="D342" s="276">
        <v>19020.867109133123</v>
      </c>
      <c r="E342" s="276">
        <v>1</v>
      </c>
      <c r="F342" s="276">
        <v>19020.867109133123</v>
      </c>
    </row>
    <row r="343" spans="1:6" hidden="1" x14ac:dyDescent="0.25">
      <c r="A343" s="82" t="s">
        <v>2094</v>
      </c>
      <c r="B343" s="18" t="s">
        <v>2094</v>
      </c>
      <c r="C343" s="18" t="s">
        <v>2094</v>
      </c>
      <c r="D343" s="276" t="s">
        <v>2094</v>
      </c>
      <c r="E343" s="276" t="s">
        <v>2094</v>
      </c>
      <c r="F343" s="276" t="s">
        <v>2094</v>
      </c>
    </row>
    <row r="344" spans="1:6" hidden="1" x14ac:dyDescent="0.25">
      <c r="A344" s="82" t="s">
        <v>2094</v>
      </c>
      <c r="B344" s="18" t="s">
        <v>2094</v>
      </c>
      <c r="C344" s="18" t="s">
        <v>2094</v>
      </c>
      <c r="D344" s="276" t="s">
        <v>2094</v>
      </c>
      <c r="E344" s="276" t="s">
        <v>2094</v>
      </c>
      <c r="F344" s="276" t="s">
        <v>2094</v>
      </c>
    </row>
    <row r="345" spans="1:6" hidden="1" x14ac:dyDescent="0.25">
      <c r="A345" s="82"/>
      <c r="B345" s="18"/>
      <c r="C345" s="18"/>
      <c r="D345" s="276"/>
      <c r="E345" s="276"/>
      <c r="F345" s="276"/>
    </row>
    <row r="346" spans="1:6" hidden="1" x14ac:dyDescent="0.25">
      <c r="A346" s="82"/>
      <c r="B346" s="18"/>
      <c r="C346" s="18"/>
      <c r="D346" s="276"/>
      <c r="E346" s="276"/>
      <c r="F346" s="276"/>
    </row>
    <row r="347" spans="1:6" hidden="1" x14ac:dyDescent="0.25">
      <c r="A347" s="82"/>
      <c r="B347" s="18"/>
      <c r="C347" s="18"/>
      <c r="D347" s="276"/>
      <c r="E347" s="276"/>
      <c r="F347" s="276"/>
    </row>
    <row r="348" spans="1:6" hidden="1" x14ac:dyDescent="0.25">
      <c r="A348" s="82"/>
      <c r="B348" s="18"/>
      <c r="C348" s="18"/>
      <c r="D348" s="276"/>
      <c r="E348" s="276"/>
      <c r="F348" s="276"/>
    </row>
    <row r="349" spans="1:6" hidden="1" x14ac:dyDescent="0.25">
      <c r="A349" s="82"/>
      <c r="B349" s="18"/>
      <c r="C349" s="18"/>
      <c r="D349" s="276"/>
      <c r="E349" s="276"/>
      <c r="F349" s="276"/>
    </row>
    <row r="350" spans="1:6" x14ac:dyDescent="0.25">
      <c r="A350" s="82">
        <v>3560722</v>
      </c>
      <c r="B350" s="18" t="s">
        <v>2042</v>
      </c>
      <c r="C350" s="18">
        <v>1</v>
      </c>
      <c r="D350" s="276">
        <v>8941.36</v>
      </c>
      <c r="E350" s="276">
        <v>1</v>
      </c>
      <c r="F350" s="276">
        <v>8941.36</v>
      </c>
    </row>
    <row r="351" spans="1:6" x14ac:dyDescent="0.25">
      <c r="A351" s="82">
        <v>3559219</v>
      </c>
      <c r="B351" s="18" t="s">
        <v>2043</v>
      </c>
      <c r="C351" s="18">
        <v>1</v>
      </c>
      <c r="D351" s="276">
        <v>0</v>
      </c>
      <c r="E351" s="276">
        <v>2</v>
      </c>
      <c r="F351" s="276">
        <v>0</v>
      </c>
    </row>
    <row r="352" spans="1:6" x14ac:dyDescent="0.25">
      <c r="A352" s="82">
        <v>3559221</v>
      </c>
      <c r="B352" s="18" t="s">
        <v>1612</v>
      </c>
      <c r="C352" s="18">
        <v>1</v>
      </c>
      <c r="D352" s="276">
        <v>0</v>
      </c>
      <c r="E352" s="276">
        <v>1</v>
      </c>
      <c r="F352" s="276">
        <v>0</v>
      </c>
    </row>
    <row r="353" spans="1:6" x14ac:dyDescent="0.25">
      <c r="A353" s="82">
        <v>8581481</v>
      </c>
      <c r="B353" s="18" t="s">
        <v>2044</v>
      </c>
      <c r="C353" s="18">
        <v>1</v>
      </c>
      <c r="D353" s="276">
        <v>0</v>
      </c>
      <c r="E353" s="276">
        <v>4</v>
      </c>
      <c r="F353" s="276">
        <v>0</v>
      </c>
    </row>
    <row r="354" spans="1:6" x14ac:dyDescent="0.25">
      <c r="A354" s="82">
        <v>3559220</v>
      </c>
      <c r="B354" s="18" t="s">
        <v>2045</v>
      </c>
      <c r="C354" s="18">
        <v>1</v>
      </c>
      <c r="D354" s="276">
        <v>0</v>
      </c>
      <c r="E354" s="276">
        <v>4</v>
      </c>
      <c r="F354" s="276">
        <v>0</v>
      </c>
    </row>
    <row r="355" spans="1:6" x14ac:dyDescent="0.25">
      <c r="A355" s="82">
        <v>3559227</v>
      </c>
      <c r="B355" s="18" t="s">
        <v>2046</v>
      </c>
      <c r="C355" s="18">
        <v>1</v>
      </c>
      <c r="D355" s="276">
        <v>0</v>
      </c>
      <c r="E355" s="276">
        <v>2</v>
      </c>
      <c r="F355" s="276">
        <v>0</v>
      </c>
    </row>
    <row r="356" spans="1:6" x14ac:dyDescent="0.25">
      <c r="A356" s="82">
        <v>3558754</v>
      </c>
      <c r="B356" s="18" t="s">
        <v>1608</v>
      </c>
      <c r="C356" s="18">
        <v>1</v>
      </c>
      <c r="D356" s="276">
        <v>261.93</v>
      </c>
      <c r="E356" s="276">
        <v>1</v>
      </c>
      <c r="F356" s="276">
        <v>261.93</v>
      </c>
    </row>
    <row r="357" spans="1:6" x14ac:dyDescent="0.25">
      <c r="A357" s="82">
        <v>3559265</v>
      </c>
      <c r="B357" s="18" t="s">
        <v>1614</v>
      </c>
      <c r="C357" s="18">
        <v>1</v>
      </c>
      <c r="D357" s="276">
        <v>243.01</v>
      </c>
      <c r="E357" s="276">
        <v>1</v>
      </c>
      <c r="F357" s="276">
        <v>243.01</v>
      </c>
    </row>
    <row r="358" spans="1:6" x14ac:dyDescent="0.25">
      <c r="A358" s="82">
        <v>3558092</v>
      </c>
      <c r="B358" s="18" t="s">
        <v>1601</v>
      </c>
      <c r="C358" s="18">
        <v>1</v>
      </c>
      <c r="D358" s="276">
        <v>2.75</v>
      </c>
      <c r="E358" s="276">
        <v>0</v>
      </c>
      <c r="F358" s="276">
        <v>0</v>
      </c>
    </row>
    <row r="359" spans="1:6" hidden="1" x14ac:dyDescent="0.25">
      <c r="A359" s="82"/>
      <c r="B359" s="18"/>
      <c r="C359" s="18"/>
      <c r="D359" s="276"/>
      <c r="E359" s="276"/>
      <c r="F359" s="276"/>
    </row>
    <row r="360" spans="1:6" hidden="1" x14ac:dyDescent="0.25">
      <c r="A360" s="82"/>
      <c r="B360" s="18"/>
      <c r="C360" s="18"/>
      <c r="D360" s="276"/>
      <c r="E360" s="276"/>
      <c r="F360" s="276"/>
    </row>
    <row r="361" spans="1:6" hidden="1" x14ac:dyDescent="0.25">
      <c r="A361" s="82"/>
      <c r="B361" s="18"/>
      <c r="C361" s="18"/>
      <c r="D361" s="276"/>
      <c r="E361" s="276"/>
      <c r="F361" s="276"/>
    </row>
    <row r="362" spans="1:6" hidden="1" x14ac:dyDescent="0.25">
      <c r="A362" s="82"/>
      <c r="B362" s="18"/>
      <c r="C362" s="18"/>
      <c r="D362" s="276"/>
      <c r="E362" s="276"/>
      <c r="F362" s="276"/>
    </row>
    <row r="363" spans="1:6" hidden="1" x14ac:dyDescent="0.25">
      <c r="A363" s="82"/>
      <c r="B363" s="18"/>
      <c r="C363" s="18"/>
      <c r="D363" s="276"/>
      <c r="E363" s="276"/>
      <c r="F363" s="276"/>
    </row>
    <row r="364" spans="1:6" hidden="1" x14ac:dyDescent="0.25">
      <c r="A364" s="82"/>
      <c r="B364" s="18"/>
      <c r="C364" s="18"/>
      <c r="D364" s="276"/>
      <c r="E364" s="276"/>
      <c r="F364" s="276"/>
    </row>
    <row r="365" spans="1:6" hidden="1" x14ac:dyDescent="0.25">
      <c r="A365" s="82"/>
      <c r="B365" s="18"/>
      <c r="C365" s="18"/>
      <c r="D365" s="276"/>
      <c r="E365" s="276"/>
      <c r="F365" s="276"/>
    </row>
    <row r="366" spans="1:6" hidden="1" x14ac:dyDescent="0.25">
      <c r="A366" s="82"/>
      <c r="B366" s="18"/>
      <c r="C366" s="18"/>
      <c r="D366" s="276"/>
      <c r="E366" s="276"/>
      <c r="F366" s="276"/>
    </row>
    <row r="367" spans="1:6" hidden="1" x14ac:dyDescent="0.25">
      <c r="A367" s="82"/>
      <c r="B367" s="18"/>
      <c r="C367" s="18"/>
      <c r="D367" s="276"/>
      <c r="E367" s="276"/>
      <c r="F367" s="276"/>
    </row>
    <row r="368" spans="1:6" hidden="1" x14ac:dyDescent="0.25">
      <c r="A368" s="82"/>
      <c r="B368" s="18"/>
      <c r="C368" s="18"/>
      <c r="D368" s="276"/>
      <c r="E368" s="276"/>
      <c r="F368" s="276"/>
    </row>
    <row r="369" spans="1:6" hidden="1" x14ac:dyDescent="0.25">
      <c r="A369" s="82"/>
      <c r="B369" s="18"/>
      <c r="C369" s="18"/>
      <c r="D369" s="276"/>
      <c r="E369" s="276"/>
      <c r="F369" s="276"/>
    </row>
    <row r="370" spans="1:6" hidden="1" x14ac:dyDescent="0.25">
      <c r="A370" s="82"/>
      <c r="B370" s="18"/>
      <c r="C370" s="18"/>
      <c r="D370" s="276"/>
      <c r="E370" s="276"/>
      <c r="F370" s="276"/>
    </row>
    <row r="371" spans="1:6" hidden="1" x14ac:dyDescent="0.25">
      <c r="A371" s="82"/>
      <c r="B371" s="18"/>
      <c r="C371" s="18"/>
      <c r="D371" s="276"/>
      <c r="E371" s="276"/>
      <c r="F371" s="276"/>
    </row>
    <row r="372" spans="1:6" hidden="1" x14ac:dyDescent="0.25">
      <c r="A372" s="82"/>
      <c r="B372" s="18"/>
      <c r="C372" s="18"/>
      <c r="D372" s="276"/>
      <c r="E372" s="276"/>
      <c r="F372" s="276"/>
    </row>
    <row r="373" spans="1:6" hidden="1" x14ac:dyDescent="0.25">
      <c r="A373" s="82"/>
      <c r="B373" s="18"/>
      <c r="C373" s="18"/>
      <c r="D373" s="276"/>
      <c r="E373" s="276"/>
      <c r="F373" s="276"/>
    </row>
    <row r="374" spans="1:6" hidden="1" x14ac:dyDescent="0.25">
      <c r="A374" s="82"/>
      <c r="B374" s="18"/>
      <c r="C374" s="18"/>
      <c r="D374" s="276"/>
      <c r="E374" s="276"/>
      <c r="F374" s="276"/>
    </row>
    <row r="375" spans="1:6" hidden="1" x14ac:dyDescent="0.25">
      <c r="A375" s="82"/>
      <c r="B375" s="18"/>
      <c r="C375" s="18"/>
      <c r="D375" s="276"/>
      <c r="E375" s="276"/>
      <c r="F375" s="276"/>
    </row>
    <row r="376" spans="1:6" hidden="1" x14ac:dyDescent="0.25">
      <c r="A376" s="82"/>
      <c r="B376" s="18"/>
      <c r="C376" s="18"/>
      <c r="D376" s="276"/>
      <c r="E376" s="276"/>
      <c r="F376" s="276"/>
    </row>
    <row r="377" spans="1:6" hidden="1" x14ac:dyDescent="0.25">
      <c r="A377" s="82"/>
      <c r="B377" s="18"/>
      <c r="C377" s="18"/>
      <c r="D377" s="276"/>
      <c r="E377" s="276"/>
      <c r="F377" s="276"/>
    </row>
    <row r="378" spans="1:6" hidden="1" x14ac:dyDescent="0.25">
      <c r="A378" s="82"/>
      <c r="B378" s="18"/>
      <c r="C378" s="18"/>
      <c r="D378" s="276"/>
      <c r="E378" s="276"/>
      <c r="F378" s="276"/>
    </row>
    <row r="379" spans="1:6" hidden="1" x14ac:dyDescent="0.25">
      <c r="A379" s="82"/>
      <c r="B379" s="18"/>
      <c r="C379" s="18"/>
      <c r="D379" s="276"/>
      <c r="E379" s="276"/>
      <c r="F379" s="276"/>
    </row>
    <row r="380" spans="1:6" hidden="1" x14ac:dyDescent="0.25">
      <c r="A380" s="82"/>
      <c r="B380" s="18"/>
      <c r="C380" s="18"/>
      <c r="D380" s="276"/>
      <c r="E380" s="276"/>
      <c r="F380" s="276"/>
    </row>
    <row r="381" spans="1:6" hidden="1" x14ac:dyDescent="0.25">
      <c r="A381" s="82"/>
      <c r="B381" s="18"/>
      <c r="C381" s="18"/>
      <c r="D381" s="276"/>
      <c r="E381" s="276"/>
      <c r="F381" s="276"/>
    </row>
    <row r="382" spans="1:6" hidden="1" x14ac:dyDescent="0.25">
      <c r="A382" s="82"/>
      <c r="B382" s="18"/>
      <c r="C382" s="18"/>
      <c r="D382" s="276"/>
      <c r="E382" s="276"/>
      <c r="F382" s="276"/>
    </row>
    <row r="383" spans="1:6" hidden="1" x14ac:dyDescent="0.25">
      <c r="A383" s="82"/>
      <c r="B383" s="18"/>
      <c r="C383" s="18"/>
      <c r="D383" s="276"/>
      <c r="E383" s="276"/>
      <c r="F383" s="276"/>
    </row>
    <row r="384" spans="1:6" hidden="1" x14ac:dyDescent="0.25">
      <c r="A384" s="82"/>
      <c r="B384" s="18"/>
      <c r="C384" s="18"/>
      <c r="D384" s="276"/>
      <c r="E384" s="276"/>
      <c r="F384" s="276"/>
    </row>
    <row r="385" spans="1:6" hidden="1" x14ac:dyDescent="0.25">
      <c r="A385" s="82"/>
      <c r="B385" s="18"/>
      <c r="C385" s="18"/>
      <c r="D385" s="276"/>
      <c r="E385" s="276"/>
      <c r="F385" s="276"/>
    </row>
    <row r="386" spans="1:6" hidden="1" x14ac:dyDescent="0.25">
      <c r="A386" s="82"/>
      <c r="B386" s="18"/>
      <c r="C386" s="18"/>
      <c r="D386" s="276"/>
      <c r="E386" s="276"/>
      <c r="F386" s="276"/>
    </row>
    <row r="387" spans="1:6" hidden="1" x14ac:dyDescent="0.25">
      <c r="A387" s="82"/>
      <c r="B387" s="18"/>
      <c r="C387" s="18"/>
      <c r="D387" s="276"/>
      <c r="E387" s="276"/>
      <c r="F387" s="276"/>
    </row>
    <row r="388" spans="1:6" hidden="1" x14ac:dyDescent="0.25">
      <c r="A388" s="82"/>
      <c r="B388" s="18"/>
      <c r="C388" s="18"/>
      <c r="D388" s="276"/>
      <c r="E388" s="276"/>
      <c r="F388" s="276"/>
    </row>
    <row r="389" spans="1:6" hidden="1" x14ac:dyDescent="0.25">
      <c r="A389" s="82"/>
      <c r="B389" s="18"/>
      <c r="C389" s="18"/>
      <c r="D389" s="276"/>
      <c r="E389" s="328"/>
      <c r="F389" s="328"/>
    </row>
    <row r="390" spans="1:6" ht="18.75" x14ac:dyDescent="0.3">
      <c r="A390" s="352" t="s">
        <v>1837</v>
      </c>
      <c r="B390" s="356" t="s">
        <v>2120</v>
      </c>
      <c r="C390" s="80"/>
      <c r="D390" s="353"/>
      <c r="E390" s="353"/>
      <c r="F390" s="353">
        <f>SUM(F391:F420)</f>
        <v>0</v>
      </c>
    </row>
    <row r="391" spans="1:6" hidden="1" x14ac:dyDescent="0.25">
      <c r="A391" s="82"/>
      <c r="B391" s="18"/>
      <c r="C391" s="18"/>
      <c r="D391" s="276"/>
      <c r="E391" s="276"/>
      <c r="F391" s="276"/>
    </row>
    <row r="392" spans="1:6" hidden="1" x14ac:dyDescent="0.25">
      <c r="A392" s="82"/>
      <c r="B392" s="18"/>
      <c r="C392" s="18"/>
      <c r="D392" s="276"/>
      <c r="E392" s="276"/>
      <c r="F392" s="276"/>
    </row>
    <row r="393" spans="1:6" hidden="1" x14ac:dyDescent="0.25">
      <c r="A393" s="82"/>
      <c r="B393" s="18"/>
      <c r="C393" s="18"/>
      <c r="D393" s="276"/>
      <c r="E393" s="276"/>
      <c r="F393" s="276"/>
    </row>
    <row r="394" spans="1:6" hidden="1" x14ac:dyDescent="0.25">
      <c r="A394" s="82"/>
      <c r="B394" s="18"/>
      <c r="C394" s="18"/>
      <c r="D394" s="276"/>
      <c r="E394" s="276"/>
      <c r="F394" s="276"/>
    </row>
    <row r="395" spans="1:6" hidden="1" x14ac:dyDescent="0.25">
      <c r="A395" s="82"/>
      <c r="B395" s="18"/>
      <c r="C395" s="18"/>
      <c r="D395" s="276"/>
      <c r="E395" s="276"/>
      <c r="F395" s="276"/>
    </row>
    <row r="396" spans="1:6" hidden="1" x14ac:dyDescent="0.25">
      <c r="A396" s="82"/>
      <c r="B396" s="18"/>
      <c r="C396" s="18"/>
      <c r="D396" s="276"/>
      <c r="E396" s="276"/>
      <c r="F396" s="276"/>
    </row>
    <row r="397" spans="1:6" hidden="1" x14ac:dyDescent="0.25">
      <c r="A397" s="82"/>
      <c r="B397" s="18"/>
      <c r="C397" s="18"/>
      <c r="D397" s="276"/>
      <c r="E397" s="276"/>
      <c r="F397" s="276"/>
    </row>
    <row r="398" spans="1:6" hidden="1" x14ac:dyDescent="0.25">
      <c r="A398" s="82"/>
      <c r="B398" s="18"/>
      <c r="C398" s="18"/>
      <c r="D398" s="276"/>
      <c r="E398" s="276"/>
      <c r="F398" s="276"/>
    </row>
    <row r="399" spans="1:6" hidden="1" x14ac:dyDescent="0.25">
      <c r="A399" s="82"/>
      <c r="B399" s="18"/>
      <c r="C399" s="18"/>
      <c r="D399" s="276"/>
      <c r="E399" s="276"/>
      <c r="F399" s="276"/>
    </row>
    <row r="400" spans="1:6" hidden="1" x14ac:dyDescent="0.25">
      <c r="A400" s="82"/>
      <c r="B400" s="18"/>
      <c r="C400" s="18"/>
      <c r="D400" s="276"/>
      <c r="E400" s="276"/>
      <c r="F400" s="276"/>
    </row>
    <row r="401" spans="1:6" hidden="1" x14ac:dyDescent="0.25">
      <c r="A401" s="82"/>
      <c r="B401" s="18"/>
      <c r="C401" s="18"/>
      <c r="D401" s="276"/>
      <c r="E401" s="276"/>
      <c r="F401" s="276"/>
    </row>
    <row r="402" spans="1:6" hidden="1" x14ac:dyDescent="0.25">
      <c r="A402" s="82"/>
      <c r="B402" s="18"/>
      <c r="C402" s="18"/>
      <c r="D402" s="276"/>
      <c r="E402" s="276"/>
      <c r="F402" s="276"/>
    </row>
    <row r="403" spans="1:6" hidden="1" x14ac:dyDescent="0.25">
      <c r="A403" s="82"/>
      <c r="B403" s="18"/>
      <c r="C403" s="18"/>
      <c r="D403" s="276"/>
      <c r="E403" s="276"/>
      <c r="F403" s="276"/>
    </row>
    <row r="404" spans="1:6" hidden="1" x14ac:dyDescent="0.25">
      <c r="A404" s="82"/>
      <c r="B404" s="18"/>
      <c r="C404" s="18"/>
      <c r="D404" s="276"/>
      <c r="E404" s="276"/>
      <c r="F404" s="276"/>
    </row>
    <row r="405" spans="1:6" hidden="1" x14ac:dyDescent="0.25">
      <c r="A405" s="82"/>
      <c r="B405" s="18"/>
      <c r="C405" s="18"/>
      <c r="D405" s="276"/>
      <c r="E405" s="276"/>
      <c r="F405" s="276"/>
    </row>
    <row r="406" spans="1:6" hidden="1" x14ac:dyDescent="0.25">
      <c r="A406" s="82"/>
      <c r="B406" s="18"/>
      <c r="C406" s="18"/>
      <c r="D406" s="276"/>
      <c r="E406" s="276"/>
      <c r="F406" s="276"/>
    </row>
    <row r="407" spans="1:6" hidden="1" x14ac:dyDescent="0.25">
      <c r="A407" s="82"/>
      <c r="B407" s="18"/>
      <c r="C407" s="18"/>
      <c r="D407" s="276"/>
      <c r="E407" s="276"/>
      <c r="F407" s="276"/>
    </row>
    <row r="408" spans="1:6" hidden="1" x14ac:dyDescent="0.25">
      <c r="A408" s="82"/>
      <c r="B408" s="18"/>
      <c r="C408" s="18"/>
      <c r="D408" s="276"/>
      <c r="E408" s="276"/>
      <c r="F408" s="276"/>
    </row>
    <row r="409" spans="1:6" hidden="1" x14ac:dyDescent="0.25">
      <c r="A409" s="82"/>
      <c r="B409" s="18"/>
      <c r="C409" s="18"/>
      <c r="D409" s="276"/>
      <c r="E409" s="276"/>
      <c r="F409" s="276"/>
    </row>
    <row r="410" spans="1:6" hidden="1" x14ac:dyDescent="0.25">
      <c r="A410" s="82"/>
      <c r="B410" s="18"/>
      <c r="C410" s="18"/>
      <c r="D410" s="276"/>
      <c r="E410" s="276"/>
      <c r="F410" s="276"/>
    </row>
    <row r="411" spans="1:6" hidden="1" x14ac:dyDescent="0.25">
      <c r="A411" s="82"/>
      <c r="B411" s="18"/>
      <c r="C411" s="18"/>
      <c r="D411" s="276"/>
      <c r="E411" s="276"/>
      <c r="F411" s="276"/>
    </row>
    <row r="412" spans="1:6" hidden="1" x14ac:dyDescent="0.25">
      <c r="A412" s="82"/>
      <c r="B412" s="18"/>
      <c r="C412" s="18"/>
      <c r="D412" s="276"/>
      <c r="E412" s="276"/>
      <c r="F412" s="276"/>
    </row>
    <row r="413" spans="1:6" hidden="1" x14ac:dyDescent="0.25">
      <c r="A413" s="82"/>
      <c r="B413" s="18"/>
      <c r="C413" s="18"/>
      <c r="D413" s="276"/>
      <c r="E413" s="276"/>
      <c r="F413" s="276"/>
    </row>
    <row r="414" spans="1:6" hidden="1" x14ac:dyDescent="0.25">
      <c r="A414" s="82"/>
      <c r="B414" s="18"/>
      <c r="C414" s="18"/>
      <c r="D414" s="276"/>
      <c r="E414" s="276"/>
      <c r="F414" s="276"/>
    </row>
    <row r="415" spans="1:6" hidden="1" x14ac:dyDescent="0.25">
      <c r="A415" s="82"/>
      <c r="B415" s="18"/>
      <c r="C415" s="18"/>
      <c r="D415" s="276"/>
      <c r="E415" s="276"/>
      <c r="F415" s="276"/>
    </row>
    <row r="416" spans="1:6" hidden="1" x14ac:dyDescent="0.25">
      <c r="A416" s="82"/>
      <c r="B416" s="18"/>
      <c r="C416" s="18"/>
      <c r="D416" s="276"/>
      <c r="E416" s="276"/>
      <c r="F416" s="276"/>
    </row>
    <row r="417" spans="1:6" hidden="1" x14ac:dyDescent="0.25">
      <c r="A417" s="82"/>
      <c r="B417" s="18"/>
      <c r="C417" s="18"/>
      <c r="D417" s="276"/>
      <c r="E417" s="276"/>
      <c r="F417" s="276"/>
    </row>
    <row r="418" spans="1:6" hidden="1" x14ac:dyDescent="0.25">
      <c r="A418" s="82"/>
      <c r="B418" s="18"/>
      <c r="C418" s="18"/>
      <c r="D418" s="276"/>
      <c r="E418" s="276"/>
      <c r="F418" s="276"/>
    </row>
    <row r="419" spans="1:6" hidden="1" x14ac:dyDescent="0.25">
      <c r="A419" s="82"/>
      <c r="B419" s="18"/>
      <c r="C419" s="18"/>
      <c r="D419" s="276"/>
      <c r="E419" s="276"/>
      <c r="F419" s="276"/>
    </row>
    <row r="420" spans="1:6" hidden="1" x14ac:dyDescent="0.25">
      <c r="A420" s="82"/>
      <c r="B420" s="18"/>
      <c r="C420" s="18"/>
      <c r="D420" s="276"/>
      <c r="E420" s="276"/>
      <c r="F420" s="276"/>
    </row>
    <row r="421" spans="1:6" ht="26.25" x14ac:dyDescent="0.4">
      <c r="A421" s="352" t="s">
        <v>1837</v>
      </c>
      <c r="B421" s="381" t="s">
        <v>2151</v>
      </c>
      <c r="C421" s="80"/>
      <c r="D421" s="353"/>
      <c r="E421" s="353"/>
      <c r="F421" s="353">
        <f>SUM(F422:F511)</f>
        <v>0</v>
      </c>
    </row>
    <row r="422" spans="1:6" hidden="1" x14ac:dyDescent="0.25">
      <c r="A422" s="82"/>
      <c r="B422" s="18"/>
      <c r="C422" s="18"/>
      <c r="D422" s="276"/>
      <c r="E422" s="276"/>
      <c r="F422" s="276"/>
    </row>
    <row r="423" spans="1:6" hidden="1" x14ac:dyDescent="0.25">
      <c r="A423" s="82"/>
      <c r="B423" s="18"/>
      <c r="C423" s="18"/>
      <c r="D423" s="276"/>
      <c r="E423" s="276"/>
      <c r="F423" s="276"/>
    </row>
    <row r="424" spans="1:6" hidden="1" x14ac:dyDescent="0.25">
      <c r="A424" s="82"/>
      <c r="B424" s="18"/>
      <c r="C424" s="18"/>
      <c r="D424" s="276"/>
      <c r="E424" s="276"/>
      <c r="F424" s="276"/>
    </row>
    <row r="425" spans="1:6" hidden="1" x14ac:dyDescent="0.25">
      <c r="A425" s="82"/>
      <c r="B425" s="18"/>
      <c r="C425" s="18"/>
      <c r="D425" s="276"/>
      <c r="E425" s="276"/>
      <c r="F425" s="276"/>
    </row>
    <row r="426" spans="1:6" hidden="1" x14ac:dyDescent="0.25">
      <c r="A426" s="82"/>
      <c r="B426" s="18"/>
      <c r="C426" s="18"/>
      <c r="D426" s="276"/>
      <c r="E426" s="276"/>
      <c r="F426" s="276"/>
    </row>
    <row r="427" spans="1:6" hidden="1" x14ac:dyDescent="0.25">
      <c r="A427" s="82"/>
      <c r="B427" s="18"/>
      <c r="C427" s="18"/>
      <c r="D427" s="276"/>
      <c r="E427" s="276"/>
      <c r="F427" s="276"/>
    </row>
    <row r="428" spans="1:6" hidden="1" x14ac:dyDescent="0.25">
      <c r="A428" s="82"/>
      <c r="B428" s="18"/>
      <c r="C428" s="18"/>
      <c r="D428" s="276"/>
      <c r="E428" s="276"/>
      <c r="F428" s="276"/>
    </row>
    <row r="429" spans="1:6" hidden="1" x14ac:dyDescent="0.25">
      <c r="A429" s="82"/>
      <c r="B429" s="18"/>
      <c r="C429" s="18"/>
      <c r="D429" s="276"/>
      <c r="E429" s="276"/>
      <c r="F429" s="276"/>
    </row>
    <row r="430" spans="1:6" hidden="1" x14ac:dyDescent="0.25">
      <c r="A430" s="82"/>
      <c r="B430" s="18"/>
      <c r="C430" s="18"/>
      <c r="D430" s="276"/>
      <c r="E430" s="276"/>
      <c r="F430" s="276"/>
    </row>
    <row r="431" spans="1:6" hidden="1" x14ac:dyDescent="0.25">
      <c r="A431" s="82"/>
      <c r="B431" s="18"/>
      <c r="C431" s="18"/>
      <c r="D431" s="276"/>
      <c r="E431" s="276"/>
      <c r="F431" s="276"/>
    </row>
    <row r="432" spans="1:6" hidden="1" x14ac:dyDescent="0.25">
      <c r="A432" s="82"/>
      <c r="B432" s="18"/>
      <c r="C432" s="18"/>
      <c r="D432" s="276"/>
      <c r="E432" s="276"/>
      <c r="F432" s="276"/>
    </row>
    <row r="433" spans="1:6" hidden="1" x14ac:dyDescent="0.25">
      <c r="A433" s="82"/>
      <c r="B433" s="18"/>
      <c r="C433" s="18"/>
      <c r="D433" s="276"/>
      <c r="E433" s="276"/>
      <c r="F433" s="276"/>
    </row>
    <row r="434" spans="1:6" hidden="1" x14ac:dyDescent="0.25">
      <c r="A434" s="82"/>
      <c r="B434" s="18"/>
      <c r="C434" s="18"/>
      <c r="D434" s="276"/>
      <c r="E434" s="276"/>
      <c r="F434" s="276"/>
    </row>
    <row r="435" spans="1:6" hidden="1" x14ac:dyDescent="0.25">
      <c r="A435" s="82"/>
      <c r="B435" s="18"/>
      <c r="C435" s="18"/>
      <c r="D435" s="276"/>
      <c r="E435" s="276"/>
      <c r="F435" s="276"/>
    </row>
    <row r="436" spans="1:6" hidden="1" x14ac:dyDescent="0.25">
      <c r="A436" s="82"/>
      <c r="B436" s="18"/>
      <c r="C436" s="18"/>
      <c r="D436" s="276"/>
      <c r="E436" s="276"/>
      <c r="F436" s="276"/>
    </row>
    <row r="437" spans="1:6" hidden="1" x14ac:dyDescent="0.25">
      <c r="A437" s="82"/>
      <c r="B437" s="18"/>
      <c r="C437" s="18"/>
      <c r="D437" s="276"/>
      <c r="E437" s="276"/>
      <c r="F437" s="276"/>
    </row>
    <row r="438" spans="1:6" hidden="1" x14ac:dyDescent="0.25">
      <c r="A438" s="82"/>
      <c r="B438" s="18"/>
      <c r="C438" s="18"/>
      <c r="D438" s="276"/>
      <c r="E438" s="276"/>
      <c r="F438" s="276"/>
    </row>
    <row r="439" spans="1:6" hidden="1" x14ac:dyDescent="0.25">
      <c r="A439" s="82"/>
      <c r="B439" s="18"/>
      <c r="C439" s="18"/>
      <c r="D439" s="276"/>
      <c r="E439" s="276"/>
      <c r="F439" s="276"/>
    </row>
    <row r="440" spans="1:6" hidden="1" x14ac:dyDescent="0.25">
      <c r="A440" s="82"/>
      <c r="B440" s="18"/>
      <c r="C440" s="18"/>
      <c r="D440" s="276"/>
      <c r="E440" s="276"/>
      <c r="F440" s="276"/>
    </row>
    <row r="441" spans="1:6" hidden="1" x14ac:dyDescent="0.25">
      <c r="A441" s="82"/>
      <c r="B441" s="18"/>
      <c r="C441" s="18"/>
      <c r="D441" s="276"/>
      <c r="E441" s="276"/>
      <c r="F441" s="276"/>
    </row>
    <row r="442" spans="1:6" hidden="1" x14ac:dyDescent="0.25">
      <c r="A442" s="82"/>
      <c r="B442" s="18"/>
      <c r="C442" s="18"/>
      <c r="D442" s="276"/>
      <c r="E442" s="276"/>
      <c r="F442" s="276"/>
    </row>
    <row r="443" spans="1:6" hidden="1" x14ac:dyDescent="0.25">
      <c r="A443" s="82"/>
      <c r="B443" s="18"/>
      <c r="C443" s="18"/>
      <c r="D443" s="276"/>
      <c r="E443" s="276"/>
      <c r="F443" s="276"/>
    </row>
    <row r="444" spans="1:6" hidden="1" x14ac:dyDescent="0.25">
      <c r="A444" s="82"/>
      <c r="B444" s="18"/>
      <c r="C444" s="18"/>
      <c r="D444" s="276"/>
      <c r="E444" s="276"/>
      <c r="F444" s="276"/>
    </row>
    <row r="445" spans="1:6" hidden="1" x14ac:dyDescent="0.25">
      <c r="A445" s="82"/>
      <c r="B445" s="18"/>
      <c r="C445" s="18"/>
      <c r="D445" s="276"/>
      <c r="E445" s="276"/>
      <c r="F445" s="276"/>
    </row>
    <row r="446" spans="1:6" hidden="1" x14ac:dyDescent="0.25">
      <c r="A446" s="82"/>
      <c r="B446" s="18"/>
      <c r="C446" s="18"/>
      <c r="D446" s="276"/>
      <c r="E446" s="276"/>
      <c r="F446" s="276"/>
    </row>
    <row r="447" spans="1:6" hidden="1" x14ac:dyDescent="0.25">
      <c r="A447" s="82"/>
      <c r="B447" s="18"/>
      <c r="C447" s="18"/>
      <c r="D447" s="276"/>
      <c r="E447" s="276"/>
      <c r="F447" s="276"/>
    </row>
    <row r="448" spans="1:6" hidden="1" x14ac:dyDescent="0.25">
      <c r="A448" s="82"/>
      <c r="B448" s="18"/>
      <c r="C448" s="18"/>
      <c r="D448" s="276"/>
      <c r="E448" s="276"/>
      <c r="F448" s="276"/>
    </row>
    <row r="449" spans="1:6" hidden="1" x14ac:dyDescent="0.25">
      <c r="A449" s="82"/>
      <c r="B449" s="18"/>
      <c r="C449" s="18"/>
      <c r="D449" s="276"/>
      <c r="E449" s="276"/>
      <c r="F449" s="276"/>
    </row>
    <row r="450" spans="1:6" hidden="1" x14ac:dyDescent="0.25">
      <c r="A450" s="82"/>
      <c r="B450" s="18"/>
      <c r="C450" s="18"/>
      <c r="D450" s="276"/>
      <c r="E450" s="276"/>
      <c r="F450" s="276"/>
    </row>
    <row r="451" spans="1:6" hidden="1" x14ac:dyDescent="0.25">
      <c r="A451" s="82"/>
      <c r="B451" s="18"/>
      <c r="C451" s="18"/>
      <c r="D451" s="276"/>
      <c r="E451" s="276"/>
      <c r="F451" s="276"/>
    </row>
    <row r="452" spans="1:6" hidden="1" x14ac:dyDescent="0.25">
      <c r="A452" s="82"/>
      <c r="B452" s="18"/>
      <c r="C452" s="18"/>
      <c r="D452" s="276"/>
      <c r="E452" s="276"/>
      <c r="F452" s="276"/>
    </row>
    <row r="453" spans="1:6" hidden="1" x14ac:dyDescent="0.25">
      <c r="A453" s="82"/>
      <c r="B453" s="18"/>
      <c r="C453" s="18"/>
      <c r="D453" s="276"/>
      <c r="E453" s="276"/>
      <c r="F453" s="276"/>
    </row>
    <row r="454" spans="1:6" hidden="1" x14ac:dyDescent="0.25">
      <c r="A454" s="82"/>
      <c r="B454" s="18"/>
      <c r="C454" s="18"/>
      <c r="D454" s="276"/>
      <c r="E454" s="276"/>
      <c r="F454" s="276"/>
    </row>
    <row r="455" spans="1:6" hidden="1" x14ac:dyDescent="0.25">
      <c r="A455" s="82"/>
      <c r="B455" s="18"/>
      <c r="C455" s="18"/>
      <c r="D455" s="276"/>
      <c r="E455" s="276"/>
      <c r="F455" s="276"/>
    </row>
    <row r="456" spans="1:6" hidden="1" x14ac:dyDescent="0.25">
      <c r="A456" s="82"/>
      <c r="B456" s="18"/>
      <c r="C456" s="18"/>
      <c r="D456" s="276"/>
      <c r="E456" s="276"/>
      <c r="F456" s="276"/>
    </row>
    <row r="457" spans="1:6" hidden="1" x14ac:dyDescent="0.25">
      <c r="A457" s="82"/>
      <c r="B457" s="18"/>
      <c r="C457" s="18"/>
      <c r="D457" s="276"/>
      <c r="E457" s="276"/>
      <c r="F457" s="276"/>
    </row>
    <row r="458" spans="1:6" hidden="1" x14ac:dyDescent="0.25">
      <c r="A458" s="82"/>
      <c r="B458" s="18"/>
      <c r="C458" s="18"/>
      <c r="D458" s="276"/>
      <c r="E458" s="276"/>
      <c r="F458" s="276"/>
    </row>
    <row r="459" spans="1:6" hidden="1" x14ac:dyDescent="0.25">
      <c r="A459" s="82"/>
      <c r="B459" s="18"/>
      <c r="C459" s="18"/>
      <c r="D459" s="276"/>
      <c r="E459" s="276"/>
      <c r="F459" s="276"/>
    </row>
    <row r="460" spans="1:6" hidden="1" x14ac:dyDescent="0.25">
      <c r="A460" s="82"/>
      <c r="B460" s="18"/>
      <c r="C460" s="18"/>
      <c r="D460" s="276"/>
      <c r="E460" s="276"/>
      <c r="F460" s="276"/>
    </row>
    <row r="461" spans="1:6" hidden="1" x14ac:dyDescent="0.25">
      <c r="A461" s="82"/>
      <c r="B461" s="18"/>
      <c r="C461" s="18"/>
      <c r="D461" s="276"/>
      <c r="E461" s="276"/>
      <c r="F461" s="276"/>
    </row>
    <row r="462" spans="1:6" hidden="1" x14ac:dyDescent="0.25">
      <c r="A462" s="82"/>
      <c r="B462" s="18"/>
      <c r="C462" s="18"/>
      <c r="D462" s="276"/>
      <c r="E462" s="276"/>
      <c r="F462" s="276"/>
    </row>
    <row r="463" spans="1:6" hidden="1" x14ac:dyDescent="0.25">
      <c r="A463" s="82"/>
      <c r="B463" s="18"/>
      <c r="C463" s="18"/>
      <c r="D463" s="276"/>
      <c r="E463" s="276"/>
      <c r="F463" s="276"/>
    </row>
    <row r="464" spans="1:6" hidden="1" x14ac:dyDescent="0.25">
      <c r="A464" s="82"/>
      <c r="B464" s="18"/>
      <c r="C464" s="18"/>
      <c r="D464" s="276"/>
      <c r="E464" s="276"/>
      <c r="F464" s="276"/>
    </row>
    <row r="465" spans="1:7" hidden="1" x14ac:dyDescent="0.25">
      <c r="A465" s="82"/>
      <c r="B465" s="18"/>
      <c r="C465" s="18"/>
      <c r="D465" s="276"/>
      <c r="E465" s="276"/>
      <c r="F465" s="276"/>
    </row>
    <row r="466" spans="1:7" hidden="1" x14ac:dyDescent="0.25">
      <c r="A466" s="82"/>
      <c r="B466" s="18"/>
      <c r="C466" s="18"/>
      <c r="D466" s="276"/>
      <c r="E466" s="276"/>
      <c r="F466" s="276"/>
    </row>
    <row r="467" spans="1:7" hidden="1" x14ac:dyDescent="0.25">
      <c r="A467" s="82"/>
      <c r="B467" s="18"/>
      <c r="C467" s="18"/>
      <c r="D467" s="276"/>
      <c r="E467" s="276"/>
      <c r="F467" s="276"/>
    </row>
    <row r="468" spans="1:7" hidden="1" x14ac:dyDescent="0.25">
      <c r="A468" s="82"/>
      <c r="B468" s="18"/>
      <c r="C468" s="18"/>
      <c r="D468" s="276"/>
      <c r="E468" s="276"/>
      <c r="F468" s="276"/>
    </row>
    <row r="469" spans="1:7" hidden="1" x14ac:dyDescent="0.25">
      <c r="A469" s="82"/>
      <c r="B469" s="18"/>
      <c r="C469" s="18"/>
      <c r="D469" s="276"/>
      <c r="E469" s="276"/>
      <c r="F469" s="276"/>
    </row>
    <row r="470" spans="1:7" hidden="1" x14ac:dyDescent="0.25">
      <c r="A470" s="82"/>
      <c r="B470" s="18"/>
      <c r="C470" s="18"/>
      <c r="D470" s="276"/>
      <c r="E470" s="276"/>
      <c r="F470" s="276"/>
      <c r="G470">
        <v>1</v>
      </c>
    </row>
    <row r="471" spans="1:7" hidden="1" x14ac:dyDescent="0.25">
      <c r="A471" s="82" t="s">
        <v>2094</v>
      </c>
      <c r="B471" s="18" t="s">
        <v>2094</v>
      </c>
      <c r="C471" s="18" t="s">
        <v>2094</v>
      </c>
      <c r="D471" s="276" t="s">
        <v>2094</v>
      </c>
      <c r="E471" s="276" t="s">
        <v>2094</v>
      </c>
      <c r="F471" s="276" t="s">
        <v>2094</v>
      </c>
      <c r="G471" t="s">
        <v>2094</v>
      </c>
    </row>
    <row r="472" spans="1:7" hidden="1" x14ac:dyDescent="0.25">
      <c r="A472" s="82" t="s">
        <v>2094</v>
      </c>
      <c r="B472" s="18" t="s">
        <v>2094</v>
      </c>
      <c r="C472" s="18" t="s">
        <v>2094</v>
      </c>
      <c r="D472" s="276" t="s">
        <v>2094</v>
      </c>
      <c r="E472" s="276" t="s">
        <v>2094</v>
      </c>
      <c r="F472" s="276" t="s">
        <v>2094</v>
      </c>
      <c r="G472" t="s">
        <v>2094</v>
      </c>
    </row>
    <row r="473" spans="1:7" hidden="1" x14ac:dyDescent="0.25">
      <c r="A473" s="82" t="s">
        <v>2094</v>
      </c>
      <c r="B473" s="18" t="s">
        <v>2094</v>
      </c>
      <c r="C473" s="18" t="s">
        <v>2094</v>
      </c>
      <c r="D473" s="276" t="s">
        <v>2094</v>
      </c>
      <c r="E473" s="276" t="s">
        <v>2094</v>
      </c>
      <c r="F473" s="276" t="s">
        <v>2094</v>
      </c>
      <c r="G473" t="s">
        <v>2094</v>
      </c>
    </row>
    <row r="474" spans="1:7" hidden="1" x14ac:dyDescent="0.25">
      <c r="A474" s="82"/>
      <c r="B474" s="18" t="s">
        <v>2094</v>
      </c>
      <c r="C474" s="18" t="s">
        <v>2094</v>
      </c>
      <c r="D474" s="276" t="s">
        <v>2094</v>
      </c>
      <c r="E474" s="276" t="s">
        <v>2094</v>
      </c>
      <c r="F474" s="276" t="s">
        <v>2094</v>
      </c>
      <c r="G474" t="s">
        <v>2094</v>
      </c>
    </row>
    <row r="475" spans="1:7" hidden="1" x14ac:dyDescent="0.25">
      <c r="A475" s="82"/>
      <c r="B475" s="18" t="s">
        <v>2094</v>
      </c>
      <c r="C475" s="18" t="s">
        <v>2094</v>
      </c>
      <c r="D475" s="276" t="s">
        <v>2094</v>
      </c>
      <c r="E475" s="276" t="s">
        <v>2094</v>
      </c>
      <c r="F475" s="276" t="s">
        <v>2094</v>
      </c>
      <c r="G475" t="s">
        <v>2094</v>
      </c>
    </row>
    <row r="476" spans="1:7" hidden="1" x14ac:dyDescent="0.25">
      <c r="A476" s="82"/>
      <c r="B476" s="18" t="s">
        <v>2094</v>
      </c>
      <c r="C476" s="18" t="s">
        <v>2094</v>
      </c>
      <c r="D476" s="276" t="s">
        <v>2094</v>
      </c>
      <c r="E476" s="276" t="s">
        <v>2094</v>
      </c>
      <c r="F476" s="276" t="s">
        <v>2094</v>
      </c>
      <c r="G476" t="s">
        <v>2094</v>
      </c>
    </row>
    <row r="477" spans="1:7" hidden="1" x14ac:dyDescent="0.25">
      <c r="A477" s="82" t="s">
        <v>2094</v>
      </c>
      <c r="B477" s="18" t="s">
        <v>2094</v>
      </c>
      <c r="C477" s="18" t="s">
        <v>2094</v>
      </c>
      <c r="D477" s="276" t="s">
        <v>2094</v>
      </c>
      <c r="E477" s="276" t="s">
        <v>2094</v>
      </c>
      <c r="F477" s="276" t="s">
        <v>2094</v>
      </c>
      <c r="G477" t="s">
        <v>2094</v>
      </c>
    </row>
    <row r="478" spans="1:7" hidden="1" x14ac:dyDescent="0.25">
      <c r="A478" s="82"/>
      <c r="B478" s="18"/>
      <c r="C478" s="18"/>
      <c r="D478" s="276"/>
      <c r="E478" s="276"/>
      <c r="F478" s="276"/>
      <c r="G478">
        <v>1</v>
      </c>
    </row>
    <row r="479" spans="1:7" hidden="1" x14ac:dyDescent="0.25">
      <c r="A479" s="82" t="s">
        <v>2094</v>
      </c>
      <c r="B479" s="18" t="s">
        <v>2094</v>
      </c>
      <c r="C479" s="18" t="s">
        <v>2094</v>
      </c>
      <c r="D479" s="276" t="s">
        <v>2094</v>
      </c>
      <c r="E479" s="276" t="s">
        <v>2094</v>
      </c>
      <c r="F479" s="276" t="s">
        <v>2094</v>
      </c>
      <c r="G479" t="s">
        <v>2094</v>
      </c>
    </row>
    <row r="480" spans="1:7" hidden="1" x14ac:dyDescent="0.25">
      <c r="A480" s="82" t="s">
        <v>2094</v>
      </c>
      <c r="B480" s="18" t="s">
        <v>2094</v>
      </c>
      <c r="C480" s="18" t="s">
        <v>2094</v>
      </c>
      <c r="D480" s="276" t="s">
        <v>2094</v>
      </c>
      <c r="E480" s="276" t="s">
        <v>2094</v>
      </c>
      <c r="F480" s="276" t="s">
        <v>2094</v>
      </c>
      <c r="G480" t="s">
        <v>2094</v>
      </c>
    </row>
    <row r="481" spans="1:7" hidden="1" x14ac:dyDescent="0.25">
      <c r="A481" s="82" t="s">
        <v>2094</v>
      </c>
      <c r="B481" s="18" t="s">
        <v>2094</v>
      </c>
      <c r="C481" s="18" t="s">
        <v>2094</v>
      </c>
      <c r="D481" s="276" t="s">
        <v>2094</v>
      </c>
      <c r="E481" s="276" t="s">
        <v>2094</v>
      </c>
      <c r="F481" s="276" t="s">
        <v>2094</v>
      </c>
      <c r="G481" t="s">
        <v>2094</v>
      </c>
    </row>
    <row r="482" spans="1:7" hidden="1" x14ac:dyDescent="0.25">
      <c r="A482" s="82" t="s">
        <v>2094</v>
      </c>
      <c r="B482" s="18" t="s">
        <v>2094</v>
      </c>
      <c r="C482" s="18" t="s">
        <v>2094</v>
      </c>
      <c r="D482" s="276" t="s">
        <v>2094</v>
      </c>
      <c r="E482" s="276" t="s">
        <v>2094</v>
      </c>
      <c r="F482" s="276" t="s">
        <v>2094</v>
      </c>
      <c r="G482" t="s">
        <v>2094</v>
      </c>
    </row>
    <row r="483" spans="1:7" hidden="1" x14ac:dyDescent="0.25">
      <c r="A483" s="82" t="s">
        <v>2094</v>
      </c>
      <c r="B483" s="18" t="s">
        <v>2094</v>
      </c>
      <c r="C483" s="18" t="s">
        <v>2094</v>
      </c>
      <c r="D483" s="276" t="s">
        <v>2094</v>
      </c>
      <c r="E483" s="276" t="s">
        <v>2094</v>
      </c>
      <c r="F483" s="276" t="s">
        <v>2094</v>
      </c>
      <c r="G483" t="s">
        <v>2094</v>
      </c>
    </row>
    <row r="484" spans="1:7" hidden="1" x14ac:dyDescent="0.25">
      <c r="A484" s="82" t="s">
        <v>2094</v>
      </c>
      <c r="B484" s="18" t="s">
        <v>2094</v>
      </c>
      <c r="C484" s="18" t="s">
        <v>2094</v>
      </c>
      <c r="D484" s="276" t="s">
        <v>2094</v>
      </c>
      <c r="E484" s="276" t="s">
        <v>2094</v>
      </c>
      <c r="F484" s="276" t="s">
        <v>2094</v>
      </c>
      <c r="G484" t="s">
        <v>2094</v>
      </c>
    </row>
    <row r="485" spans="1:7" hidden="1" x14ac:dyDescent="0.25">
      <c r="A485" s="82" t="s">
        <v>2094</v>
      </c>
      <c r="B485" s="18" t="s">
        <v>2094</v>
      </c>
      <c r="C485" s="18" t="s">
        <v>2094</v>
      </c>
      <c r="D485" s="276" t="s">
        <v>2094</v>
      </c>
      <c r="E485" s="276" t="s">
        <v>2094</v>
      </c>
      <c r="F485" s="276" t="s">
        <v>2094</v>
      </c>
      <c r="G485" t="s">
        <v>2094</v>
      </c>
    </row>
    <row r="486" spans="1:7" hidden="1" x14ac:dyDescent="0.25">
      <c r="A486" s="82" t="s">
        <v>2094</v>
      </c>
      <c r="B486" s="18" t="s">
        <v>2094</v>
      </c>
      <c r="C486" s="18" t="s">
        <v>2094</v>
      </c>
      <c r="D486" s="276" t="s">
        <v>2094</v>
      </c>
      <c r="E486" s="276" t="s">
        <v>2094</v>
      </c>
      <c r="F486" s="276" t="s">
        <v>2094</v>
      </c>
      <c r="G486" t="s">
        <v>2094</v>
      </c>
    </row>
    <row r="487" spans="1:7" hidden="1" x14ac:dyDescent="0.25">
      <c r="A487" s="82" t="s">
        <v>2094</v>
      </c>
      <c r="B487" s="18" t="s">
        <v>2094</v>
      </c>
      <c r="C487" s="18" t="s">
        <v>2094</v>
      </c>
      <c r="D487" s="276" t="s">
        <v>2094</v>
      </c>
      <c r="E487" s="276" t="s">
        <v>2094</v>
      </c>
      <c r="F487" s="276" t="s">
        <v>2094</v>
      </c>
      <c r="G487" t="s">
        <v>2094</v>
      </c>
    </row>
    <row r="488" spans="1:7" hidden="1" x14ac:dyDescent="0.25">
      <c r="A488" s="82" t="s">
        <v>2094</v>
      </c>
      <c r="B488" s="18" t="s">
        <v>2094</v>
      </c>
      <c r="C488" s="18" t="s">
        <v>2094</v>
      </c>
      <c r="D488" s="276" t="s">
        <v>2094</v>
      </c>
      <c r="E488" s="276" t="s">
        <v>2094</v>
      </c>
      <c r="F488" s="276" t="s">
        <v>2094</v>
      </c>
      <c r="G488" t="s">
        <v>2094</v>
      </c>
    </row>
    <row r="489" spans="1:7" hidden="1" x14ac:dyDescent="0.25">
      <c r="A489" s="82" t="s">
        <v>2094</v>
      </c>
      <c r="B489" s="18" t="s">
        <v>2094</v>
      </c>
      <c r="C489" s="18" t="s">
        <v>2094</v>
      </c>
      <c r="D489" s="276" t="s">
        <v>2094</v>
      </c>
      <c r="E489" s="276" t="s">
        <v>2094</v>
      </c>
      <c r="F489" s="276" t="s">
        <v>2094</v>
      </c>
      <c r="G489" t="s">
        <v>2094</v>
      </c>
    </row>
    <row r="490" spans="1:7" hidden="1" x14ac:dyDescent="0.25">
      <c r="A490" s="82" t="s">
        <v>2094</v>
      </c>
      <c r="B490" s="18" t="s">
        <v>2094</v>
      </c>
      <c r="C490" s="18" t="s">
        <v>2094</v>
      </c>
      <c r="D490" s="276" t="s">
        <v>2094</v>
      </c>
      <c r="E490" s="276" t="s">
        <v>2094</v>
      </c>
      <c r="F490" s="276" t="s">
        <v>2094</v>
      </c>
      <c r="G490" t="s">
        <v>2094</v>
      </c>
    </row>
    <row r="491" spans="1:7" hidden="1" x14ac:dyDescent="0.25">
      <c r="A491" s="82" t="s">
        <v>2094</v>
      </c>
      <c r="B491" s="18" t="s">
        <v>2094</v>
      </c>
      <c r="C491" s="18" t="s">
        <v>2094</v>
      </c>
      <c r="D491" s="276" t="s">
        <v>2094</v>
      </c>
      <c r="E491" s="276" t="s">
        <v>2094</v>
      </c>
      <c r="F491" s="276" t="s">
        <v>2094</v>
      </c>
      <c r="G491" t="s">
        <v>2094</v>
      </c>
    </row>
    <row r="492" spans="1:7" hidden="1" x14ac:dyDescent="0.25">
      <c r="A492" s="82" t="s">
        <v>2094</v>
      </c>
      <c r="B492" s="18" t="s">
        <v>2094</v>
      </c>
      <c r="C492" s="18" t="s">
        <v>2094</v>
      </c>
      <c r="D492" s="276" t="s">
        <v>2094</v>
      </c>
      <c r="E492" s="276" t="s">
        <v>2094</v>
      </c>
      <c r="F492" s="276" t="s">
        <v>2094</v>
      </c>
      <c r="G492" t="s">
        <v>2094</v>
      </c>
    </row>
    <row r="493" spans="1:7" hidden="1" x14ac:dyDescent="0.25">
      <c r="A493" s="82" t="s">
        <v>2094</v>
      </c>
      <c r="B493" s="18" t="s">
        <v>2094</v>
      </c>
      <c r="C493" s="18" t="s">
        <v>2094</v>
      </c>
      <c r="D493" s="276" t="s">
        <v>2094</v>
      </c>
      <c r="E493" s="276" t="s">
        <v>2094</v>
      </c>
      <c r="F493" s="276" t="s">
        <v>2094</v>
      </c>
      <c r="G493" t="s">
        <v>2094</v>
      </c>
    </row>
    <row r="494" spans="1:7" hidden="1" x14ac:dyDescent="0.25">
      <c r="A494" s="82" t="s">
        <v>2094</v>
      </c>
      <c r="B494" s="18" t="s">
        <v>2094</v>
      </c>
      <c r="C494" s="18" t="s">
        <v>2094</v>
      </c>
      <c r="D494" s="276" t="s">
        <v>2094</v>
      </c>
      <c r="E494" s="276" t="s">
        <v>2094</v>
      </c>
      <c r="F494" s="276" t="s">
        <v>2094</v>
      </c>
      <c r="G494" t="s">
        <v>2094</v>
      </c>
    </row>
    <row r="495" spans="1:7" hidden="1" x14ac:dyDescent="0.25">
      <c r="A495" s="82" t="s">
        <v>2094</v>
      </c>
      <c r="B495" s="18" t="s">
        <v>2094</v>
      </c>
      <c r="C495" s="18" t="s">
        <v>2094</v>
      </c>
      <c r="D495" s="276" t="s">
        <v>2094</v>
      </c>
      <c r="E495" s="276" t="s">
        <v>2094</v>
      </c>
      <c r="F495" s="276" t="s">
        <v>2094</v>
      </c>
      <c r="G495" t="s">
        <v>2094</v>
      </c>
    </row>
    <row r="496" spans="1:7" hidden="1" x14ac:dyDescent="0.25">
      <c r="A496" s="82" t="s">
        <v>2094</v>
      </c>
      <c r="B496" s="18" t="s">
        <v>2094</v>
      </c>
      <c r="C496" s="18" t="s">
        <v>2094</v>
      </c>
      <c r="D496" s="276" t="s">
        <v>2094</v>
      </c>
      <c r="E496" s="276" t="s">
        <v>2094</v>
      </c>
      <c r="F496" s="276" t="s">
        <v>2094</v>
      </c>
      <c r="G496" t="s">
        <v>2094</v>
      </c>
    </row>
    <row r="497" spans="1:7" hidden="1" x14ac:dyDescent="0.25">
      <c r="A497" s="82" t="s">
        <v>2094</v>
      </c>
      <c r="B497" s="18" t="s">
        <v>2094</v>
      </c>
      <c r="C497" s="18" t="s">
        <v>2094</v>
      </c>
      <c r="D497" s="276" t="s">
        <v>2094</v>
      </c>
      <c r="E497" s="276" t="s">
        <v>2094</v>
      </c>
      <c r="F497" s="276" t="s">
        <v>2094</v>
      </c>
      <c r="G497" t="s">
        <v>2094</v>
      </c>
    </row>
    <row r="498" spans="1:7" hidden="1" x14ac:dyDescent="0.25">
      <c r="A498" s="82" t="s">
        <v>2094</v>
      </c>
      <c r="B498" s="18" t="s">
        <v>2094</v>
      </c>
      <c r="C498" s="18" t="s">
        <v>2094</v>
      </c>
      <c r="D498" s="276" t="s">
        <v>2094</v>
      </c>
      <c r="E498" s="276" t="s">
        <v>2094</v>
      </c>
      <c r="F498" s="276" t="s">
        <v>2094</v>
      </c>
      <c r="G498" t="s">
        <v>2094</v>
      </c>
    </row>
    <row r="499" spans="1:7" hidden="1" x14ac:dyDescent="0.25">
      <c r="A499" s="82" t="s">
        <v>2094</v>
      </c>
      <c r="B499" s="18" t="s">
        <v>2094</v>
      </c>
      <c r="C499" s="18" t="s">
        <v>2094</v>
      </c>
      <c r="D499" s="276" t="s">
        <v>2094</v>
      </c>
      <c r="E499" s="276" t="s">
        <v>2094</v>
      </c>
      <c r="F499" s="276" t="s">
        <v>2094</v>
      </c>
      <c r="G499" t="s">
        <v>2094</v>
      </c>
    </row>
    <row r="500" spans="1:7" hidden="1" x14ac:dyDescent="0.25">
      <c r="A500" s="82" t="s">
        <v>2094</v>
      </c>
      <c r="B500" s="18" t="s">
        <v>2094</v>
      </c>
      <c r="C500" s="18" t="s">
        <v>2094</v>
      </c>
      <c r="D500" s="276" t="s">
        <v>2094</v>
      </c>
      <c r="E500" s="276" t="s">
        <v>2094</v>
      </c>
      <c r="F500" s="276" t="s">
        <v>2094</v>
      </c>
      <c r="G500" t="s">
        <v>2094</v>
      </c>
    </row>
    <row r="501" spans="1:7" hidden="1" x14ac:dyDescent="0.25">
      <c r="A501" s="82" t="s">
        <v>2094</v>
      </c>
      <c r="B501" s="18" t="s">
        <v>2094</v>
      </c>
      <c r="C501" s="18" t="s">
        <v>2094</v>
      </c>
      <c r="D501" s="276" t="s">
        <v>2094</v>
      </c>
      <c r="E501" s="276" t="s">
        <v>2094</v>
      </c>
      <c r="F501" s="276" t="s">
        <v>2094</v>
      </c>
      <c r="G501" t="s">
        <v>2094</v>
      </c>
    </row>
    <row r="502" spans="1:7" hidden="1" x14ac:dyDescent="0.25">
      <c r="A502" s="82" t="s">
        <v>2094</v>
      </c>
      <c r="B502" s="18" t="s">
        <v>2094</v>
      </c>
      <c r="C502" s="18" t="s">
        <v>2094</v>
      </c>
      <c r="D502" s="276" t="s">
        <v>2094</v>
      </c>
      <c r="E502" s="276" t="s">
        <v>2094</v>
      </c>
      <c r="F502" s="276" t="s">
        <v>2094</v>
      </c>
      <c r="G502" t="s">
        <v>2094</v>
      </c>
    </row>
    <row r="503" spans="1:7" hidden="1" x14ac:dyDescent="0.25">
      <c r="A503" s="82" t="s">
        <v>2094</v>
      </c>
      <c r="B503" s="18" t="s">
        <v>2094</v>
      </c>
      <c r="C503" s="18" t="s">
        <v>2094</v>
      </c>
      <c r="D503" s="276" t="s">
        <v>2094</v>
      </c>
      <c r="E503" s="276" t="s">
        <v>2094</v>
      </c>
      <c r="F503" s="276" t="s">
        <v>2094</v>
      </c>
      <c r="G503" t="s">
        <v>2094</v>
      </c>
    </row>
    <row r="504" spans="1:7" hidden="1" x14ac:dyDescent="0.25">
      <c r="A504" s="82" t="s">
        <v>2094</v>
      </c>
      <c r="B504" s="18" t="s">
        <v>2094</v>
      </c>
      <c r="C504" s="18" t="s">
        <v>2094</v>
      </c>
      <c r="D504" s="276" t="s">
        <v>2094</v>
      </c>
      <c r="E504" s="276" t="s">
        <v>2094</v>
      </c>
      <c r="F504" s="276" t="s">
        <v>2094</v>
      </c>
      <c r="G504" t="s">
        <v>2094</v>
      </c>
    </row>
    <row r="505" spans="1:7" hidden="1" x14ac:dyDescent="0.25">
      <c r="A505" s="82" t="s">
        <v>2094</v>
      </c>
      <c r="B505" s="18" t="s">
        <v>2094</v>
      </c>
      <c r="C505" s="18" t="s">
        <v>2094</v>
      </c>
      <c r="D505" s="276" t="s">
        <v>2094</v>
      </c>
      <c r="E505" s="276" t="s">
        <v>2094</v>
      </c>
      <c r="F505" s="276" t="s">
        <v>2094</v>
      </c>
      <c r="G505" t="s">
        <v>2094</v>
      </c>
    </row>
    <row r="506" spans="1:7" hidden="1" x14ac:dyDescent="0.25">
      <c r="A506" s="82" t="s">
        <v>2094</v>
      </c>
      <c r="B506" s="18" t="s">
        <v>2094</v>
      </c>
      <c r="C506" s="18" t="s">
        <v>2094</v>
      </c>
      <c r="D506" s="276" t="s">
        <v>2094</v>
      </c>
      <c r="E506" s="276" t="s">
        <v>2094</v>
      </c>
      <c r="F506" s="276" t="s">
        <v>2094</v>
      </c>
      <c r="G506" t="s">
        <v>2094</v>
      </c>
    </row>
    <row r="507" spans="1:7" hidden="1" x14ac:dyDescent="0.25">
      <c r="A507" s="82" t="s">
        <v>2094</v>
      </c>
      <c r="B507" s="18" t="s">
        <v>2094</v>
      </c>
      <c r="C507" s="18" t="s">
        <v>2094</v>
      </c>
      <c r="D507" s="276" t="s">
        <v>2094</v>
      </c>
      <c r="E507" s="276" t="s">
        <v>2094</v>
      </c>
      <c r="F507" s="276" t="s">
        <v>2094</v>
      </c>
      <c r="G507" t="s">
        <v>2094</v>
      </c>
    </row>
    <row r="508" spans="1:7" hidden="1" x14ac:dyDescent="0.25">
      <c r="A508" s="82" t="s">
        <v>2094</v>
      </c>
      <c r="B508" s="18" t="s">
        <v>2094</v>
      </c>
      <c r="C508" s="18" t="s">
        <v>2094</v>
      </c>
      <c r="D508" s="276" t="s">
        <v>2094</v>
      </c>
      <c r="E508" s="276" t="s">
        <v>2094</v>
      </c>
      <c r="F508" s="276" t="s">
        <v>2094</v>
      </c>
      <c r="G508" t="s">
        <v>2094</v>
      </c>
    </row>
    <row r="509" spans="1:7" hidden="1" x14ac:dyDescent="0.25">
      <c r="A509" s="82" t="s">
        <v>2094</v>
      </c>
      <c r="B509" s="18" t="s">
        <v>2094</v>
      </c>
      <c r="C509" s="18" t="s">
        <v>2094</v>
      </c>
      <c r="D509" s="276" t="s">
        <v>2094</v>
      </c>
      <c r="E509" s="276" t="s">
        <v>2094</v>
      </c>
      <c r="F509" s="276" t="s">
        <v>2094</v>
      </c>
      <c r="G509" t="s">
        <v>2094</v>
      </c>
    </row>
    <row r="510" spans="1:7" hidden="1" x14ac:dyDescent="0.25">
      <c r="A510" s="82" t="s">
        <v>2094</v>
      </c>
      <c r="B510" s="18" t="s">
        <v>2094</v>
      </c>
      <c r="C510" s="18" t="s">
        <v>2094</v>
      </c>
      <c r="D510" s="276" t="s">
        <v>2094</v>
      </c>
      <c r="E510" s="276" t="s">
        <v>2094</v>
      </c>
      <c r="F510" s="276" t="s">
        <v>2094</v>
      </c>
      <c r="G510" t="s">
        <v>2094</v>
      </c>
    </row>
    <row r="511" spans="1:7" hidden="1" x14ac:dyDescent="0.25">
      <c r="A511" s="82" t="s">
        <v>2094</v>
      </c>
      <c r="B511" s="18" t="s">
        <v>2094</v>
      </c>
      <c r="C511" s="18" t="s">
        <v>2094</v>
      </c>
      <c r="D511" s="276" t="s">
        <v>2094</v>
      </c>
      <c r="E511" s="276" t="s">
        <v>2094</v>
      </c>
      <c r="F511" s="276" t="s">
        <v>2094</v>
      </c>
      <c r="G511" t="s">
        <v>2094</v>
      </c>
    </row>
    <row r="512" spans="1:7" ht="15.75" thickBot="1" x14ac:dyDescent="0.3">
      <c r="A512" s="83" t="s">
        <v>1837</v>
      </c>
      <c r="E512" s="354"/>
      <c r="F512" s="355">
        <f>+F421+F390+F337+F297+F203+F152+F141+F45+F16+F23</f>
        <v>28467.167109133123</v>
      </c>
      <c r="G512" t="s">
        <v>2094</v>
      </c>
    </row>
    <row r="513" spans="1:7" hidden="1" x14ac:dyDescent="0.25">
      <c r="A513" s="83" t="s">
        <v>2094</v>
      </c>
      <c r="B513" t="s">
        <v>2094</v>
      </c>
      <c r="C513" t="s">
        <v>2094</v>
      </c>
      <c r="D513" s="56" t="s">
        <v>2094</v>
      </c>
      <c r="E513" s="56" t="s">
        <v>2094</v>
      </c>
      <c r="F513" s="56" t="s">
        <v>2094</v>
      </c>
      <c r="G513" t="s">
        <v>2094</v>
      </c>
    </row>
    <row r="514" spans="1:7" hidden="1" x14ac:dyDescent="0.25">
      <c r="A514" s="83" t="s">
        <v>2094</v>
      </c>
      <c r="B514" t="s">
        <v>2094</v>
      </c>
      <c r="C514" t="s">
        <v>2094</v>
      </c>
      <c r="D514" s="56" t="s">
        <v>2094</v>
      </c>
      <c r="E514" s="56" t="s">
        <v>2094</v>
      </c>
      <c r="F514" s="56" t="s">
        <v>2094</v>
      </c>
      <c r="G514" t="s">
        <v>2094</v>
      </c>
    </row>
    <row r="515" spans="1:7" hidden="1" x14ac:dyDescent="0.25">
      <c r="A515" s="83" t="s">
        <v>2094</v>
      </c>
      <c r="B515" t="s">
        <v>2094</v>
      </c>
      <c r="C515" t="s">
        <v>2094</v>
      </c>
      <c r="D515" s="56" t="s">
        <v>2094</v>
      </c>
      <c r="E515" s="56" t="s">
        <v>2094</v>
      </c>
      <c r="F515" s="56" t="s">
        <v>2094</v>
      </c>
      <c r="G515" t="s">
        <v>2094</v>
      </c>
    </row>
    <row r="516" spans="1:7" hidden="1" x14ac:dyDescent="0.25">
      <c r="A516" s="83" t="s">
        <v>2094</v>
      </c>
      <c r="B516" t="s">
        <v>2094</v>
      </c>
      <c r="C516" t="s">
        <v>2094</v>
      </c>
      <c r="D516" s="56" t="s">
        <v>2094</v>
      </c>
      <c r="E516" s="56" t="s">
        <v>2094</v>
      </c>
      <c r="F516" s="56" t="s">
        <v>2094</v>
      </c>
      <c r="G516" t="s">
        <v>2094</v>
      </c>
    </row>
    <row r="517" spans="1:7" hidden="1" x14ac:dyDescent="0.25">
      <c r="A517" s="83" t="s">
        <v>2094</v>
      </c>
      <c r="B517" t="s">
        <v>2094</v>
      </c>
      <c r="C517" t="s">
        <v>2094</v>
      </c>
      <c r="D517" s="56" t="s">
        <v>2094</v>
      </c>
      <c r="E517" s="56" t="s">
        <v>2094</v>
      </c>
      <c r="F517" s="56" t="s">
        <v>2094</v>
      </c>
      <c r="G517" t="s">
        <v>2094</v>
      </c>
    </row>
  </sheetData>
  <autoFilter ref="A15:F517" xr:uid="{D483D071-BE2C-4142-9164-6B3A05321F4A}">
    <filterColumn colId="0">
      <customFilters>
        <customFilter operator="notEqual" val=" "/>
      </customFilters>
    </filterColumn>
  </autoFilter>
  <hyperlinks>
    <hyperlink ref="B16" location="'Unidad de ordeñe'!A1" display="Unidades de ordeño y Jetters de lavado " xr:uid="{6369C618-7FB8-4CDC-BCFB-080CACCB003F}"/>
    <hyperlink ref="B337" location="'ISO ID - SortGate'!A1" display="ISO ID, Sort Gate" xr:uid="{387EC4B2-F47C-4779-9CD1-5CBEF9D33138}"/>
    <hyperlink ref="B390" location="Robot!A1" display="Robots y Opcionales ( PRECIO EN EUROS)" xr:uid="{F9D4E8AE-E25C-425C-AAD6-22B0B525D441}"/>
    <hyperlink ref="B421" location="cañerias!A1" display="Caneria" xr:uid="{477960D9-8349-4E8F-82BF-03254E965D70}"/>
    <hyperlink ref="B297" location="'Extractores, indicadores'!A1" display="Extractores e indicadores de produccion" xr:uid="{8D16A60D-7DCF-4EEB-951D-1AD53DAAC434}"/>
    <hyperlink ref="B45" location="bombas!A1" display="Bombas de Vacio" xr:uid="{5A9C46BC-BCBD-4F77-B8A9-843326AC51C1}"/>
    <hyperlink ref="B152" location="'Placas, Filtros Lavadora,Recupe'!A1" display="Intercambiador a Placas, lavador y recuperdor de calor" xr:uid="{71166F3F-8D4C-45AB-9024-67F3C97E509A}"/>
    <hyperlink ref="B141" location="pulsado!A1" display="Pulsado y filtros" xr:uid="{1F16FC48-77F6-457C-9ACF-02C5A02F6752}"/>
    <hyperlink ref="B203" location="'Unidad Final'!A1" display="Unidad Final" xr:uid="{045177FA-D9F7-4A29-8153-44397899ACB2}"/>
  </hyperlinks>
  <pageMargins left="0.7" right="0.7" top="0.75" bottom="0.75" header="0.3" footer="0.3"/>
  <pageSetup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Option Button 1">
              <controlPr defaultSize="0" autoFill="0" autoLine="0" autoPict="0" macro="[0]!limpiarunidadespresu">
                <anchor moveWithCells="1">
                  <from>
                    <xdr:col>7</xdr:col>
                    <xdr:colOff>66675</xdr:colOff>
                    <xdr:row>44</xdr:row>
                    <xdr:rowOff>28575</xdr:rowOff>
                  </from>
                  <to>
                    <xdr:col>9</xdr:col>
                    <xdr:colOff>285750</xdr:colOff>
                    <xdr:row>140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Option Button 3">
              <controlPr defaultSize="0" autoFill="0" autoLine="0" autoPict="0" macro="[0]!limpiarBombas">
                <anchor moveWithCells="1">
                  <from>
                    <xdr:col>7</xdr:col>
                    <xdr:colOff>66675</xdr:colOff>
                    <xdr:row>47</xdr:row>
                    <xdr:rowOff>9525</xdr:rowOff>
                  </from>
                  <to>
                    <xdr:col>9</xdr:col>
                    <xdr:colOff>285750</xdr:colOff>
                    <xdr:row>151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Option Button 4">
              <controlPr defaultSize="0" autoFill="0" autoLine="0" autoPict="0" macro="[0]!LimpiarPulsadoPresu">
                <anchor moveWithCells="1">
                  <from>
                    <xdr:col>7</xdr:col>
                    <xdr:colOff>66675</xdr:colOff>
                    <xdr:row>144</xdr:row>
                    <xdr:rowOff>9525</xdr:rowOff>
                  </from>
                  <to>
                    <xdr:col>9</xdr:col>
                    <xdr:colOff>285750</xdr:colOff>
                    <xdr:row>151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Option Button 6">
              <controlPr defaultSize="0" autoFill="0" autoLine="0" autoPict="0" macro="[0]!limpiarplacapresu">
                <anchor moveWithCells="1">
                  <from>
                    <xdr:col>7</xdr:col>
                    <xdr:colOff>66675</xdr:colOff>
                    <xdr:row>153</xdr:row>
                    <xdr:rowOff>9525</xdr:rowOff>
                  </from>
                  <to>
                    <xdr:col>9</xdr:col>
                    <xdr:colOff>285750</xdr:colOff>
                    <xdr:row>296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Option Button 7">
              <controlPr defaultSize="0" autoFill="0" autoLine="0" autoPict="0" macro="[0]!limpiarUFpresu">
                <anchor moveWithCells="1">
                  <from>
                    <xdr:col>7</xdr:col>
                    <xdr:colOff>66675</xdr:colOff>
                    <xdr:row>205</xdr:row>
                    <xdr:rowOff>9525</xdr:rowOff>
                  </from>
                  <to>
                    <xdr:col>9</xdr:col>
                    <xdr:colOff>285750</xdr:colOff>
                    <xdr:row>296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 macro="[0]!limpiarextrapresu">
                <anchor moveWithCells="1">
                  <from>
                    <xdr:col>7</xdr:col>
                    <xdr:colOff>76200</xdr:colOff>
                    <xdr:row>297</xdr:row>
                    <xdr:rowOff>104775</xdr:rowOff>
                  </from>
                  <to>
                    <xdr:col>9</xdr:col>
                    <xdr:colOff>295275</xdr:colOff>
                    <xdr:row>336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Option Button 13">
              <controlPr defaultSize="0" autoFill="0" autoLine="0" autoPict="0" macro="[0]!limpiarisopresu">
                <anchor moveWithCells="1">
                  <from>
                    <xdr:col>7</xdr:col>
                    <xdr:colOff>66675</xdr:colOff>
                    <xdr:row>338</xdr:row>
                    <xdr:rowOff>0</xdr:rowOff>
                  </from>
                  <to>
                    <xdr:col>9</xdr:col>
                    <xdr:colOff>285750</xdr:colOff>
                    <xdr:row>349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compactar">
                <anchor moveWithCells="1" sizeWithCells="1">
                  <from>
                    <xdr:col>0</xdr:col>
                    <xdr:colOff>66675</xdr:colOff>
                    <xdr:row>10</xdr:row>
                    <xdr:rowOff>28575</xdr:rowOff>
                  </from>
                  <to>
                    <xdr:col>0</xdr:col>
                    <xdr:colOff>923925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2" name="Button 15">
              <controlPr defaultSize="0" print="0" autoFill="0" autoPict="0" macro="[0]!descompactar">
                <anchor moveWithCells="1" sizeWithCells="1">
                  <from>
                    <xdr:col>0</xdr:col>
                    <xdr:colOff>76200</xdr:colOff>
                    <xdr:row>11</xdr:row>
                    <xdr:rowOff>104775</xdr:rowOff>
                  </from>
                  <to>
                    <xdr:col>0</xdr:col>
                    <xdr:colOff>914400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Button 16">
              <controlPr defaultSize="0" print="0" autoFill="0" autoPict="0" macro="[0]!packinglist">
                <anchor moveWithCells="1" sizeWithCells="1">
                  <from>
                    <xdr:col>4</xdr:col>
                    <xdr:colOff>485775</xdr:colOff>
                    <xdr:row>10</xdr:row>
                    <xdr:rowOff>0</xdr:rowOff>
                  </from>
                  <to>
                    <xdr:col>6</xdr:col>
                    <xdr:colOff>19050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4" name="Option Button 18">
              <controlPr defaultSize="0" autoFill="0" autoLine="0" autoPict="0" macro="[0]!limpiarRobotpresu">
                <anchor moveWithCells="1">
                  <from>
                    <xdr:col>7</xdr:col>
                    <xdr:colOff>85725</xdr:colOff>
                    <xdr:row>391</xdr:row>
                    <xdr:rowOff>47625</xdr:rowOff>
                  </from>
                  <to>
                    <xdr:col>9</xdr:col>
                    <xdr:colOff>304800</xdr:colOff>
                    <xdr:row>420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5" name="Option Button 20">
              <controlPr defaultSize="0" autoFill="0" autoLine="0" autoPict="0" macro="[0]!limpiarcaneria">
                <anchor moveWithCells="1">
                  <from>
                    <xdr:col>7</xdr:col>
                    <xdr:colOff>85725</xdr:colOff>
                    <xdr:row>423</xdr:row>
                    <xdr:rowOff>47625</xdr:rowOff>
                  </from>
                  <to>
                    <xdr:col>9</xdr:col>
                    <xdr:colOff>304800</xdr:colOff>
                    <xdr:row>517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6" name="Button 17">
              <controlPr defaultSize="0" print="0" autoFill="0" autoPict="0" macro="[0]!presupuesto">
                <anchor moveWithCells="1" sizeWithCells="1">
                  <from>
                    <xdr:col>5</xdr:col>
                    <xdr:colOff>0</xdr:colOff>
                    <xdr:row>11</xdr:row>
                    <xdr:rowOff>123825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P33"/>
  <sheetViews>
    <sheetView zoomScale="85" zoomScaleNormal="85" workbookViewId="0">
      <selection activeCell="K5" sqref="K5:P32"/>
    </sheetView>
  </sheetViews>
  <sheetFormatPr baseColWidth="10" defaultColWidth="8.7109375" defaultRowHeight="15" x14ac:dyDescent="0.25"/>
  <cols>
    <col min="2" max="2" width="21.7109375" bestFit="1" customWidth="1"/>
    <col min="3" max="3" width="47.7109375" bestFit="1" customWidth="1"/>
    <col min="4" max="4" width="7.28515625" bestFit="1" customWidth="1"/>
    <col min="5" max="5" width="10" bestFit="1" customWidth="1"/>
    <col min="6" max="6" width="6.140625" bestFit="1" customWidth="1"/>
    <col min="7" max="7" width="12.28515625" customWidth="1"/>
    <col min="12" max="12" width="53.42578125" bestFit="1" customWidth="1"/>
    <col min="13" max="13" width="5.140625" bestFit="1" customWidth="1"/>
    <col min="14" max="14" width="10.28515625" bestFit="1" customWidth="1"/>
    <col min="15" max="15" width="8.7109375" customWidth="1"/>
    <col min="16" max="16" width="12.5703125" customWidth="1"/>
    <col min="17" max="17" width="14.85546875" customWidth="1"/>
    <col min="18" max="18" width="55.140625" customWidth="1"/>
  </cols>
  <sheetData>
    <row r="1" spans="2:16" x14ac:dyDescent="0.25">
      <c r="B1" t="str">
        <f>presu!B11</f>
        <v>Cantidad de unidades</v>
      </c>
      <c r="C1" s="56">
        <f>presu!C11</f>
        <v>1</v>
      </c>
      <c r="D1" t="str">
        <f>presu!D11</f>
        <v>unid</v>
      </c>
    </row>
    <row r="2" spans="2:16" ht="21" x14ac:dyDescent="0.35">
      <c r="B2" t="str">
        <f>presu!B12</f>
        <v>distancia entre bajadas</v>
      </c>
      <c r="C2" s="56">
        <f>presu!C12</f>
        <v>1</v>
      </c>
      <c r="D2" t="str">
        <f>presu!D12</f>
        <v>metros</v>
      </c>
      <c r="I2" s="156" t="s">
        <v>1879</v>
      </c>
    </row>
    <row r="4" spans="2:16" ht="15.75" thickBot="1" x14ac:dyDescent="0.3">
      <c r="B4" s="1" t="s">
        <v>0</v>
      </c>
      <c r="C4" s="463" t="s">
        <v>1</v>
      </c>
      <c r="D4" s="463"/>
      <c r="E4" s="463"/>
      <c r="F4" s="463"/>
      <c r="G4" s="464"/>
    </row>
    <row r="5" spans="2:16" x14ac:dyDescent="0.25">
      <c r="B5" s="2">
        <v>8512775</v>
      </c>
      <c r="C5" s="213" t="str">
        <f>+VLOOKUP(B5,Base!$A$1:$E$2346,2,FALSE)</f>
        <v>Colector con valvula de corte(CLAW ASSY,X/C,F-S,W/VALVE)</v>
      </c>
      <c r="D5" s="214">
        <f>+VLOOKUP(B5,Base!$A$1:$E$2645,3,FALSE)</f>
        <v>1</v>
      </c>
      <c r="E5" s="213">
        <v>300</v>
      </c>
      <c r="F5" s="3">
        <f>+$C$1</f>
        <v>1</v>
      </c>
      <c r="G5" s="4">
        <f>E5/D5*F5</f>
        <v>300</v>
      </c>
      <c r="K5" s="2">
        <v>8512775</v>
      </c>
      <c r="L5" s="213" t="s">
        <v>371</v>
      </c>
      <c r="M5" s="214">
        <v>1</v>
      </c>
      <c r="N5" s="213">
        <v>300</v>
      </c>
      <c r="O5" s="3">
        <v>14</v>
      </c>
      <c r="P5" s="4">
        <v>4200</v>
      </c>
    </row>
    <row r="6" spans="2:16" x14ac:dyDescent="0.25">
      <c r="B6" s="5">
        <v>8517327</v>
      </c>
      <c r="C6" s="213" t="str">
        <f>+VLOOKUP(B6,Base!$A$1:$E$2346,2,FALSE)</f>
        <v>Casquillo (SHELL ASSY,STD SS)</v>
      </c>
      <c r="D6" s="214">
        <f>+VLOOKUP(B6,Base!$A$1:$E$2645,3,FALSE)</f>
        <v>1</v>
      </c>
      <c r="E6" s="213">
        <f>+VLOOKUP(B6,Base!$A$1:$E$2346,5,FALSE)</f>
        <v>49.868955592105252</v>
      </c>
      <c r="F6" s="6">
        <f>+$C$1*4</f>
        <v>4</v>
      </c>
      <c r="G6" s="7">
        <f t="shared" ref="G6:G13" si="0">E6/D6*F6</f>
        <v>199.47582236842101</v>
      </c>
      <c r="K6" s="5">
        <v>8517327</v>
      </c>
      <c r="L6" s="213" t="s">
        <v>409</v>
      </c>
      <c r="M6" s="214">
        <v>1</v>
      </c>
      <c r="N6" s="213">
        <v>49.868955592105252</v>
      </c>
      <c r="O6" s="6">
        <v>56</v>
      </c>
      <c r="P6" s="7">
        <v>2792.6615131578942</v>
      </c>
    </row>
    <row r="7" spans="2:16" x14ac:dyDescent="0.25">
      <c r="B7" s="5">
        <v>8512007</v>
      </c>
      <c r="C7" s="213" t="str">
        <f>+VLOOKUP(B7,Base!$A$1:$E$2346,2,FALSE)</f>
        <v>Tubo Corto(TUBE,7",PULSE,SHORT,CLR CS/100)</v>
      </c>
      <c r="D7" s="214">
        <f>+VLOOKUP(B7,Base!$A$1:$E$2645,3,FALSE)</f>
        <v>100</v>
      </c>
      <c r="E7" s="213">
        <f>+VLOOKUP(B7,Base!$A$1:$E$2346,5,FALSE)</f>
        <v>359.98828773788921</v>
      </c>
      <c r="F7" s="6">
        <f>+$C$1*4</f>
        <v>4</v>
      </c>
      <c r="G7" s="7">
        <f t="shared" si="0"/>
        <v>14.399531509515569</v>
      </c>
      <c r="K7" s="5">
        <v>8512007</v>
      </c>
      <c r="L7" s="213" t="s">
        <v>357</v>
      </c>
      <c r="M7" s="214">
        <v>100</v>
      </c>
      <c r="N7" s="213">
        <v>359.98828773788921</v>
      </c>
      <c r="O7" s="6">
        <v>56</v>
      </c>
      <c r="P7" s="7">
        <v>201.59344113321796</v>
      </c>
    </row>
    <row r="8" spans="2:16" x14ac:dyDescent="0.25">
      <c r="B8" s="5">
        <v>8589532</v>
      </c>
      <c r="C8" s="213" t="str">
        <f>+VLOOKUP(B8,Base!$A$1:$E$2346,2,FALSE)</f>
        <v>Pezonera(LINER,MAG 400MX,VENTED,CS/100)</v>
      </c>
      <c r="D8" s="214">
        <f>+VLOOKUP(B8,Base!$A$1:$E$2645,3,FALSE)</f>
        <v>100</v>
      </c>
      <c r="E8" s="213">
        <f>+VLOOKUP(B8,Base!$A$1:$E$2346,5,FALSE)</f>
        <v>1000.5366641773895</v>
      </c>
      <c r="F8" s="6">
        <f>+$C$1*4</f>
        <v>4</v>
      </c>
      <c r="G8" s="7">
        <f t="shared" si="0"/>
        <v>40.02146656709558</v>
      </c>
      <c r="K8" s="5">
        <v>8589532</v>
      </c>
      <c r="L8" s="213" t="s">
        <v>378</v>
      </c>
      <c r="M8" s="214">
        <v>100</v>
      </c>
      <c r="N8" s="213">
        <v>1000.5366641773895</v>
      </c>
      <c r="O8" s="6">
        <v>56</v>
      </c>
      <c r="P8" s="7">
        <v>560.30053193933816</v>
      </c>
    </row>
    <row r="9" spans="2:16" x14ac:dyDescent="0.25">
      <c r="B9" s="5">
        <v>8590224</v>
      </c>
      <c r="C9" s="213" t="str">
        <f>+VLOOKUP(B9,Base!$A$1:$E$2346,2,FALSE)</f>
        <v>HOSE,MILK,B/M,5/8 IDX500FT</v>
      </c>
      <c r="D9" s="214" t="str">
        <f>+VLOOKUP(B9,Base!$A$1:$E$2645,3,FALSE)</f>
        <v>500 ft</v>
      </c>
      <c r="E9" s="213">
        <f>+VLOOKUP(B9,Base!$A$1:$E$2346,5,FALSE)</f>
        <v>2307.9030541738748</v>
      </c>
      <c r="F9" s="6">
        <f>+$C$1*3</f>
        <v>3</v>
      </c>
      <c r="G9" s="7">
        <f>+E9/150*F9</f>
        <v>46.158061083477492</v>
      </c>
      <c r="K9" s="5">
        <v>8590224</v>
      </c>
      <c r="L9" s="213" t="s">
        <v>8</v>
      </c>
      <c r="M9" s="214" t="s">
        <v>467</v>
      </c>
      <c r="N9" s="213">
        <v>2307.9030541738748</v>
      </c>
      <c r="O9" s="6">
        <v>42</v>
      </c>
      <c r="P9" s="7">
        <v>646.21285516868488</v>
      </c>
    </row>
    <row r="10" spans="2:16" x14ac:dyDescent="0.25">
      <c r="B10" s="5">
        <v>8506897</v>
      </c>
      <c r="C10" s="213" t="str">
        <f>+VLOOKUP(B10,Base!$A$1:$E$2346,2,FALSE)</f>
        <v>RETAINER,HANGER,CLAW</v>
      </c>
      <c r="D10" s="214">
        <f>+VLOOKUP(B10,Base!$A$1:$E$2645,3,FALSE)</f>
        <v>1</v>
      </c>
      <c r="E10" s="213">
        <f>+VLOOKUP(B10,Base!$A$1:$E$2346,5,FALSE)</f>
        <v>35.951279750386988</v>
      </c>
      <c r="F10" s="6">
        <f>1*$C$1</f>
        <v>1</v>
      </c>
      <c r="G10" s="7">
        <f t="shared" si="0"/>
        <v>35.951279750386988</v>
      </c>
      <c r="K10" s="5">
        <v>8506897</v>
      </c>
      <c r="L10" s="213" t="s">
        <v>9</v>
      </c>
      <c r="M10" s="214">
        <v>1</v>
      </c>
      <c r="N10" s="213">
        <v>35.951279750386988</v>
      </c>
      <c r="O10" s="6">
        <v>14</v>
      </c>
      <c r="P10" s="7">
        <v>503.31791650541783</v>
      </c>
    </row>
    <row r="11" spans="2:16" x14ac:dyDescent="0.25">
      <c r="B11" s="5">
        <v>8506854</v>
      </c>
      <c r="C11" s="213" t="str">
        <f>+VLOOKUP(B11,Base!$A$1:$E$2346,2,FALSE)</f>
        <v>HANGER,FLO-STAR</v>
      </c>
      <c r="D11" s="214">
        <f>+VLOOKUP(B11,Base!$A$1:$E$2645,3,FALSE)</f>
        <v>1</v>
      </c>
      <c r="E11" s="213">
        <f>+VLOOKUP(B11,Base!$A$1:$E$2346,5,FALSE)</f>
        <v>29.269491582817334</v>
      </c>
      <c r="F11" s="6">
        <f>+$C$1*1</f>
        <v>1</v>
      </c>
      <c r="G11" s="7">
        <f t="shared" si="0"/>
        <v>29.269491582817334</v>
      </c>
      <c r="K11" s="5">
        <v>8506854</v>
      </c>
      <c r="L11" s="213" t="s">
        <v>10</v>
      </c>
      <c r="M11" s="214">
        <v>1</v>
      </c>
      <c r="N11" s="213">
        <v>29.269491582817334</v>
      </c>
      <c r="O11" s="6">
        <v>14</v>
      </c>
      <c r="P11" s="7">
        <v>409.7728821594427</v>
      </c>
    </row>
    <row r="12" spans="2:16" ht="12" customHeight="1" x14ac:dyDescent="0.25">
      <c r="B12" s="67" t="s">
        <v>981</v>
      </c>
      <c r="C12" s="213" t="str">
        <f>+VLOOKUP(B12,Base!$A$1:$E$2346,2,FALSE)</f>
        <v>manguera de pulsado doble 2x7X12 Boumatic</v>
      </c>
      <c r="D12" s="214">
        <f>+VLOOKUP(B12,Base!$A$1:$E$2645,3,FALSE)</f>
        <v>25</v>
      </c>
      <c r="E12" s="213">
        <f>+VLOOKUP(B12,Base!$A$1:$E$2346,5,FALSE)</f>
        <v>75.692041522491351</v>
      </c>
      <c r="F12" s="6">
        <f>3*$C$1</f>
        <v>3</v>
      </c>
      <c r="G12" s="7">
        <f t="shared" si="0"/>
        <v>9.0830449826989614</v>
      </c>
      <c r="K12" s="67" t="s">
        <v>981</v>
      </c>
      <c r="L12" s="213" t="s">
        <v>982</v>
      </c>
      <c r="M12" s="214">
        <v>25</v>
      </c>
      <c r="N12" s="213">
        <v>75.692041522491351</v>
      </c>
      <c r="O12" s="6">
        <v>42</v>
      </c>
      <c r="P12" s="7">
        <v>127.16262975778547</v>
      </c>
    </row>
    <row r="13" spans="2:16" hidden="1" x14ac:dyDescent="0.25">
      <c r="B13" s="8">
        <v>8513217</v>
      </c>
      <c r="C13" s="213" t="str">
        <f>+VLOOKUP(B13,Base!$A$1:$E$2346,2,FALSE)</f>
        <v>RING,RETENTION,HOSE,1.38</v>
      </c>
      <c r="D13" s="214">
        <f>+VLOOKUP(B13,Base!$A$1:$E$2645,3,FALSE)</f>
        <v>1</v>
      </c>
      <c r="E13" s="213">
        <f>+VLOOKUP(B13,Base!$A$1:$E$2346,5,FALSE)</f>
        <v>4.4979842298761596</v>
      </c>
      <c r="F13" s="9">
        <f>3*$C$1</f>
        <v>3</v>
      </c>
      <c r="G13" s="10">
        <f t="shared" si="0"/>
        <v>13.493952689628479</v>
      </c>
      <c r="K13" s="8">
        <v>8513217</v>
      </c>
      <c r="L13" s="213" t="s">
        <v>11</v>
      </c>
      <c r="M13" s="214">
        <v>1</v>
      </c>
      <c r="N13" s="213">
        <v>4.4979842298761596</v>
      </c>
      <c r="O13" s="9">
        <v>42</v>
      </c>
      <c r="P13" s="10">
        <v>188.91533765479869</v>
      </c>
    </row>
    <row r="14" spans="2:16" ht="15.75" thickBot="1" x14ac:dyDescent="0.3">
      <c r="B14" s="1" t="s">
        <v>0</v>
      </c>
      <c r="C14" s="463" t="s">
        <v>2</v>
      </c>
      <c r="D14" s="463"/>
      <c r="E14" s="463"/>
      <c r="F14" s="463"/>
      <c r="G14" s="464"/>
    </row>
    <row r="15" spans="2:16" ht="24" customHeight="1" x14ac:dyDescent="0.25">
      <c r="B15" s="5">
        <v>8513545</v>
      </c>
      <c r="C15" s="213" t="str">
        <f>+VLOOKUP(B15,Base!$A$1:$E$2346,2,FALSE)</f>
        <v>Colector sin valvula de corte(CLAW ASSY,.63,F-S MAX,FORMED)</v>
      </c>
      <c r="D15" s="214">
        <f>+VLOOKUP(B15,Base!$A$1:$E$2645,3,FALSE)</f>
        <v>1</v>
      </c>
      <c r="E15" s="213">
        <f>+VLOOKUP(B15,Base!$A$1:$E$2346,5,FALSE)</f>
        <v>831.37741848877704</v>
      </c>
      <c r="F15" s="3">
        <f>+$C$1</f>
        <v>1</v>
      </c>
      <c r="G15" s="4">
        <f>E15/D15*F15</f>
        <v>831.37741848877704</v>
      </c>
    </row>
    <row r="16" spans="2:16" x14ac:dyDescent="0.25">
      <c r="B16" s="5">
        <v>8517327</v>
      </c>
      <c r="C16" s="213" t="str">
        <f>+VLOOKUP(B16,Base!$A$1:$E$2346,2,FALSE)</f>
        <v>Casquillo (SHELL ASSY,STD SS)</v>
      </c>
      <c r="D16" s="214">
        <f>+VLOOKUP(B16,Base!$A$1:$E$2645,3,FALSE)</f>
        <v>1</v>
      </c>
      <c r="E16" s="213">
        <f>+VLOOKUP(B16,Base!$A$1:$E$2346,5,FALSE)</f>
        <v>49.868955592105252</v>
      </c>
      <c r="F16" s="6">
        <f>+$C$1*4</f>
        <v>4</v>
      </c>
      <c r="G16" s="4">
        <f t="shared" ref="G16:G23" si="1">E16/D16*F16</f>
        <v>199.47582236842101</v>
      </c>
    </row>
    <row r="17" spans="2:16" x14ac:dyDescent="0.25">
      <c r="B17" s="5">
        <v>8512007</v>
      </c>
      <c r="C17" s="213" t="str">
        <f>+VLOOKUP(B17,Base!$A$1:$E$2346,2,FALSE)</f>
        <v>Tubo Corto(TUBE,7",PULSE,SHORT,CLR CS/100)</v>
      </c>
      <c r="D17" s="214">
        <f>+VLOOKUP(B17,Base!$A$1:$E$2645,3,FALSE)</f>
        <v>100</v>
      </c>
      <c r="E17" s="213">
        <f>+VLOOKUP(B17,Base!$A$1:$E$2346,5,FALSE)</f>
        <v>359.98828773788921</v>
      </c>
      <c r="F17" s="6">
        <f>+$C$1*4</f>
        <v>4</v>
      </c>
      <c r="G17" s="4">
        <f t="shared" si="1"/>
        <v>14.399531509515569</v>
      </c>
    </row>
    <row r="18" spans="2:16" x14ac:dyDescent="0.25">
      <c r="B18" s="5">
        <v>8589532</v>
      </c>
      <c r="C18" s="213" t="str">
        <f>+VLOOKUP(B18,Base!$A$1:$E$2346,2,FALSE)</f>
        <v>Pezonera(LINER,MAG 400MX,VENTED,CS/100)</v>
      </c>
      <c r="D18" s="214">
        <f>+VLOOKUP(B18,Base!$A$1:$E$2645,3,FALSE)</f>
        <v>100</v>
      </c>
      <c r="E18" s="213">
        <f>+VLOOKUP(B18,Base!$A$1:$E$2346,5,FALSE)</f>
        <v>1000.5366641773895</v>
      </c>
      <c r="F18" s="6">
        <f>+$C$1*4</f>
        <v>4</v>
      </c>
      <c r="G18" s="4">
        <f t="shared" si="1"/>
        <v>40.02146656709558</v>
      </c>
    </row>
    <row r="19" spans="2:16" x14ac:dyDescent="0.25">
      <c r="B19" s="5">
        <v>8590224</v>
      </c>
      <c r="C19" s="213" t="str">
        <f>+VLOOKUP(B19,Base!$A$1:$E$2346,2,FALSE)</f>
        <v>HOSE,MILK,B/M,5/8 IDX500FT</v>
      </c>
      <c r="D19" s="214" t="str">
        <f>+VLOOKUP(B19,Base!$A$1:$E$2645,3,FALSE)</f>
        <v>500 ft</v>
      </c>
      <c r="E19" s="213">
        <f>+VLOOKUP(B19,Base!$A$1:$E$2346,5,FALSE)</f>
        <v>2307.9030541738748</v>
      </c>
      <c r="F19" s="6">
        <f>+$C$1*3</f>
        <v>3</v>
      </c>
      <c r="G19" s="7">
        <f>+E19/150*F19</f>
        <v>46.158061083477492</v>
      </c>
    </row>
    <row r="20" spans="2:16" x14ac:dyDescent="0.25">
      <c r="B20" s="5">
        <v>8506897</v>
      </c>
      <c r="C20" s="213" t="str">
        <f>+VLOOKUP(B20,Base!$A$1:$E$2346,2,FALSE)</f>
        <v>RETAINER,HANGER,CLAW</v>
      </c>
      <c r="D20" s="214">
        <f>+VLOOKUP(B20,Base!$A$1:$E$2645,3,FALSE)</f>
        <v>1</v>
      </c>
      <c r="E20" s="213">
        <f>+VLOOKUP(B20,Base!$A$1:$E$2346,5,FALSE)</f>
        <v>35.951279750386988</v>
      </c>
      <c r="F20" s="6">
        <f>1*$C$1</f>
        <v>1</v>
      </c>
      <c r="G20" s="4">
        <f t="shared" si="1"/>
        <v>35.951279750386988</v>
      </c>
    </row>
    <row r="21" spans="2:16" x14ac:dyDescent="0.25">
      <c r="B21" s="5">
        <v>8506854</v>
      </c>
      <c r="C21" s="213" t="str">
        <f>+VLOOKUP(B21,Base!$A$1:$E$2346,2,FALSE)</f>
        <v>HANGER,FLO-STAR</v>
      </c>
      <c r="D21" s="214">
        <f>+VLOOKUP(B21,Base!$A$1:$E$2645,3,FALSE)</f>
        <v>1</v>
      </c>
      <c r="E21" s="213">
        <f>+VLOOKUP(B21,Base!$A$1:$E$2346,5,FALSE)</f>
        <v>29.269491582817334</v>
      </c>
      <c r="F21" s="6">
        <f>+$C$1*1</f>
        <v>1</v>
      </c>
      <c r="G21" s="4">
        <f t="shared" si="1"/>
        <v>29.269491582817334</v>
      </c>
    </row>
    <row r="22" spans="2:16" x14ac:dyDescent="0.25">
      <c r="B22" s="67" t="s">
        <v>981</v>
      </c>
      <c r="C22" s="213" t="str">
        <f>+VLOOKUP(B22,Base!$A$1:$E$2346,2,FALSE)</f>
        <v>manguera de pulsado doble 2x7X12 Boumatic</v>
      </c>
      <c r="D22" s="214">
        <f>+VLOOKUP(B22,Base!$A$1:$E$2645,3,FALSE)</f>
        <v>25</v>
      </c>
      <c r="E22" s="213">
        <f>+VLOOKUP(B22,Base!$A$1:$E$2346,5,FALSE)</f>
        <v>75.692041522491351</v>
      </c>
      <c r="F22" s="6">
        <f>3*$C$1</f>
        <v>3</v>
      </c>
      <c r="G22" s="4">
        <f t="shared" si="1"/>
        <v>9.0830449826989614</v>
      </c>
    </row>
    <row r="23" spans="2:16" ht="85.5" customHeight="1" x14ac:dyDescent="0.25">
      <c r="B23" s="8">
        <v>8513217</v>
      </c>
      <c r="C23" s="213" t="str">
        <f>+VLOOKUP(B23,Base!$A$1:$E$2346,2,FALSE)</f>
        <v>RING,RETENTION,HOSE,1.38</v>
      </c>
      <c r="D23" s="214">
        <f>+VLOOKUP(B23,Base!$A$1:$E$2645,3,FALSE)</f>
        <v>1</v>
      </c>
      <c r="E23" s="213">
        <f>+VLOOKUP(B23,Base!$A$1:$E$2346,5,FALSE)</f>
        <v>4.4979842298761596</v>
      </c>
      <c r="F23" s="9">
        <f>3*$C$1</f>
        <v>3</v>
      </c>
      <c r="G23" s="4">
        <f t="shared" si="1"/>
        <v>13.493952689628479</v>
      </c>
    </row>
    <row r="24" spans="2:16" x14ac:dyDescent="0.25">
      <c r="B24" s="12"/>
      <c r="C24" s="12"/>
      <c r="D24" s="12"/>
      <c r="E24" s="12"/>
      <c r="F24" s="12"/>
      <c r="G24" s="12"/>
    </row>
    <row r="25" spans="2:16" ht="15.75" thickBot="1" x14ac:dyDescent="0.3">
      <c r="B25" s="1" t="s">
        <v>0</v>
      </c>
      <c r="C25" s="463" t="s">
        <v>3</v>
      </c>
      <c r="D25" s="463"/>
      <c r="E25" s="463"/>
      <c r="F25" s="463"/>
      <c r="G25" s="464"/>
    </row>
    <row r="26" spans="2:16" x14ac:dyDescent="0.25">
      <c r="B26" s="13">
        <v>8514721</v>
      </c>
      <c r="C26" s="213" t="str">
        <f>+VLOOKUP(B26,Base!$A$1:$E$2346,2,FALSE)</f>
        <v>Distribuidor de lavado plastico(DISTRIBUTOR,PLASTIC,JETTER</v>
      </c>
      <c r="D26" s="214">
        <f>+VLOOKUP(B26,Base!$A$1:$E$2645,3,FALSE)</f>
        <v>1</v>
      </c>
      <c r="E26" s="213">
        <f>+VLOOKUP(B26,Base!$A$1:$E$2346,5,FALSE)</f>
        <v>13.689517221362228</v>
      </c>
      <c r="F26" s="14">
        <f>+$C$1</f>
        <v>1</v>
      </c>
      <c r="G26" s="15">
        <f>E26/D26*F26</f>
        <v>13.689517221362228</v>
      </c>
      <c r="K26" s="13">
        <v>8514721</v>
      </c>
      <c r="L26" s="213" t="s">
        <v>392</v>
      </c>
      <c r="M26" s="214">
        <v>1</v>
      </c>
      <c r="N26" s="213">
        <v>13.428764512383898</v>
      </c>
      <c r="O26" s="14">
        <v>12</v>
      </c>
      <c r="P26" s="15">
        <v>161.14517414860677</v>
      </c>
    </row>
    <row r="27" spans="2:16" x14ac:dyDescent="0.25">
      <c r="B27" s="5">
        <v>8514719</v>
      </c>
      <c r="C27" s="213" t="str">
        <f>+VLOOKUP(B27,Base!$A$1:$E$2346,2,FALSE)</f>
        <v>T plastica para ducha lavado(TEE,PLASTIC,5/8 HOSE)</v>
      </c>
      <c r="D27" s="214">
        <f>+VLOOKUP(B27,Base!$A$1:$E$2645,3,FALSE)</f>
        <v>1</v>
      </c>
      <c r="E27" s="213">
        <f>+VLOOKUP(B27,Base!$A$1:$E$2346,5,FALSE)</f>
        <v>15.482192095588234</v>
      </c>
      <c r="F27" s="6">
        <f>+$C$1</f>
        <v>1</v>
      </c>
      <c r="G27" s="4">
        <f t="shared" ref="G27:G32" si="2">E27/D27*F27</f>
        <v>15.482192095588234</v>
      </c>
      <c r="K27" s="5">
        <v>8514719</v>
      </c>
      <c r="L27" s="213" t="s">
        <v>391</v>
      </c>
      <c r="M27" s="214">
        <v>1</v>
      </c>
      <c r="N27" s="213">
        <v>15.188845297987616</v>
      </c>
      <c r="O27" s="6">
        <v>12</v>
      </c>
      <c r="P27" s="4">
        <v>182.2661435758514</v>
      </c>
    </row>
    <row r="28" spans="2:16" x14ac:dyDescent="0.25">
      <c r="B28" s="5">
        <v>8517844</v>
      </c>
      <c r="C28" s="213" t="str">
        <f>+VLOOKUP(B28,Base!$A$1:$E$2346,2,FALSE)</f>
        <v>Valvula de drenaje ducha de lavado(VALVE,CHECK,DUCK-BILL,RUB.)</v>
      </c>
      <c r="D28" s="214">
        <f>+VLOOKUP(B28,Base!$A$1:$E$2645,3,FALSE)</f>
        <v>1</v>
      </c>
      <c r="E28" s="213">
        <f>+VLOOKUP(B28,Base!$A$1:$E$2346,5,FALSE)</f>
        <v>5.3327550551470582</v>
      </c>
      <c r="F28" s="6">
        <f>+$C$1</f>
        <v>1</v>
      </c>
      <c r="G28" s="4">
        <f t="shared" si="2"/>
        <v>5.3327550551470582</v>
      </c>
      <c r="K28" s="5">
        <v>8517844</v>
      </c>
      <c r="L28" s="213" t="s">
        <v>425</v>
      </c>
      <c r="M28" s="214">
        <v>1</v>
      </c>
      <c r="N28" s="213">
        <v>3.8877504595588221</v>
      </c>
      <c r="O28" s="6">
        <v>12</v>
      </c>
      <c r="P28" s="4">
        <v>46.653005514705868</v>
      </c>
    </row>
    <row r="29" spans="2:16" x14ac:dyDescent="0.25">
      <c r="B29" s="5">
        <v>8503022</v>
      </c>
      <c r="C29" s="213" t="str">
        <f>+VLOOKUP(B29,Base!$A$1:$E$2346,2,FALSE)</f>
        <v>Ducha de lavado(CUP,JETTER,R/MAG-SERIES)</v>
      </c>
      <c r="D29" s="214">
        <f>+VLOOKUP(B29,Base!$A$1:$E$2645,3,FALSE)</f>
        <v>1</v>
      </c>
      <c r="E29" s="213">
        <f>+VLOOKUP(B29,Base!$A$1:$E$2346,5,FALSE)</f>
        <v>7.1209482421874979</v>
      </c>
      <c r="F29" s="6">
        <f>+$C$1*4</f>
        <v>4</v>
      </c>
      <c r="G29" s="4">
        <f t="shared" si="2"/>
        <v>28.483792968749992</v>
      </c>
      <c r="K29" s="5">
        <v>8503022</v>
      </c>
      <c r="L29" s="213" t="s">
        <v>277</v>
      </c>
      <c r="M29" s="214">
        <v>1</v>
      </c>
      <c r="N29" s="213">
        <v>7.1209482421874979</v>
      </c>
      <c r="O29" s="6">
        <v>48</v>
      </c>
      <c r="P29" s="4">
        <v>341.80551562499988</v>
      </c>
    </row>
    <row r="30" spans="2:16" x14ac:dyDescent="0.25">
      <c r="B30" s="5">
        <v>8518076</v>
      </c>
      <c r="C30" s="213" t="str">
        <f>+VLOOKUP(B30,Base!$A$1:$E$2346,2,FALSE)</f>
        <v>Restrictor de flujo(ORIFICE,WASH LINE)</v>
      </c>
      <c r="D30" s="214">
        <f>+VLOOKUP(B30,Base!$A$1:$E$2645,3,FALSE)</f>
        <v>1</v>
      </c>
      <c r="E30" s="213">
        <f>+VLOOKUP(B30,Base!$A$1:$E$2346,5,FALSE)</f>
        <v>18.415660071594424</v>
      </c>
      <c r="F30" s="6">
        <f>+$C$1</f>
        <v>1</v>
      </c>
      <c r="G30" s="4">
        <f t="shared" si="2"/>
        <v>18.415660071594424</v>
      </c>
      <c r="K30" s="5">
        <v>8518076</v>
      </c>
      <c r="L30" s="213" t="s">
        <v>427</v>
      </c>
      <c r="M30" s="214">
        <v>1</v>
      </c>
      <c r="N30" s="213">
        <v>17.209678792569658</v>
      </c>
      <c r="O30" s="6">
        <v>12</v>
      </c>
      <c r="P30" s="4">
        <v>206.51614551083588</v>
      </c>
    </row>
    <row r="31" spans="2:16" x14ac:dyDescent="0.25">
      <c r="B31" s="5">
        <v>8590224</v>
      </c>
      <c r="C31" s="213" t="str">
        <f>+VLOOKUP(B31,Base!$A$1:$E$2346,2,FALSE)</f>
        <v>HOSE,MILK,B/M,5/8 IDX500FT</v>
      </c>
      <c r="D31" s="214" t="str">
        <f>+VLOOKUP(B31,Base!$A$1:$E$2645,3,FALSE)</f>
        <v>500 ft</v>
      </c>
      <c r="E31" s="213">
        <f>+VLOOKUP(B31,Base!$A$1:$E$2346,5,FALSE)</f>
        <v>2307.9030541738748</v>
      </c>
      <c r="F31" s="6">
        <f>3*$C$1</f>
        <v>3</v>
      </c>
      <c r="G31" s="7">
        <f>+E31/150*F31</f>
        <v>46.158061083477492</v>
      </c>
      <c r="K31" s="5">
        <v>8590224</v>
      </c>
      <c r="L31" s="213" t="s">
        <v>8</v>
      </c>
      <c r="M31" s="214" t="s">
        <v>467</v>
      </c>
      <c r="N31" s="213">
        <v>1887.6252889814011</v>
      </c>
      <c r="O31" s="6">
        <v>36</v>
      </c>
      <c r="P31" s="7">
        <v>453.03006935553628</v>
      </c>
    </row>
    <row r="32" spans="2:16" x14ac:dyDescent="0.25">
      <c r="B32" s="8">
        <v>8500819</v>
      </c>
      <c r="C32" s="213" t="str">
        <f>+VLOOKUP(B32,Base!$A$1:$E$2346,2,FALSE)</f>
        <v>Conector (NIPPLE ASSY,STR,PLSTC,2 IN)</v>
      </c>
      <c r="D32" s="214">
        <f>+VLOOKUP(B32,Base!$A$1:$E$2645,3,FALSE)</f>
        <v>1</v>
      </c>
      <c r="E32" s="213">
        <f>+VLOOKUP(B32,Base!$A$1:$E$2346,5,FALSE)</f>
        <v>35.038645268962846</v>
      </c>
      <c r="F32" s="11">
        <f>+$C$1</f>
        <v>1</v>
      </c>
      <c r="G32" s="4">
        <f t="shared" si="2"/>
        <v>35.038645268962846</v>
      </c>
      <c r="K32" s="8">
        <v>8500819</v>
      </c>
      <c r="L32" s="213" t="s">
        <v>249</v>
      </c>
      <c r="M32" s="214">
        <v>1</v>
      </c>
      <c r="N32" s="213">
        <v>34.35416940789473</v>
      </c>
      <c r="O32" s="11">
        <v>12</v>
      </c>
      <c r="P32" s="4">
        <v>412.25003289473676</v>
      </c>
    </row>
    <row r="33" spans="2:7" x14ac:dyDescent="0.25">
      <c r="B33" s="12"/>
      <c r="C33" s="12"/>
      <c r="D33" s="12"/>
      <c r="E33" s="12"/>
      <c r="F33" s="12"/>
      <c r="G33" s="12"/>
    </row>
  </sheetData>
  <mergeCells count="3">
    <mergeCell ref="C4:G4"/>
    <mergeCell ref="C14:G14"/>
    <mergeCell ref="C25:G25"/>
  </mergeCells>
  <hyperlinks>
    <hyperlink ref="I2" location="presu!A1" display="Presupuesto" xr:uid="{FB22A2E2-D2C5-433B-9FAF-D476212ABB1A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 macro="[0]!Macro2">
                <anchor moveWithCells="1">
                  <from>
                    <xdr:col>7</xdr:col>
                    <xdr:colOff>171450</xdr:colOff>
                    <xdr:row>3</xdr:row>
                    <xdr:rowOff>152400</xdr:rowOff>
                  </from>
                  <to>
                    <xdr:col>9</xdr:col>
                    <xdr:colOff>333375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0]!limpiar1">
                <anchor moveWithCells="1">
                  <from>
                    <xdr:col>7</xdr:col>
                    <xdr:colOff>171450</xdr:colOff>
                    <xdr:row>6</xdr:row>
                    <xdr:rowOff>152400</xdr:rowOff>
                  </from>
                  <to>
                    <xdr:col>9</xdr:col>
                    <xdr:colOff>333375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Option Button 4">
              <controlPr defaultSize="0" autoFill="0" autoLine="0" autoPict="0" macro="[0]!Macro3">
                <anchor moveWithCells="1">
                  <from>
                    <xdr:col>7</xdr:col>
                    <xdr:colOff>171450</xdr:colOff>
                    <xdr:row>15</xdr:row>
                    <xdr:rowOff>152400</xdr:rowOff>
                  </from>
                  <to>
                    <xdr:col>9</xdr:col>
                    <xdr:colOff>333375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Option Button 6">
              <controlPr defaultSize="0" autoFill="0" autoLine="0" autoPict="0" macro="[0]!Macro4">
                <anchor moveWithCells="1">
                  <from>
                    <xdr:col>7</xdr:col>
                    <xdr:colOff>171450</xdr:colOff>
                    <xdr:row>25</xdr:row>
                    <xdr:rowOff>152400</xdr:rowOff>
                  </from>
                  <to>
                    <xdr:col>9</xdr:col>
                    <xdr:colOff>333375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Option Button 10">
              <controlPr defaultSize="0" autoFill="0" autoLine="0" autoPict="0" macro="[0]!limpiar2">
                <anchor moveWithCells="1">
                  <from>
                    <xdr:col>7</xdr:col>
                    <xdr:colOff>190500</xdr:colOff>
                    <xdr:row>19</xdr:row>
                    <xdr:rowOff>57150</xdr:rowOff>
                  </from>
                  <to>
                    <xdr:col>9</xdr:col>
                    <xdr:colOff>352425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Option Button 11">
              <controlPr defaultSize="0" autoFill="0" autoLine="0" autoPict="0" macro="[0]!limpiar3">
                <anchor moveWithCells="1">
                  <from>
                    <xdr:col>7</xdr:col>
                    <xdr:colOff>142875</xdr:colOff>
                    <xdr:row>28</xdr:row>
                    <xdr:rowOff>114300</xdr:rowOff>
                  </from>
                  <to>
                    <xdr:col>9</xdr:col>
                    <xdr:colOff>304800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Option Button 13">
              <controlPr defaultSize="0" autoFill="0" autoLine="0" autoPict="0" macro="[0]!llevarunidadespresu">
                <anchor moveWithCells="1">
                  <from>
                    <xdr:col>11</xdr:col>
                    <xdr:colOff>171450</xdr:colOff>
                    <xdr:row>1</xdr:row>
                    <xdr:rowOff>152400</xdr:rowOff>
                  </from>
                  <to>
                    <xdr:col>11</xdr:col>
                    <xdr:colOff>1552575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P99"/>
  <sheetViews>
    <sheetView workbookViewId="0">
      <selection activeCell="K5" sqref="K5:P99"/>
    </sheetView>
  </sheetViews>
  <sheetFormatPr baseColWidth="10" defaultColWidth="8.7109375" defaultRowHeight="15" x14ac:dyDescent="0.25"/>
  <cols>
    <col min="2" max="2" width="10.42578125" style="281" bestFit="1" customWidth="1"/>
    <col min="3" max="3" width="53.5703125" bestFit="1" customWidth="1"/>
    <col min="4" max="4" width="2" bestFit="1" customWidth="1"/>
    <col min="5" max="5" width="11" bestFit="1" customWidth="1"/>
    <col min="6" max="6" width="4.42578125" bestFit="1" customWidth="1"/>
    <col min="7" max="7" width="11" bestFit="1" customWidth="1"/>
    <col min="12" max="12" width="47.42578125" bestFit="1" customWidth="1"/>
    <col min="14" max="14" width="10" bestFit="1" customWidth="1"/>
    <col min="16" max="16" width="10" bestFit="1" customWidth="1"/>
  </cols>
  <sheetData>
    <row r="2" spans="2:9" ht="21" x14ac:dyDescent="0.35">
      <c r="I2" s="156" t="s">
        <v>1879</v>
      </c>
    </row>
    <row r="3" spans="2:9" ht="15.75" thickBot="1" x14ac:dyDescent="0.3">
      <c r="B3" s="282" t="s">
        <v>0</v>
      </c>
      <c r="C3" s="463" t="s">
        <v>13</v>
      </c>
      <c r="D3" s="463"/>
      <c r="E3" s="463"/>
      <c r="F3" s="463"/>
      <c r="G3" s="464"/>
    </row>
    <row r="4" spans="2:9" x14ac:dyDescent="0.25">
      <c r="B4" s="281" t="s">
        <v>1834</v>
      </c>
      <c r="C4" t="s">
        <v>1829</v>
      </c>
      <c r="D4" t="s">
        <v>1830</v>
      </c>
      <c r="E4" t="s">
        <v>1831</v>
      </c>
      <c r="F4" t="s">
        <v>1832</v>
      </c>
      <c r="G4" t="s">
        <v>1833</v>
      </c>
    </row>
    <row r="5" spans="2:9" x14ac:dyDescent="0.25">
      <c r="B5" s="283">
        <v>8582767</v>
      </c>
      <c r="C5" s="213" t="str">
        <f>+VLOOKUP(B5,Base!$A$1:$E$2346,2,FALSE)</f>
        <v>Bomba a Lobulos de 2400 l/min (Air-Star DSL BP-140 5/7.5 Hp)</v>
      </c>
      <c r="D5" s="214">
        <f>+VLOOKUP(B5,Base!$A$1:$E$2645,3,FALSE)</f>
        <v>1</v>
      </c>
      <c r="E5" s="213">
        <f>+VLOOKUP(B5,Base!$A$1:$E$2346,5,FALSE)</f>
        <v>8253.6048595805914</v>
      </c>
      <c r="F5" s="20">
        <v>1</v>
      </c>
      <c r="G5" s="21">
        <f>E5/D5*F5</f>
        <v>8253.6048595805914</v>
      </c>
    </row>
    <row r="6" spans="2:9" x14ac:dyDescent="0.25">
      <c r="B6" s="291">
        <v>8582621</v>
      </c>
      <c r="C6" s="268" t="str">
        <f>+VLOOKUP(B6,Base!$A$1:$E$2346,2,FALSE)</f>
        <v>PUMP ASSY,AIR-STAR,7.5HP,DSL</v>
      </c>
      <c r="D6" s="269">
        <f>+VLOOKUP(B6,Base!$A$1:$E$2645,3,FALSE)</f>
        <v>1</v>
      </c>
      <c r="E6" s="268">
        <f>+VLOOKUP(B6,Base!$A$1:$E$2346,5,FALSE)</f>
        <v>6133.8815378289473</v>
      </c>
      <c r="F6" s="22">
        <v>1</v>
      </c>
      <c r="G6" s="23">
        <v>0</v>
      </c>
    </row>
    <row r="7" spans="2:9" x14ac:dyDescent="0.25">
      <c r="B7" s="284">
        <v>8515466</v>
      </c>
      <c r="C7" s="213" t="str">
        <f>+VLOOKUP(B7,Base!$A$1:$E$2346,2,FALSE)</f>
        <v>COUPLING ASSY,2-1/2 FLEX</v>
      </c>
      <c r="D7" s="214">
        <f>+VLOOKUP(B7,Base!$A$1:$E$2645,3,FALSE)</f>
        <v>1</v>
      </c>
      <c r="E7" s="213">
        <f>+VLOOKUP(B7,Base!$A$1:$E$2346,5,FALSE)</f>
        <v>248.49733165634669</v>
      </c>
      <c r="F7" s="22">
        <v>1</v>
      </c>
      <c r="G7" s="23">
        <v>0</v>
      </c>
    </row>
    <row r="8" spans="2:9" x14ac:dyDescent="0.25">
      <c r="B8" s="284">
        <v>8504117</v>
      </c>
      <c r="C8" s="213" t="str">
        <f>+VLOOKUP(B8,Base!$A$1:$E$2346,2,FALSE)</f>
        <v>SILENCER,2.50</v>
      </c>
      <c r="D8" s="214">
        <f>+VLOOKUP(B8,Base!$A$1:$E$2645,3,FALSE)</f>
        <v>1</v>
      </c>
      <c r="E8" s="213">
        <f>+VLOOKUP(B8,Base!$A$1:$E$2346,5,FALSE)</f>
        <v>1018.5326753579719</v>
      </c>
      <c r="F8" s="22">
        <v>1</v>
      </c>
      <c r="G8" s="23">
        <v>0</v>
      </c>
    </row>
    <row r="9" spans="2:9" x14ac:dyDescent="0.25">
      <c r="B9" s="284">
        <v>8553787</v>
      </c>
      <c r="C9" s="213" t="str">
        <f>+VLOOKUP(B9,Base!$A$1:$E$2346,2,FALSE)</f>
        <v>OIL,VAC-PUMP, 1 GAL,AIR-STAR</v>
      </c>
      <c r="D9" s="214">
        <f>+VLOOKUP(B9,Base!$A$1:$E$2645,3,FALSE)</f>
        <v>1</v>
      </c>
      <c r="E9" s="213">
        <f>+VLOOKUP(B9,Base!$A$1:$E$2346,5,FALSE)</f>
        <v>132.69958869485293</v>
      </c>
      <c r="F9" s="22">
        <v>1</v>
      </c>
      <c r="G9" s="23">
        <v>0</v>
      </c>
    </row>
    <row r="10" spans="2:9" x14ac:dyDescent="0.25">
      <c r="B10" s="285">
        <v>8507139</v>
      </c>
      <c r="C10" s="213" t="str">
        <f>+VLOOKUP(B10,Base!$A$1:$E$2346,2,FALSE)</f>
        <v>Trampa con filtro inox, para bomba a lobulos (Bou-matic- Vac. Filter)</v>
      </c>
      <c r="D10" s="214">
        <f>+VLOOKUP(B10,Base!$A$1:$E$2645,3,FALSE)</f>
        <v>1</v>
      </c>
      <c r="E10" s="213">
        <f>+VLOOKUP(B10,Base!$A$1:$E$2346,5,FALSE)</f>
        <v>1786.3927179276316</v>
      </c>
      <c r="F10" s="24">
        <v>1</v>
      </c>
      <c r="G10" s="4">
        <f t="shared" ref="G10:G15" si="0">E10/D10*F10</f>
        <v>1786.3927179276316</v>
      </c>
    </row>
    <row r="11" spans="2:9" x14ac:dyDescent="0.25">
      <c r="B11" s="285">
        <v>8516814</v>
      </c>
      <c r="C11" s="213" t="str">
        <f>+VLOOKUP(B11,Base!$A$1:$E$2346,2,FALSE)</f>
        <v>Valvula de zafe de vacio (Vacuum Relief Valve)</v>
      </c>
      <c r="D11" s="214">
        <f>+VLOOKUP(B11,Base!$A$1:$E$2645,3,FALSE)</f>
        <v>1</v>
      </c>
      <c r="E11" s="213">
        <f>+VLOOKUP(B11,Base!$A$1:$E$2346,5,FALSE)</f>
        <v>356.95053998161757</v>
      </c>
      <c r="F11" s="24">
        <v>1</v>
      </c>
      <c r="G11" s="4">
        <f t="shared" si="0"/>
        <v>356.95053998161757</v>
      </c>
    </row>
    <row r="12" spans="2:9" x14ac:dyDescent="0.25">
      <c r="B12" s="286">
        <v>8517041</v>
      </c>
      <c r="C12" s="213" t="str">
        <f>+VLOOKUP(B12,Base!$A$1:$E$2346,2,FALSE)</f>
        <v>VALVE,GATE,3IN.ID</v>
      </c>
      <c r="D12" s="214">
        <f>+VLOOKUP(B12,Base!$A$1:$E$2645,3,FALSE)</f>
        <v>1</v>
      </c>
      <c r="E12" s="213">
        <f>+VLOOKUP(B12,Base!$A$1:$E$2346,5,FALSE)</f>
        <v>86.961028444272415</v>
      </c>
      <c r="F12" s="24">
        <v>1</v>
      </c>
      <c r="G12" s="4">
        <f t="shared" si="0"/>
        <v>86.961028444272415</v>
      </c>
    </row>
    <row r="13" spans="2:9" x14ac:dyDescent="0.25">
      <c r="B13" s="287">
        <v>8500912</v>
      </c>
      <c r="C13" s="213" t="str">
        <f>+VLOOKUP(B13,Base!$A$1:$E$2346,2,FALSE)</f>
        <v>STAND,TRIANGULAR</v>
      </c>
      <c r="D13" s="214">
        <f>+VLOOKUP(B13,Base!$A$1:$E$2645,3,FALSE)</f>
        <v>1</v>
      </c>
      <c r="E13" s="213">
        <f>+VLOOKUP(B13,Base!$A$1:$E$2346,5,FALSE)</f>
        <v>184.22965398848683</v>
      </c>
      <c r="F13" s="24">
        <v>1</v>
      </c>
      <c r="G13" s="4">
        <f t="shared" si="0"/>
        <v>184.22965398848683</v>
      </c>
    </row>
    <row r="14" spans="2:9" x14ac:dyDescent="0.25">
      <c r="B14" s="286">
        <v>14124</v>
      </c>
      <c r="C14" s="213" t="str">
        <f>+VLOOKUP(B14,Base!$A$1:$E$2346,2,FALSE)</f>
        <v>CHECK VALVE 3" PVC, CANPLAS</v>
      </c>
      <c r="D14" s="214">
        <f>+VLOOKUP(B14,Base!$A$1:$E$2645,3,FALSE)</f>
        <v>1</v>
      </c>
      <c r="E14" s="213">
        <f>+VLOOKUP(B14,Base!$A$1:$E$2346,5,FALSE)</f>
        <v>102.24765600812692</v>
      </c>
      <c r="F14" s="24">
        <v>1</v>
      </c>
      <c r="G14" s="4">
        <f t="shared" si="0"/>
        <v>102.24765600812692</v>
      </c>
    </row>
    <row r="15" spans="2:9" x14ac:dyDescent="0.25">
      <c r="B15" s="286">
        <v>8584192</v>
      </c>
      <c r="C15" s="213" t="str">
        <f>+VLOOKUP(B15,Base!$A$1:$E$2346,2,FALSE)</f>
        <v>Valvula reguladora (orion REGULATOR,VAC,BOUVAC 5000)</v>
      </c>
      <c r="D15" s="214">
        <f>+VLOOKUP(B15,Base!$A$1:$E$2645,3,FALSE)</f>
        <v>1</v>
      </c>
      <c r="E15" s="213">
        <f>+VLOOKUP(B15,Base!$A$1:$E$2346,5,FALSE)</f>
        <v>1436.1645674740487</v>
      </c>
      <c r="F15" s="24">
        <v>1</v>
      </c>
      <c r="G15" s="4">
        <f t="shared" si="0"/>
        <v>1436.1645674740487</v>
      </c>
    </row>
    <row r="16" spans="2:9" ht="15.75" thickBot="1" x14ac:dyDescent="0.3">
      <c r="B16" s="282" t="s">
        <v>0</v>
      </c>
      <c r="C16" s="463" t="s">
        <v>14</v>
      </c>
      <c r="D16" s="463"/>
      <c r="E16" s="463"/>
      <c r="F16" s="463"/>
      <c r="G16" s="464"/>
    </row>
    <row r="17" spans="2:7" x14ac:dyDescent="0.25">
      <c r="B17" s="288">
        <v>8582765</v>
      </c>
      <c r="C17" s="213" t="str">
        <f>+VLOOKUP(B17,Base!$A$1:$E$2346,2,FALSE)</f>
        <v>Bomba a lobulos 4400 l/min(Air-Star DSL  BP-200 7.5/10 Hp)</v>
      </c>
      <c r="D17" s="214">
        <f>+VLOOKUP(B17,Base!$A$1:$E$2645,3,FALSE)</f>
        <v>1</v>
      </c>
      <c r="E17" s="213">
        <f>+VLOOKUP(B17,Base!$A$1:$E$2346,5,FALSE)</f>
        <v>10587.070861430922</v>
      </c>
      <c r="F17" s="20">
        <v>1</v>
      </c>
      <c r="G17" s="21">
        <f t="shared" ref="G17:G27" si="1">E17/D17*F17</f>
        <v>10587.070861430922</v>
      </c>
    </row>
    <row r="18" spans="2:7" x14ac:dyDescent="0.25">
      <c r="B18" s="291">
        <v>8582622</v>
      </c>
      <c r="C18" s="268" t="str">
        <f>+VLOOKUP(B18,Base!$A$1:$E$2346,2,FALSE)</f>
        <v>PUMP ASSY,AIR-STAR,10HP,DSL</v>
      </c>
      <c r="D18" s="269">
        <f>+VLOOKUP(B18,Base!$A$1:$E$2645,3,FALSE)</f>
        <v>1</v>
      </c>
      <c r="E18" s="268">
        <f>+VLOOKUP(B18,Base!$A$1:$E$2346,5,FALSE)</f>
        <v>8643.9523026315765</v>
      </c>
      <c r="F18" s="22">
        <v>1</v>
      </c>
      <c r="G18" s="23"/>
    </row>
    <row r="19" spans="2:7" x14ac:dyDescent="0.25">
      <c r="B19" s="284">
        <v>8515466</v>
      </c>
      <c r="C19" s="213" t="str">
        <f>+VLOOKUP(B19,Base!$A$1:$E$2346,2,FALSE)</f>
        <v>COUPLING ASSY,2-1/2 FLEX</v>
      </c>
      <c r="D19" s="214">
        <f>+VLOOKUP(B19,Base!$A$1:$E$2645,3,FALSE)</f>
        <v>1</v>
      </c>
      <c r="E19" s="213">
        <f>+VLOOKUP(B19,Base!$A$1:$E$2346,5,FALSE)</f>
        <v>248.49733165634669</v>
      </c>
      <c r="F19" s="22">
        <v>1</v>
      </c>
      <c r="G19" s="23"/>
    </row>
    <row r="20" spans="2:7" x14ac:dyDescent="0.25">
      <c r="B20" s="284">
        <v>8504117</v>
      </c>
      <c r="C20" s="213" t="str">
        <f>+VLOOKUP(B20,Base!$A$1:$E$2346,2,FALSE)</f>
        <v>SILENCER,2.50</v>
      </c>
      <c r="D20" s="214">
        <f>+VLOOKUP(B20,Base!$A$1:$E$2645,3,FALSE)</f>
        <v>1</v>
      </c>
      <c r="E20" s="213">
        <f>+VLOOKUP(B20,Base!$A$1:$E$2346,5,FALSE)</f>
        <v>1018.5326753579719</v>
      </c>
      <c r="F20" s="22">
        <v>1</v>
      </c>
      <c r="G20" s="23"/>
    </row>
    <row r="21" spans="2:7" x14ac:dyDescent="0.25">
      <c r="B21" s="284">
        <v>8553787</v>
      </c>
      <c r="C21" s="213" t="str">
        <f>+VLOOKUP(B21,Base!$A$1:$E$2346,2,FALSE)</f>
        <v>OIL,VAC-PUMP, 1 GAL,AIR-STAR</v>
      </c>
      <c r="D21" s="214">
        <f>+VLOOKUP(B21,Base!$A$1:$E$2645,3,FALSE)</f>
        <v>1</v>
      </c>
      <c r="E21" s="213">
        <f>+VLOOKUP(B21,Base!$A$1:$E$2346,5,FALSE)</f>
        <v>132.69958869485293</v>
      </c>
      <c r="F21" s="22">
        <v>1</v>
      </c>
      <c r="G21" s="23"/>
    </row>
    <row r="22" spans="2:7" x14ac:dyDescent="0.25">
      <c r="B22" s="285">
        <v>8507139</v>
      </c>
      <c r="C22" s="213" t="str">
        <f>+VLOOKUP(B22,Base!$A$1:$E$2346,2,FALSE)</f>
        <v>Trampa con filtro inox, para bomba a lobulos (Bou-matic- Vac. Filter)</v>
      </c>
      <c r="D22" s="214">
        <f>+VLOOKUP(B22,Base!$A$1:$E$2645,3,FALSE)</f>
        <v>1</v>
      </c>
      <c r="E22" s="213">
        <f>+VLOOKUP(B22,Base!$A$1:$E$2346,5,FALSE)</f>
        <v>1786.3927179276316</v>
      </c>
      <c r="F22" s="24">
        <v>1</v>
      </c>
      <c r="G22" s="4">
        <f t="shared" si="1"/>
        <v>1786.3927179276316</v>
      </c>
    </row>
    <row r="23" spans="2:7" x14ac:dyDescent="0.25">
      <c r="B23" s="285">
        <v>8516814</v>
      </c>
      <c r="C23" s="213" t="str">
        <f>+VLOOKUP(B23,Base!$A$1:$E$2346,2,FALSE)</f>
        <v>Valvula de zafe de vacio (Vacuum Relief Valve)</v>
      </c>
      <c r="D23" s="214">
        <f>+VLOOKUP(B23,Base!$A$1:$E$2645,3,FALSE)</f>
        <v>1</v>
      </c>
      <c r="E23" s="213">
        <f>+VLOOKUP(B23,Base!$A$1:$E$2346,5,FALSE)</f>
        <v>356.95053998161757</v>
      </c>
      <c r="F23" s="24">
        <v>1</v>
      </c>
      <c r="G23" s="4">
        <f t="shared" si="1"/>
        <v>356.95053998161757</v>
      </c>
    </row>
    <row r="24" spans="2:7" x14ac:dyDescent="0.25">
      <c r="B24" s="286">
        <v>8517041</v>
      </c>
      <c r="C24" s="213" t="str">
        <f>+VLOOKUP(B24,Base!$A$1:$E$2346,2,FALSE)</f>
        <v>VALVE,GATE,3IN.ID</v>
      </c>
      <c r="D24" s="214">
        <f>+VLOOKUP(B24,Base!$A$1:$E$2645,3,FALSE)</f>
        <v>1</v>
      </c>
      <c r="E24" s="213">
        <f>+VLOOKUP(B24,Base!$A$1:$E$2346,5,FALSE)</f>
        <v>86.961028444272415</v>
      </c>
      <c r="F24" s="24">
        <v>1</v>
      </c>
      <c r="G24" s="4">
        <f t="shared" si="1"/>
        <v>86.961028444272415</v>
      </c>
    </row>
    <row r="25" spans="2:7" x14ac:dyDescent="0.25">
      <c r="B25" s="286">
        <v>8500912</v>
      </c>
      <c r="C25" s="213" t="str">
        <f>+VLOOKUP(B25,Base!$A$1:$E$2346,2,FALSE)</f>
        <v>STAND,TRIANGULAR</v>
      </c>
      <c r="D25" s="214">
        <f>+VLOOKUP(B25,Base!$A$1:$E$2645,3,FALSE)</f>
        <v>1</v>
      </c>
      <c r="E25" s="213">
        <f>+VLOOKUP(B25,Base!$A$1:$E$2346,5,FALSE)</f>
        <v>184.22965398848683</v>
      </c>
      <c r="F25" s="24">
        <v>1</v>
      </c>
      <c r="G25" s="4">
        <f t="shared" si="1"/>
        <v>184.22965398848683</v>
      </c>
    </row>
    <row r="26" spans="2:7" x14ac:dyDescent="0.25">
      <c r="B26" s="286">
        <v>14124</v>
      </c>
      <c r="C26" s="213" t="str">
        <f>+VLOOKUP(B26,Base!$A$1:$E$2346,2,FALSE)</f>
        <v>CHECK VALVE 3" PVC, CANPLAS</v>
      </c>
      <c r="D26" s="214">
        <f>+VLOOKUP(B26,Base!$A$1:$E$2645,3,FALSE)</f>
        <v>1</v>
      </c>
      <c r="E26" s="213">
        <f>+VLOOKUP(B26,Base!$A$1:$E$2346,5,FALSE)</f>
        <v>102.24765600812692</v>
      </c>
      <c r="F26" s="24">
        <v>1</v>
      </c>
      <c r="G26" s="4">
        <f t="shared" si="1"/>
        <v>102.24765600812692</v>
      </c>
    </row>
    <row r="27" spans="2:7" x14ac:dyDescent="0.25">
      <c r="B27" s="286">
        <v>8584192</v>
      </c>
      <c r="C27" s="213" t="str">
        <f>+VLOOKUP(B27,Base!$A$1:$E$2346,2,FALSE)</f>
        <v>Valvula reguladora (orion REGULATOR,VAC,BOUVAC 5000)</v>
      </c>
      <c r="D27" s="214">
        <f>+VLOOKUP(B27,Base!$A$1:$E$2645,3,FALSE)</f>
        <v>1</v>
      </c>
      <c r="E27" s="213">
        <f>+VLOOKUP(B27,Base!$A$1:$E$2346,5,FALSE)</f>
        <v>1436.1645674740487</v>
      </c>
      <c r="F27" s="24">
        <v>1</v>
      </c>
      <c r="G27" s="4">
        <f t="shared" si="1"/>
        <v>1436.1645674740487</v>
      </c>
    </row>
    <row r="28" spans="2:7" ht="15.75" thickBot="1" x14ac:dyDescent="0.3">
      <c r="B28" s="282" t="s">
        <v>0</v>
      </c>
      <c r="C28" s="463" t="s">
        <v>15</v>
      </c>
      <c r="D28" s="463"/>
      <c r="E28" s="463"/>
      <c r="F28" s="463"/>
      <c r="G28" s="464"/>
    </row>
    <row r="29" spans="2:7" x14ac:dyDescent="0.25">
      <c r="B29" s="288">
        <v>8582766</v>
      </c>
      <c r="C29" s="213" t="str">
        <f>+VLOOKUP(B29,Base!$A$1:$E$2346,2,FALSE)</f>
        <v>Bomba a lobulos de 6000 l/min(Air-Star DSL  BP-400 15/20 Hp)</v>
      </c>
      <c r="D29" s="214">
        <f>+VLOOKUP(B29,Base!$A$1:$E$2645,3,FALSE)</f>
        <v>1</v>
      </c>
      <c r="E29" s="213">
        <f>+VLOOKUP(B29,Base!$A$1:$E$2346,5,FALSE)</f>
        <v>11503.969429070725</v>
      </c>
      <c r="F29" s="20">
        <v>1</v>
      </c>
      <c r="G29" s="21">
        <f t="shared" ref="G29:G39" si="2">E29/D29*F29</f>
        <v>11503.969429070725</v>
      </c>
    </row>
    <row r="30" spans="2:7" x14ac:dyDescent="0.25">
      <c r="B30" s="291">
        <v>8582623</v>
      </c>
      <c r="C30" s="268" t="str">
        <f>+VLOOKUP(B30,Base!$A$1:$E$2346,2,FALSE)</f>
        <v>PUMP ASSY,AIR-STAR,15-20HP</v>
      </c>
      <c r="D30" s="269">
        <f>+VLOOKUP(B30,Base!$A$1:$E$2645,3,FALSE)</f>
        <v>1</v>
      </c>
      <c r="E30" s="268">
        <f>+VLOOKUP(B30,Base!$A$1:$E$2346,5,FALSE)</f>
        <v>8976.4120065789466</v>
      </c>
      <c r="F30" s="22">
        <v>1</v>
      </c>
      <c r="G30" s="23"/>
    </row>
    <row r="31" spans="2:7" x14ac:dyDescent="0.25">
      <c r="B31" s="284">
        <v>8515467</v>
      </c>
      <c r="C31" s="213" t="str">
        <f>+VLOOKUP(B31,Base!$A$1:$E$2346,2,FALSE)</f>
        <v>COUPLING ASSY,4 FLEX</v>
      </c>
      <c r="D31" s="214">
        <f>+VLOOKUP(B31,Base!$A$1:$E$2645,3,FALSE)</f>
        <v>1</v>
      </c>
      <c r="E31" s="213">
        <f>+VLOOKUP(B31,Base!$A$1:$E$2346,5,FALSE)</f>
        <v>324.30031709558818</v>
      </c>
      <c r="F31" s="22">
        <v>1</v>
      </c>
      <c r="G31" s="23"/>
    </row>
    <row r="32" spans="2:7" x14ac:dyDescent="0.25">
      <c r="B32" s="284">
        <v>8504118</v>
      </c>
      <c r="C32" s="213" t="str">
        <f>+VLOOKUP(B32,Base!$A$1:$E$2346,2,FALSE)</f>
        <v>SILENCER,4.00</v>
      </c>
      <c r="D32" s="214">
        <f>+VLOOKUP(B32,Base!$A$1:$E$2645,3,FALSE)</f>
        <v>1</v>
      </c>
      <c r="E32" s="213">
        <f>+VLOOKUP(B32,Base!$A$1:$E$2346,5,FALSE)</f>
        <v>2487.4964824826989</v>
      </c>
      <c r="F32" s="22">
        <v>1</v>
      </c>
      <c r="G32" s="23"/>
    </row>
    <row r="33" spans="2:7" x14ac:dyDescent="0.25">
      <c r="B33" s="284">
        <v>8553787</v>
      </c>
      <c r="C33" s="213" t="str">
        <f>+VLOOKUP(B33,Base!$A$1:$E$2346,2,FALSE)</f>
        <v>OIL,VAC-PUMP, 1 GAL,AIR-STAR</v>
      </c>
      <c r="D33" s="214">
        <f>+VLOOKUP(B33,Base!$A$1:$E$2645,3,FALSE)</f>
        <v>1</v>
      </c>
      <c r="E33" s="213">
        <f>+VLOOKUP(B33,Base!$A$1:$E$2346,5,FALSE)</f>
        <v>132.69958869485293</v>
      </c>
      <c r="F33" s="22">
        <v>1</v>
      </c>
      <c r="G33" s="23"/>
    </row>
    <row r="34" spans="2:7" x14ac:dyDescent="0.25">
      <c r="B34" s="285">
        <v>8507139</v>
      </c>
      <c r="C34" s="213" t="str">
        <f>+VLOOKUP(B34,Base!$A$1:$E$2346,2,FALSE)</f>
        <v>Trampa con filtro inox, para bomba a lobulos (Bou-matic- Vac. Filter)</v>
      </c>
      <c r="D34" s="214">
        <f>+VLOOKUP(B34,Base!$A$1:$E$2645,3,FALSE)</f>
        <v>1</v>
      </c>
      <c r="E34" s="213">
        <f>+VLOOKUP(B34,Base!$A$1:$E$2346,5,FALSE)</f>
        <v>1786.3927179276316</v>
      </c>
      <c r="F34" s="24">
        <v>1</v>
      </c>
      <c r="G34" s="4">
        <f t="shared" si="2"/>
        <v>1786.3927179276316</v>
      </c>
    </row>
    <row r="35" spans="2:7" x14ac:dyDescent="0.25">
      <c r="B35" s="289">
        <v>8516815</v>
      </c>
      <c r="C35" s="213" t="str">
        <f>+VLOOKUP(B35,Base!$A$1:$E$2346,2,FALSE)</f>
        <v>VALVE,RELIEF,250 CFM</v>
      </c>
      <c r="D35" s="214">
        <f>+VLOOKUP(B35,Base!$A$1:$E$2645,3,FALSE)</f>
        <v>1</v>
      </c>
      <c r="E35" s="213">
        <f>+VLOOKUP(B35,Base!$A$1:$E$2346,5,FALSE)</f>
        <v>518.31119727167186</v>
      </c>
      <c r="F35" s="24">
        <v>1</v>
      </c>
      <c r="G35" s="4">
        <f t="shared" si="2"/>
        <v>518.31119727167186</v>
      </c>
    </row>
    <row r="36" spans="2:7" x14ac:dyDescent="0.25">
      <c r="B36" s="286">
        <v>8517041</v>
      </c>
      <c r="C36" s="213" t="str">
        <f>+VLOOKUP(B36,Base!$A$1:$E$2346,2,FALSE)</f>
        <v>VALVE,GATE,3IN.ID</v>
      </c>
      <c r="D36" s="214">
        <f>+VLOOKUP(B36,Base!$A$1:$E$2645,3,FALSE)</f>
        <v>1</v>
      </c>
      <c r="E36" s="213">
        <f>+VLOOKUP(B36,Base!$A$1:$E$2346,5,FALSE)</f>
        <v>86.961028444272415</v>
      </c>
      <c r="F36" s="24">
        <v>1</v>
      </c>
      <c r="G36" s="4">
        <f t="shared" si="2"/>
        <v>86.961028444272415</v>
      </c>
    </row>
    <row r="37" spans="2:7" x14ac:dyDescent="0.25">
      <c r="B37" s="286">
        <v>8500912</v>
      </c>
      <c r="C37" s="213" t="str">
        <f>+VLOOKUP(B37,Base!$A$1:$E$2346,2,FALSE)</f>
        <v>STAND,TRIANGULAR</v>
      </c>
      <c r="D37" s="214">
        <f>+VLOOKUP(B37,Base!$A$1:$E$2645,3,FALSE)</f>
        <v>1</v>
      </c>
      <c r="E37" s="213">
        <f>+VLOOKUP(B37,Base!$A$1:$E$2346,5,FALSE)</f>
        <v>184.22965398848683</v>
      </c>
      <c r="F37" s="24">
        <v>1</v>
      </c>
      <c r="G37" s="4">
        <f t="shared" si="2"/>
        <v>184.22965398848683</v>
      </c>
    </row>
    <row r="38" spans="2:7" x14ac:dyDescent="0.25">
      <c r="B38" s="286">
        <v>14124</v>
      </c>
      <c r="C38" s="213" t="str">
        <f>+VLOOKUP(B38,Base!$A$1:$E$2346,2,FALSE)</f>
        <v>CHECK VALVE 3" PVC, CANPLAS</v>
      </c>
      <c r="D38" s="214">
        <f>+VLOOKUP(B38,Base!$A$1:$E$2645,3,FALSE)</f>
        <v>1</v>
      </c>
      <c r="E38" s="213">
        <f>+VLOOKUP(B38,Base!$A$1:$E$2346,5,FALSE)</f>
        <v>102.24765600812692</v>
      </c>
      <c r="F38" s="24">
        <v>1</v>
      </c>
      <c r="G38" s="4">
        <f t="shared" si="2"/>
        <v>102.24765600812692</v>
      </c>
    </row>
    <row r="39" spans="2:7" x14ac:dyDescent="0.25">
      <c r="B39" s="287">
        <v>8584193</v>
      </c>
      <c r="C39" s="213" t="str">
        <f>+VLOOKUP(B39,Base!$A$1:$E$2346,2,FALSE)</f>
        <v>REGULATOR,VAC,BOUVAC 10000</v>
      </c>
      <c r="D39" s="214">
        <f>+VLOOKUP(B39,Base!$A$1:$E$2645,3,FALSE)</f>
        <v>1</v>
      </c>
      <c r="E39" s="213">
        <f>+VLOOKUP(B39,Base!$A$1:$E$2346,5,FALSE)</f>
        <v>2747.2905417956658</v>
      </c>
      <c r="F39" s="24">
        <v>1</v>
      </c>
      <c r="G39" s="4">
        <f t="shared" si="2"/>
        <v>2747.2905417956658</v>
      </c>
    </row>
    <row r="40" spans="2:7" ht="15.75" thickBot="1" x14ac:dyDescent="0.3">
      <c r="B40" s="282" t="s">
        <v>0</v>
      </c>
      <c r="C40" s="463" t="s">
        <v>2212</v>
      </c>
      <c r="D40" s="463"/>
      <c r="E40" s="463"/>
      <c r="F40" s="463"/>
      <c r="G40" s="464"/>
    </row>
    <row r="41" spans="2:7" x14ac:dyDescent="0.25">
      <c r="B41" s="412">
        <v>8512719</v>
      </c>
      <c r="C41" s="213" t="str">
        <f>+VLOOKUP(B41,Base!$A$1:$E$2346,2,FALSE)</f>
        <v>Variador de velocidad 10 hp(VSD Controller Assy 10 hp 3 phase,500 V)</v>
      </c>
      <c r="D41" s="214">
        <f>+VLOOKUP(B41,Base!$A$1:$E$2645,3,FALSE)</f>
        <v>1</v>
      </c>
      <c r="E41" s="213">
        <f>+VLOOKUP(B41,Base!$A$1:$E$2346,5,FALSE)</f>
        <v>8623.3202445336683</v>
      </c>
      <c r="F41" s="27">
        <v>1</v>
      </c>
      <c r="G41" s="28">
        <f>E41/D41*F41</f>
        <v>8623.3202445336683</v>
      </c>
    </row>
    <row r="42" spans="2:7" x14ac:dyDescent="0.25">
      <c r="B42" s="284">
        <v>8502127</v>
      </c>
      <c r="C42" s="213" t="str">
        <f>+VLOOKUP(B42,Base!$A$1:$E$2346,2,FALSE)</f>
        <v>TRANSDUCER ASSY</v>
      </c>
      <c r="D42" s="214">
        <f>+VLOOKUP(B42,Base!$A$1:$E$2645,3,FALSE)</f>
        <v>1</v>
      </c>
      <c r="E42" s="213">
        <f>+VLOOKUP(B42,Base!$A$1:$E$2346,5,FALSE)</f>
        <v>2499.347309645897</v>
      </c>
      <c r="F42" s="22">
        <v>1</v>
      </c>
      <c r="G42" s="23"/>
    </row>
    <row r="43" spans="2:7" x14ac:dyDescent="0.25">
      <c r="B43" s="290">
        <v>8512707</v>
      </c>
      <c r="C43" s="213" t="str">
        <f>+VLOOKUP(B43,Base!$A$1:$E$2346,2,FALSE)</f>
        <v>CONT,10HP/3PH,5HP/1PH,230V,ACS</v>
      </c>
      <c r="D43" s="214">
        <f>+VLOOKUP(B43,Base!$A$1:$E$2645,3,FALSE)</f>
        <v>1</v>
      </c>
      <c r="E43" s="213">
        <f>+VLOOKUP(B43,Base!$A$1:$E$2346,5,FALSE)</f>
        <v>9736.5713414280162</v>
      </c>
      <c r="F43" s="29">
        <v>1</v>
      </c>
      <c r="G43" s="23"/>
    </row>
    <row r="44" spans="2:7" x14ac:dyDescent="0.25">
      <c r="B44" s="286">
        <v>8509298</v>
      </c>
      <c r="C44" s="213" t="str">
        <f>+VLOOKUP(B44,Base!$A$1:$E$2346,2,FALSE)</f>
        <v>FILTER KIT,COW ID,3 PHASE, 8GA</v>
      </c>
      <c r="D44" s="214">
        <f>+VLOOKUP(B44,Base!$A$1:$E$2645,3,FALSE)</f>
        <v>1</v>
      </c>
      <c r="E44" s="213">
        <f>+VLOOKUP(B44,Base!$A$1:$E$2346,5,FALSE)</f>
        <v>1681.3660615808822</v>
      </c>
      <c r="F44" s="26">
        <v>1</v>
      </c>
      <c r="G44" s="25">
        <f>E44/D44*F44</f>
        <v>1681.3660615808822</v>
      </c>
    </row>
    <row r="45" spans="2:7" x14ac:dyDescent="0.25">
      <c r="B45" s="286">
        <v>8509312</v>
      </c>
      <c r="C45" s="213" t="str">
        <f>+VLOOKUP(B45,Base!$A$1:$E$2346,2,FALSE)</f>
        <v>KNOCKOUT PUNCH,PG29</v>
      </c>
      <c r="D45" s="214">
        <f>+VLOOKUP(B45,Base!$A$1:$E$2645,3,FALSE)</f>
        <v>1</v>
      </c>
      <c r="E45" s="213">
        <f>+VLOOKUP(B45,Base!$A$1:$E$2346,5,FALSE)</f>
        <v>607.62443244485291</v>
      </c>
      <c r="F45" s="26">
        <v>1</v>
      </c>
      <c r="G45" s="25">
        <f>E45/D45*F45</f>
        <v>607.62443244485291</v>
      </c>
    </row>
    <row r="46" spans="2:7" ht="15.75" thickBot="1" x14ac:dyDescent="0.3">
      <c r="B46" s="282" t="s">
        <v>0</v>
      </c>
      <c r="C46" s="463" t="s">
        <v>2213</v>
      </c>
      <c r="D46" s="463"/>
      <c r="E46" s="463"/>
      <c r="F46" s="463"/>
      <c r="G46" s="464"/>
    </row>
    <row r="47" spans="2:7" x14ac:dyDescent="0.25">
      <c r="B47" s="75">
        <v>8512720</v>
      </c>
      <c r="C47" s="213" t="str">
        <f>+VLOOKUP(B47,Base!$A$1:$E$2346,2,FALSE)</f>
        <v>Variador de velocidad 15 hp(VSD Controller Assy 15 hp 3 phase,500 V)</v>
      </c>
      <c r="D47" s="214">
        <f>+VLOOKUP(B47,Base!$A$1:$E$2645,3,FALSE)</f>
        <v>1</v>
      </c>
      <c r="E47" s="213">
        <f>+VLOOKUP(B47,Base!$A$1:$E$2346,5,FALSE)</f>
        <v>10239.269970249612</v>
      </c>
      <c r="F47" s="20">
        <v>1</v>
      </c>
      <c r="G47" s="21">
        <f>E47/D47*F47</f>
        <v>10239.269970249612</v>
      </c>
    </row>
    <row r="48" spans="2:7" x14ac:dyDescent="0.25">
      <c r="B48" s="284">
        <v>8502127</v>
      </c>
      <c r="C48" s="213" t="str">
        <f>+VLOOKUP(B48,Base!$A$1:$E$2346,2,FALSE)</f>
        <v>TRANSDUCER ASSY</v>
      </c>
      <c r="D48" s="214">
        <f>+VLOOKUP(B48,Base!$A$1:$E$2645,3,FALSE)</f>
        <v>1</v>
      </c>
      <c r="E48" s="213">
        <f>+VLOOKUP(B48,Base!$A$1:$E$2346,5,FALSE)</f>
        <v>2499.347309645897</v>
      </c>
      <c r="F48" s="22">
        <v>1</v>
      </c>
      <c r="G48" s="23"/>
    </row>
    <row r="49" spans="2:7" x14ac:dyDescent="0.25">
      <c r="B49" s="290">
        <v>8512708</v>
      </c>
      <c r="C49" s="213" t="str">
        <f>+VLOOKUP(B49,Base!$A$1:$E$2346,2,FALSE)</f>
        <v>CONT,15HP/3PH,7.5HP/1PH,230V</v>
      </c>
      <c r="D49" s="214">
        <f>+VLOOKUP(B49,Base!$A$1:$E$2645,3,FALSE)</f>
        <v>1</v>
      </c>
      <c r="E49" s="213">
        <f>+VLOOKUP(B49,Base!$A$1:$E$2346,5,FALSE)</f>
        <v>9772.084411764703</v>
      </c>
      <c r="F49" s="29">
        <v>1</v>
      </c>
      <c r="G49" s="23"/>
    </row>
    <row r="50" spans="2:7" x14ac:dyDescent="0.25">
      <c r="B50" s="287">
        <v>8509300</v>
      </c>
      <c r="C50" s="213" t="str">
        <f>+VLOOKUP(B50,Base!$A$1:$E$2346,2,FALSE)</f>
        <v>FILTER KIT,COW ID,3 PHASE, 4GA</v>
      </c>
      <c r="D50" s="214">
        <f>+VLOOKUP(B50,Base!$A$1:$E$2645,3,FALSE)</f>
        <v>1</v>
      </c>
      <c r="E50" s="213">
        <f>+VLOOKUP(B50,Base!$A$1:$E$2346,5,FALSE)</f>
        <v>2835.6205219620742</v>
      </c>
      <c r="F50" s="26">
        <v>1</v>
      </c>
      <c r="G50" s="25">
        <f>E50/D50*F50</f>
        <v>2835.6205219620742</v>
      </c>
    </row>
    <row r="51" spans="2:7" x14ac:dyDescent="0.25">
      <c r="B51" s="287">
        <v>8509313</v>
      </c>
      <c r="C51" s="213" t="str">
        <f>+VLOOKUP(B51,Base!$A$1:$E$2346,2,FALSE)</f>
        <v>KNOCKOUT PUNCH,PG36</v>
      </c>
      <c r="D51" s="214">
        <f>+VLOOKUP(B51,Base!$A$1:$E$2645,3,FALSE)</f>
        <v>1</v>
      </c>
      <c r="E51" s="213">
        <f>+VLOOKUP(B51,Base!$A$1:$E$2346,5,FALSE)</f>
        <v>918.66438781927229</v>
      </c>
      <c r="F51" s="26">
        <v>1</v>
      </c>
      <c r="G51" s="25">
        <f>E51/D51*F51</f>
        <v>918.66438781927229</v>
      </c>
    </row>
    <row r="52" spans="2:7" ht="15.75" thickBot="1" x14ac:dyDescent="0.3">
      <c r="B52" s="282" t="s">
        <v>0</v>
      </c>
      <c r="C52" s="463" t="s">
        <v>2214</v>
      </c>
      <c r="D52" s="463"/>
      <c r="E52" s="463"/>
      <c r="F52" s="463"/>
      <c r="G52" s="464"/>
    </row>
    <row r="53" spans="2:7" x14ac:dyDescent="0.25">
      <c r="B53" s="75">
        <v>8512721</v>
      </c>
      <c r="C53" s="213" t="str">
        <f>+VLOOKUP(B53,Base!$A$1:$E$2346,2,FALSE)</f>
        <v>Variador de Velocidad 20 hp(VSD Controller Assy 20 hp 3 phase,500 V)</v>
      </c>
      <c r="D53" s="214">
        <f>+VLOOKUP(B53,Base!$A$1:$E$2645,3,FALSE)</f>
        <v>1</v>
      </c>
      <c r="E53" s="213">
        <f>+VLOOKUP(B53,Base!$A$1:$E$2346,5,FALSE)</f>
        <v>12141.558764512383</v>
      </c>
      <c r="F53" s="20">
        <v>1</v>
      </c>
      <c r="G53" s="21">
        <f>E53/D53*F53</f>
        <v>12141.558764512383</v>
      </c>
    </row>
    <row r="54" spans="2:7" x14ac:dyDescent="0.25">
      <c r="B54" s="284">
        <v>8502127</v>
      </c>
      <c r="C54" s="213" t="str">
        <f>+VLOOKUP(B54,Base!$A$1:$E$2346,2,FALSE)</f>
        <v>TRANSDUCER ASSY</v>
      </c>
      <c r="D54" s="214">
        <f>+VLOOKUP(B54,Base!$A$1:$E$2645,3,FALSE)</f>
        <v>1</v>
      </c>
      <c r="E54" s="213">
        <f>+VLOOKUP(B54,Base!$A$1:$E$2346,5,FALSE)</f>
        <v>2499.347309645897</v>
      </c>
      <c r="F54" s="22">
        <v>1</v>
      </c>
      <c r="G54" s="23"/>
    </row>
    <row r="55" spans="2:7" x14ac:dyDescent="0.25">
      <c r="B55" s="290">
        <v>8512709</v>
      </c>
      <c r="C55" s="213" t="str">
        <f>+VLOOKUP(B55,Base!$A$1:$E$2346,2,FALSE)</f>
        <v>CONT,20HP/3PH,10HP/1PH,230V</v>
      </c>
      <c r="D55" s="214">
        <f>+VLOOKUP(B55,Base!$A$1:$E$2645,3,FALSE)</f>
        <v>1</v>
      </c>
      <c r="E55" s="213">
        <f>+VLOOKUP(B55,Base!$A$1:$E$2346,5,FALSE)</f>
        <v>10886.816728908665</v>
      </c>
      <c r="F55" s="29">
        <v>1</v>
      </c>
      <c r="G55" s="23"/>
    </row>
    <row r="56" spans="2:7" x14ac:dyDescent="0.25">
      <c r="B56" s="286">
        <v>8509300</v>
      </c>
      <c r="C56" s="213" t="str">
        <f>+VLOOKUP(B56,Base!$A$1:$E$2346,2,FALSE)</f>
        <v>FILTER KIT,COW ID,3 PHASE, 4GA</v>
      </c>
      <c r="D56" s="214">
        <f>+VLOOKUP(B56,Base!$A$1:$E$2645,3,FALSE)</f>
        <v>1</v>
      </c>
      <c r="E56" s="213">
        <f>+VLOOKUP(B56,Base!$A$1:$E$2346,5,FALSE)</f>
        <v>2835.6205219620742</v>
      </c>
      <c r="F56" s="26">
        <v>1</v>
      </c>
      <c r="G56" s="25">
        <f>E56/D56*F56</f>
        <v>2835.6205219620742</v>
      </c>
    </row>
    <row r="57" spans="2:7" x14ac:dyDescent="0.25">
      <c r="B57" s="286">
        <v>8509313</v>
      </c>
      <c r="C57" s="213" t="str">
        <f>+VLOOKUP(B57,Base!$A$1:$E$2346,2,FALSE)</f>
        <v>KNOCKOUT PUNCH,PG36</v>
      </c>
      <c r="D57" s="214">
        <f>+VLOOKUP(B57,Base!$A$1:$E$2645,3,FALSE)</f>
        <v>1</v>
      </c>
      <c r="E57" s="213">
        <f>+VLOOKUP(B57,Base!$A$1:$E$2346,5,FALSE)</f>
        <v>918.66438781927229</v>
      </c>
      <c r="F57" s="26">
        <v>1</v>
      </c>
      <c r="G57" s="25">
        <f>E57/D57*F57</f>
        <v>918.66438781927229</v>
      </c>
    </row>
    <row r="58" spans="2:7" ht="15.75" thickBot="1" x14ac:dyDescent="0.3">
      <c r="B58" s="282" t="s">
        <v>0</v>
      </c>
      <c r="C58" s="463" t="s">
        <v>18</v>
      </c>
      <c r="D58" s="463"/>
      <c r="E58" s="463"/>
      <c r="F58" s="463"/>
      <c r="G58" s="464"/>
    </row>
    <row r="59" spans="2:7" x14ac:dyDescent="0.25">
      <c r="B59" s="285">
        <v>14975360</v>
      </c>
      <c r="C59" s="213" t="str">
        <f>+VLOOKUP(B59,Base!$A$1:$E$2346,2,FALSE)</f>
        <v>Cabezal bomba M5</v>
      </c>
      <c r="D59" s="214">
        <f>+VLOOKUP(B59,Base!$A$1:$E$2645,3,FALSE)</f>
        <v>1</v>
      </c>
      <c r="E59" s="213">
        <f>+VLOOKUP(B59,Base!$A$1:$E$2346,5,FALSE)</f>
        <v>4163.5688806114549</v>
      </c>
      <c r="F59" s="24">
        <v>1</v>
      </c>
      <c r="G59" s="4">
        <f>E59/D59*F59</f>
        <v>4163.5688806114549</v>
      </c>
    </row>
    <row r="60" spans="2:7" x14ac:dyDescent="0.25">
      <c r="B60" s="285" t="s">
        <v>19</v>
      </c>
      <c r="C60" s="213" t="str">
        <f>+VLOOKUP(B60,Base!$A$1:$E$2346,2,FALSE)</f>
        <v>Silenciador Bombas vacío entrada y salida 2"</v>
      </c>
      <c r="D60" s="214">
        <f>+VLOOKUP(B60,Base!$A$1:$E$2645,3,FALSE)</f>
        <v>1</v>
      </c>
      <c r="E60" s="213">
        <f>+VLOOKUP(B60,Base!$A$1:$E$2346,5,FALSE)</f>
        <v>9.2017775968518887</v>
      </c>
      <c r="F60" s="24">
        <v>1</v>
      </c>
      <c r="G60" s="25">
        <f t="shared" ref="G60:G71" si="3">E60/D60*F60</f>
        <v>9.2017775968518887</v>
      </c>
    </row>
    <row r="61" spans="2:7" x14ac:dyDescent="0.25">
      <c r="B61" s="285" t="s">
        <v>20</v>
      </c>
      <c r="C61" s="213" t="str">
        <f>+VLOOKUP(B61,Base!$A$1:$E$2346,2,FALSE)</f>
        <v>Polea mecanizada 2A-200</v>
      </c>
      <c r="D61" s="214">
        <f>+VLOOKUP(B61,Base!$A$1:$E$2645,3,FALSE)</f>
        <v>1</v>
      </c>
      <c r="E61" s="213">
        <f>+VLOOKUP(B61,Base!$A$1:$E$2346,5,FALSE)</f>
        <v>6.9013331976389178</v>
      </c>
      <c r="F61" s="24">
        <v>1</v>
      </c>
      <c r="G61" s="4">
        <f t="shared" si="3"/>
        <v>6.9013331976389178</v>
      </c>
    </row>
    <row r="62" spans="2:7" x14ac:dyDescent="0.25">
      <c r="B62" s="285" t="s">
        <v>21</v>
      </c>
      <c r="C62" s="213" t="str">
        <f>+VLOOKUP(B62,Base!$A$1:$E$2346,2,FALSE)</f>
        <v>balde trampa 50 l rotomoldeado</v>
      </c>
      <c r="D62" s="214">
        <f>+VLOOKUP(B62,Base!$A$1:$E$2645,3,FALSE)</f>
        <v>1</v>
      </c>
      <c r="E62" s="213">
        <f>+VLOOKUP(B62,Base!$A$1:$E$2346,5,FALSE)</f>
        <v>5.3600354501662233</v>
      </c>
      <c r="F62" s="24">
        <v>1</v>
      </c>
      <c r="G62" s="4">
        <f t="shared" si="3"/>
        <v>5.3600354501662233</v>
      </c>
    </row>
    <row r="63" spans="2:7" x14ac:dyDescent="0.25">
      <c r="B63" s="285" t="s">
        <v>16</v>
      </c>
      <c r="C63" s="213" t="str">
        <f>+VLOOKUP(B63,Base!$A$1:$E$2346,2,FALSE)</f>
        <v>Base motor y Bomba de vacío regulable c / cubrepolea</v>
      </c>
      <c r="D63" s="214">
        <f>+VLOOKUP(B63,Base!$A$1:$E$2645,3,FALSE)</f>
        <v>1</v>
      </c>
      <c r="E63" s="213">
        <f>+VLOOKUP(B63,Base!$A$1:$E$2346,5,FALSE)</f>
        <v>11.50222199606486</v>
      </c>
      <c r="F63" s="24">
        <v>1</v>
      </c>
      <c r="G63" s="4">
        <f t="shared" si="3"/>
        <v>11.50222199606486</v>
      </c>
    </row>
    <row r="64" spans="2:7" x14ac:dyDescent="0.25">
      <c r="B64" s="285" t="s">
        <v>22</v>
      </c>
      <c r="C64" s="213" t="str">
        <f>+VLOOKUP(B64,Base!$A$1:$E$2346,2,FALSE)</f>
        <v>Niple p/admisión 2" x 150 mm largo</v>
      </c>
      <c r="D64" s="214">
        <f>+VLOOKUP(B64,Base!$A$1:$E$2645,3,FALSE)</f>
        <v>1</v>
      </c>
      <c r="E64" s="213">
        <f>+VLOOKUP(B64,Base!$A$1:$E$2346,5,FALSE)</f>
        <v>0.69013331976389169</v>
      </c>
      <c r="F64" s="24">
        <v>1</v>
      </c>
      <c r="G64" s="4">
        <f t="shared" si="3"/>
        <v>0.69013331976389169</v>
      </c>
    </row>
    <row r="65" spans="2:16" x14ac:dyDescent="0.25">
      <c r="B65" s="285">
        <v>8584192</v>
      </c>
      <c r="C65" s="213" t="str">
        <f>+VLOOKUP(B65,Base!$A$1:$E$2346,2,FALSE)</f>
        <v>Valvula reguladora (orion REGULATOR,VAC,BOUVAC 5000)</v>
      </c>
      <c r="D65" s="214">
        <f>+VLOOKUP(B65,Base!$A$1:$E$2645,3,FALSE)</f>
        <v>1</v>
      </c>
      <c r="E65" s="213">
        <f>+VLOOKUP(B65,Base!$A$1:$E$2346,5,FALSE)</f>
        <v>1436.1645674740487</v>
      </c>
      <c r="F65" s="24">
        <v>1</v>
      </c>
      <c r="G65" s="4">
        <f t="shared" si="3"/>
        <v>1436.1645674740487</v>
      </c>
    </row>
    <row r="66" spans="2:16" x14ac:dyDescent="0.25">
      <c r="B66" s="285">
        <v>8514230</v>
      </c>
      <c r="C66" s="213" t="str">
        <f>+VLOOKUP(B66,Base!$A$1:$E$2346,2,FALSE)</f>
        <v>Vacuometro(GAUGE,VACUUM,3.5 IN,0-30 IN HG)</v>
      </c>
      <c r="D66" s="214">
        <f>+VLOOKUP(B66,Base!$A$1:$E$2645,3,FALSE)</f>
        <v>1</v>
      </c>
      <c r="E66" s="213">
        <f>+VLOOKUP(B66,Base!$A$1:$E$2346,5,FALSE)</f>
        <v>26.491750919117642</v>
      </c>
      <c r="F66" s="24">
        <v>1</v>
      </c>
      <c r="G66" s="4">
        <f t="shared" si="3"/>
        <v>26.491750919117642</v>
      </c>
    </row>
    <row r="67" spans="2:16" x14ac:dyDescent="0.25">
      <c r="B67" s="285" t="s">
        <v>23</v>
      </c>
      <c r="C67" s="213" t="str">
        <f>+VLOOKUP(B67,Base!$A$1:$E$2346,2,FALSE)</f>
        <v>Curva 90 grados galvanizado M-H 2"</v>
      </c>
      <c r="D67" s="214">
        <f>+VLOOKUP(B67,Base!$A$1:$E$2645,3,FALSE)</f>
        <v>1</v>
      </c>
      <c r="E67" s="213">
        <f>+VLOOKUP(B67,Base!$A$1:$E$2346,5,FALSE)</f>
        <v>0.92017775968518878</v>
      </c>
      <c r="F67" s="24">
        <v>2</v>
      </c>
      <c r="G67" s="4">
        <f t="shared" si="3"/>
        <v>1.8403555193703776</v>
      </c>
    </row>
    <row r="68" spans="2:16" x14ac:dyDescent="0.25">
      <c r="B68" s="286" t="s">
        <v>24</v>
      </c>
      <c r="C68" s="213" t="str">
        <f>+VLOOKUP(B68,Base!$A$1:$E$2346,2,FALSE)</f>
        <v>Aceitera p/ bomba de vacio de 3 picos</v>
      </c>
      <c r="D68" s="214">
        <f>+VLOOKUP(B68,Base!$A$1:$E$2645,3,FALSE)</f>
        <v>1</v>
      </c>
      <c r="E68" s="213">
        <f>+VLOOKUP(B68,Base!$A$1:$E$2346,5,FALSE)</f>
        <v>2.1394132912680641</v>
      </c>
      <c r="F68" s="24">
        <v>1</v>
      </c>
      <c r="G68" s="4">
        <f t="shared" si="3"/>
        <v>2.1394132912680641</v>
      </c>
    </row>
    <row r="69" spans="2:16" x14ac:dyDescent="0.25">
      <c r="B69" s="286">
        <v>14124</v>
      </c>
      <c r="C69" s="213" t="str">
        <f>+VLOOKUP(B69,Base!$A$1:$E$2346,2,FALSE)</f>
        <v>CHECK VALVE 3" PVC, CANPLAS</v>
      </c>
      <c r="D69" s="214">
        <f>+VLOOKUP(B69,Base!$A$1:$E$2645,3,FALSE)</f>
        <v>1</v>
      </c>
      <c r="E69" s="213">
        <f>+VLOOKUP(B69,Base!$A$1:$E$2346,5,FALSE)</f>
        <v>102.24765600812692</v>
      </c>
      <c r="F69" s="24">
        <v>1</v>
      </c>
      <c r="G69" s="4">
        <f t="shared" si="3"/>
        <v>102.24765600812692</v>
      </c>
    </row>
    <row r="70" spans="2:16" x14ac:dyDescent="0.25">
      <c r="B70" s="286" t="s">
        <v>17</v>
      </c>
      <c r="C70" s="213" t="str">
        <f>+VLOOKUP(B70,Base!$A$1:$E$2346,2,FALSE)</f>
        <v>Te de pegar gris 75 mm</v>
      </c>
      <c r="D70" s="214">
        <f>+VLOOKUP(B70,Base!$A$1:$E$2645,3,FALSE)</f>
        <v>1</v>
      </c>
      <c r="E70" s="213">
        <f>+VLOOKUP(B70,Base!$A$1:$E$2346,5,FALSE)</f>
        <v>16.025086505190309</v>
      </c>
      <c r="F70" s="24">
        <v>1</v>
      </c>
      <c r="G70" s="4">
        <f t="shared" si="3"/>
        <v>16.025086505190309</v>
      </c>
    </row>
    <row r="71" spans="2:16" x14ac:dyDescent="0.25">
      <c r="B71" s="286" t="s">
        <v>25</v>
      </c>
      <c r="C71" s="213" t="str">
        <f>+VLOOKUP(B71,Base!$A$1:$E$2346,2,FALSE)</f>
        <v>Abrazadera 75 x 1/2´H</v>
      </c>
      <c r="D71" s="214">
        <f>+VLOOKUP(B71,Base!$A$1:$E$2645,3,FALSE)</f>
        <v>1</v>
      </c>
      <c r="E71" s="213">
        <f>+VLOOKUP(B71,Base!$A$1:$E$2346,5,FALSE)</f>
        <v>0.14377777495081076</v>
      </c>
      <c r="F71" s="26">
        <v>1</v>
      </c>
      <c r="G71" s="4">
        <f t="shared" si="3"/>
        <v>0.14377777495081076</v>
      </c>
    </row>
    <row r="72" spans="2:16" ht="15.75" thickBot="1" x14ac:dyDescent="0.3">
      <c r="B72" s="282" t="s">
        <v>0</v>
      </c>
      <c r="C72" s="463" t="s">
        <v>27</v>
      </c>
      <c r="D72" s="463"/>
      <c r="E72" s="463"/>
      <c r="F72" s="463"/>
      <c r="G72" s="464"/>
    </row>
    <row r="73" spans="2:16" x14ac:dyDescent="0.25">
      <c r="B73" s="285">
        <v>14975430</v>
      </c>
      <c r="C73" s="213" t="str">
        <f>+VLOOKUP(B73,Base!$A$1:$E$2346,2,FALSE)</f>
        <v>Cabezal bomba M7</v>
      </c>
      <c r="D73" s="214">
        <f>+VLOOKUP(B73,Base!$A$1:$E$2645,3,FALSE)</f>
        <v>1</v>
      </c>
      <c r="E73" s="213">
        <f>+VLOOKUP(B73,Base!$A$1:$E$2346,5,FALSE)</f>
        <v>5240.5753509578171</v>
      </c>
      <c r="F73" s="24">
        <v>1</v>
      </c>
      <c r="G73" s="4">
        <f>E73/D73*F73</f>
        <v>5240.5753509578171</v>
      </c>
      <c r="K73">
        <v>14975430</v>
      </c>
      <c r="L73" t="s">
        <v>55</v>
      </c>
      <c r="M73">
        <v>1</v>
      </c>
      <c r="N73">
        <v>5056.353562064628</v>
      </c>
      <c r="O73">
        <v>1</v>
      </c>
      <c r="P73">
        <v>5056.353562064628</v>
      </c>
    </row>
    <row r="74" spans="2:16" x14ac:dyDescent="0.25">
      <c r="B74" s="285" t="s">
        <v>19</v>
      </c>
      <c r="C74" s="213" t="str">
        <f>+VLOOKUP(B74,Base!$A$1:$E$2346,2,FALSE)</f>
        <v>Silenciador Bombas vacío entrada y salida 2"</v>
      </c>
      <c r="D74" s="214">
        <f>+VLOOKUP(B74,Base!$A$1:$E$2645,3,FALSE)</f>
        <v>1</v>
      </c>
      <c r="E74" s="213">
        <f>+VLOOKUP(B74,Base!$A$1:$E$2346,5,FALSE)</f>
        <v>9.2017775968518887</v>
      </c>
      <c r="F74" s="24">
        <v>1</v>
      </c>
      <c r="G74" s="25">
        <f t="shared" ref="G74:G85" si="4">E74/D74*F74</f>
        <v>9.2017775968518887</v>
      </c>
      <c r="K74" t="s">
        <v>19</v>
      </c>
      <c r="L74" t="s">
        <v>43</v>
      </c>
      <c r="M74">
        <v>1</v>
      </c>
      <c r="N74">
        <v>9.2017775968518887</v>
      </c>
      <c r="O74">
        <v>1</v>
      </c>
      <c r="P74">
        <v>9.2017775968518887</v>
      </c>
    </row>
    <row r="75" spans="2:16" x14ac:dyDescent="0.25">
      <c r="B75" s="285" t="s">
        <v>26</v>
      </c>
      <c r="C75" s="213" t="str">
        <f>+VLOOKUP(B75,Base!$A$1:$E$2346,2,FALSE)</f>
        <v xml:space="preserve">Polea mecanizada 2B-200  </v>
      </c>
      <c r="D75" s="214">
        <f>+VLOOKUP(B75,Base!$A$1:$E$2645,3,FALSE)</f>
        <v>1</v>
      </c>
      <c r="E75" s="213">
        <f>+VLOOKUP(B75,Base!$A$1:$E$2346,5,FALSE)</f>
        <v>6.9013331976389178</v>
      </c>
      <c r="F75" s="24">
        <v>1</v>
      </c>
      <c r="G75" s="4">
        <f t="shared" si="4"/>
        <v>6.9013331976389178</v>
      </c>
      <c r="K75" t="s">
        <v>26</v>
      </c>
      <c r="L75" t="s">
        <v>56</v>
      </c>
      <c r="M75">
        <v>1</v>
      </c>
      <c r="N75">
        <v>6.9013331976389178</v>
      </c>
      <c r="O75">
        <v>1</v>
      </c>
      <c r="P75">
        <v>6.9013331976389178</v>
      </c>
    </row>
    <row r="76" spans="2:16" x14ac:dyDescent="0.25">
      <c r="B76" s="285" t="s">
        <v>21</v>
      </c>
      <c r="C76" s="213" t="str">
        <f>+VLOOKUP(B76,Base!$A$1:$E$2346,2,FALSE)</f>
        <v>balde trampa 50 l rotomoldeado</v>
      </c>
      <c r="D76" s="214">
        <f>+VLOOKUP(B76,Base!$A$1:$E$2645,3,FALSE)</f>
        <v>1</v>
      </c>
      <c r="E76" s="213">
        <f>+VLOOKUP(B76,Base!$A$1:$E$2346,5,FALSE)</f>
        <v>5.3600354501662233</v>
      </c>
      <c r="F76" s="24">
        <v>1</v>
      </c>
      <c r="G76" s="4">
        <f t="shared" si="4"/>
        <v>5.3600354501662233</v>
      </c>
      <c r="K76" t="s">
        <v>21</v>
      </c>
      <c r="L76" t="s">
        <v>45</v>
      </c>
      <c r="M76">
        <v>1</v>
      </c>
      <c r="N76">
        <v>5.3600354501662233</v>
      </c>
      <c r="O76">
        <v>1</v>
      </c>
      <c r="P76">
        <v>5.3600354501662233</v>
      </c>
    </row>
    <row r="77" spans="2:16" x14ac:dyDescent="0.25">
      <c r="B77" s="285" t="s">
        <v>16</v>
      </c>
      <c r="C77" s="213" t="str">
        <f>+VLOOKUP(B77,Base!$A$1:$E$2346,2,FALSE)</f>
        <v>Base motor y Bomba de vacío regulable c / cubrepolea</v>
      </c>
      <c r="D77" s="214">
        <f>+VLOOKUP(B77,Base!$A$1:$E$2645,3,FALSE)</f>
        <v>1</v>
      </c>
      <c r="E77" s="213">
        <f>+VLOOKUP(B77,Base!$A$1:$E$2346,5,FALSE)</f>
        <v>11.50222199606486</v>
      </c>
      <c r="F77" s="24">
        <v>1</v>
      </c>
      <c r="G77" s="4">
        <f t="shared" si="4"/>
        <v>11.50222199606486</v>
      </c>
      <c r="K77" t="s">
        <v>16</v>
      </c>
      <c r="L77" t="s">
        <v>46</v>
      </c>
      <c r="M77">
        <v>1</v>
      </c>
      <c r="N77">
        <v>11.50222199606486</v>
      </c>
      <c r="O77">
        <v>1</v>
      </c>
      <c r="P77">
        <v>11.50222199606486</v>
      </c>
    </row>
    <row r="78" spans="2:16" x14ac:dyDescent="0.25">
      <c r="B78" s="285" t="s">
        <v>22</v>
      </c>
      <c r="C78" s="213" t="str">
        <f>+VLOOKUP(B78,Base!$A$1:$E$2346,2,FALSE)</f>
        <v>Niple p/admisión 2" x 150 mm largo</v>
      </c>
      <c r="D78" s="214">
        <f>+VLOOKUP(B78,Base!$A$1:$E$2645,3,FALSE)</f>
        <v>1</v>
      </c>
      <c r="E78" s="213">
        <f>+VLOOKUP(B78,Base!$A$1:$E$2346,5,FALSE)</f>
        <v>0.69013331976389169</v>
      </c>
      <c r="F78" s="24">
        <v>1</v>
      </c>
      <c r="G78" s="4">
        <f t="shared" si="4"/>
        <v>0.69013331976389169</v>
      </c>
      <c r="K78" t="s">
        <v>22</v>
      </c>
      <c r="L78" t="s">
        <v>47</v>
      </c>
      <c r="M78">
        <v>1</v>
      </c>
      <c r="N78">
        <v>0.69013331976389169</v>
      </c>
      <c r="O78">
        <v>1</v>
      </c>
      <c r="P78">
        <v>0.69013331976389169</v>
      </c>
    </row>
    <row r="79" spans="2:16" x14ac:dyDescent="0.25">
      <c r="B79" s="285">
        <v>8584192</v>
      </c>
      <c r="C79" s="213" t="str">
        <f>+VLOOKUP(B79,Base!$A$1:$E$2346,2,FALSE)</f>
        <v>Valvula reguladora (orion REGULATOR,VAC,BOUVAC 5000)</v>
      </c>
      <c r="D79" s="214">
        <f>+VLOOKUP(B79,Base!$A$1:$E$2645,3,FALSE)</f>
        <v>1</v>
      </c>
      <c r="E79" s="213">
        <f>+VLOOKUP(B79,Base!$A$1:$E$2346,5,FALSE)</f>
        <v>1436.1645674740487</v>
      </c>
      <c r="F79" s="24">
        <v>1</v>
      </c>
      <c r="G79" s="4">
        <f t="shared" si="4"/>
        <v>1436.1645674740487</v>
      </c>
      <c r="K79">
        <v>8584192</v>
      </c>
      <c r="L79" t="s">
        <v>48</v>
      </c>
      <c r="M79">
        <v>1</v>
      </c>
      <c r="N79">
        <v>1408.0051922037194</v>
      </c>
      <c r="O79">
        <v>1</v>
      </c>
      <c r="P79">
        <v>1408.0051922037194</v>
      </c>
    </row>
    <row r="80" spans="2:16" x14ac:dyDescent="0.25">
      <c r="B80" s="285">
        <v>8514230</v>
      </c>
      <c r="C80" s="213" t="str">
        <f>+VLOOKUP(B80,Base!$A$1:$E$2346,2,FALSE)</f>
        <v>Vacuometro(GAUGE,VACUUM,3.5 IN,0-30 IN HG)</v>
      </c>
      <c r="D80" s="214">
        <f>+VLOOKUP(B80,Base!$A$1:$E$2645,3,FALSE)</f>
        <v>1</v>
      </c>
      <c r="E80" s="213">
        <f>+VLOOKUP(B80,Base!$A$1:$E$2346,5,FALSE)</f>
        <v>26.491750919117642</v>
      </c>
      <c r="F80" s="24">
        <v>1</v>
      </c>
      <c r="G80" s="4">
        <f t="shared" si="4"/>
        <v>26.491750919117642</v>
      </c>
      <c r="K80">
        <v>8514230</v>
      </c>
      <c r="L80" t="s">
        <v>49</v>
      </c>
      <c r="M80">
        <v>1</v>
      </c>
      <c r="N80">
        <v>26.491750919117642</v>
      </c>
      <c r="O80">
        <v>1</v>
      </c>
      <c r="P80">
        <v>26.491750919117642</v>
      </c>
    </row>
    <row r="81" spans="2:16" x14ac:dyDescent="0.25">
      <c r="B81" s="285" t="s">
        <v>23</v>
      </c>
      <c r="C81" s="213" t="str">
        <f>+VLOOKUP(B81,Base!$A$1:$E$2346,2,FALSE)</f>
        <v>Curva 90 grados galvanizado M-H 2"</v>
      </c>
      <c r="D81" s="214">
        <f>+VLOOKUP(B81,Base!$A$1:$E$2645,3,FALSE)</f>
        <v>1</v>
      </c>
      <c r="E81" s="213">
        <f>+VLOOKUP(B81,Base!$A$1:$E$2346,5,FALSE)</f>
        <v>0.92017775968518878</v>
      </c>
      <c r="F81" s="24">
        <v>2</v>
      </c>
      <c r="G81" s="4">
        <f t="shared" si="4"/>
        <v>1.8403555193703776</v>
      </c>
      <c r="K81" t="s">
        <v>23</v>
      </c>
      <c r="L81" t="s">
        <v>50</v>
      </c>
      <c r="M81">
        <v>1</v>
      </c>
      <c r="N81">
        <v>0.92017775968518878</v>
      </c>
      <c r="O81">
        <v>2</v>
      </c>
      <c r="P81">
        <v>1.8403555193703776</v>
      </c>
    </row>
    <row r="82" spans="2:16" x14ac:dyDescent="0.25">
      <c r="B82" s="285" t="s">
        <v>24</v>
      </c>
      <c r="C82" s="213" t="str">
        <f>+VLOOKUP(B82,Base!$A$1:$E$2346,2,FALSE)</f>
        <v>Aceitera p/ bomba de vacio de 3 picos</v>
      </c>
      <c r="D82" s="214">
        <f>+VLOOKUP(B82,Base!$A$1:$E$2645,3,FALSE)</f>
        <v>1</v>
      </c>
      <c r="E82" s="213">
        <f>+VLOOKUP(B82,Base!$A$1:$E$2346,5,FALSE)</f>
        <v>2.1394132912680641</v>
      </c>
      <c r="F82" s="24">
        <v>1</v>
      </c>
      <c r="G82" s="4">
        <f t="shared" si="4"/>
        <v>2.1394132912680641</v>
      </c>
      <c r="K82" t="s">
        <v>24</v>
      </c>
      <c r="L82" t="s">
        <v>51</v>
      </c>
      <c r="M82">
        <v>1</v>
      </c>
      <c r="N82">
        <v>2.1394132912680641</v>
      </c>
      <c r="O82">
        <v>1</v>
      </c>
      <c r="P82">
        <v>2.1394132912680641</v>
      </c>
    </row>
    <row r="83" spans="2:16" x14ac:dyDescent="0.25">
      <c r="B83" s="285">
        <v>14124</v>
      </c>
      <c r="C83" s="213" t="str">
        <f>+VLOOKUP(B83,Base!$A$1:$E$2346,2,FALSE)</f>
        <v>CHECK VALVE 3" PVC, CANPLAS</v>
      </c>
      <c r="D83" s="214">
        <f>+VLOOKUP(B83,Base!$A$1:$E$2645,3,FALSE)</f>
        <v>1</v>
      </c>
      <c r="E83" s="213">
        <f>+VLOOKUP(B83,Base!$A$1:$E$2346,5,FALSE)</f>
        <v>102.24765600812692</v>
      </c>
      <c r="F83" s="24">
        <v>1</v>
      </c>
      <c r="G83" s="4">
        <f t="shared" si="4"/>
        <v>102.24765600812692</v>
      </c>
      <c r="K83">
        <v>14124</v>
      </c>
      <c r="L83" t="s">
        <v>52</v>
      </c>
      <c r="M83">
        <v>1</v>
      </c>
      <c r="N83">
        <v>102.24765600812692</v>
      </c>
      <c r="O83">
        <v>1</v>
      </c>
      <c r="P83">
        <v>102.24765600812692</v>
      </c>
    </row>
    <row r="84" spans="2:16" x14ac:dyDescent="0.25">
      <c r="B84" s="285" t="s">
        <v>17</v>
      </c>
      <c r="C84" s="213" t="str">
        <f>+VLOOKUP(B84,Base!$A$1:$E$2346,2,FALSE)</f>
        <v>Te de pegar gris 75 mm</v>
      </c>
      <c r="D84" s="214">
        <f>+VLOOKUP(B84,Base!$A$1:$E$2645,3,FALSE)</f>
        <v>1</v>
      </c>
      <c r="E84" s="213">
        <f>+VLOOKUP(B84,Base!$A$1:$E$2346,5,FALSE)</f>
        <v>16.025086505190309</v>
      </c>
      <c r="F84" s="24">
        <v>1</v>
      </c>
      <c r="G84" s="4">
        <f t="shared" si="4"/>
        <v>16.025086505190309</v>
      </c>
      <c r="K84" t="s">
        <v>17</v>
      </c>
      <c r="L84" t="s">
        <v>53</v>
      </c>
      <c r="M84">
        <v>1</v>
      </c>
      <c r="N84">
        <v>16.025086505190309</v>
      </c>
      <c r="O84">
        <v>1</v>
      </c>
      <c r="P84">
        <v>16.025086505190309</v>
      </c>
    </row>
    <row r="85" spans="2:16" x14ac:dyDescent="0.25">
      <c r="B85" s="286" t="s">
        <v>25</v>
      </c>
      <c r="C85" s="213" t="str">
        <f>+VLOOKUP(B85,Base!$A$1:$E$2346,2,FALSE)</f>
        <v>Abrazadera 75 x 1/2´H</v>
      </c>
      <c r="D85" s="214">
        <f>+VLOOKUP(B85,Base!$A$1:$E$2645,3,FALSE)</f>
        <v>1</v>
      </c>
      <c r="E85" s="213">
        <f>+VLOOKUP(B85,Base!$A$1:$E$2346,5,FALSE)</f>
        <v>0.14377777495081076</v>
      </c>
      <c r="F85" s="26">
        <v>1</v>
      </c>
      <c r="G85" s="4">
        <f t="shared" si="4"/>
        <v>0.14377777495081076</v>
      </c>
      <c r="K85" t="s">
        <v>25</v>
      </c>
      <c r="L85" t="s">
        <v>54</v>
      </c>
      <c r="M85">
        <v>1</v>
      </c>
      <c r="N85">
        <v>0.14377777495081076</v>
      </c>
      <c r="O85">
        <v>1</v>
      </c>
      <c r="P85">
        <v>0.14377777495081076</v>
      </c>
    </row>
    <row r="86" spans="2:16" ht="15.75" thickBot="1" x14ac:dyDescent="0.3">
      <c r="B86" s="282" t="s">
        <v>0</v>
      </c>
      <c r="C86" s="463" t="s">
        <v>1824</v>
      </c>
      <c r="D86" s="463"/>
      <c r="E86" s="463"/>
      <c r="F86" s="463"/>
      <c r="G86" s="464"/>
    </row>
    <row r="87" spans="2:16" x14ac:dyDescent="0.25">
      <c r="B87" s="285">
        <v>14975270</v>
      </c>
      <c r="C87" s="213" t="str">
        <f>+VLOOKUP(B87,Base!$A$1:$E$2346,2,FALSE)</f>
        <v>Cabezal Bomba M3</v>
      </c>
      <c r="D87" s="214">
        <f>+VLOOKUP(B87,Base!$A$1:$E$2645,3,FALSE)</f>
        <v>1</v>
      </c>
      <c r="E87" s="213">
        <f>+VLOOKUP(B87,Base!$A$1:$E$2346,5,FALSE)</f>
        <v>3546.1390598393964</v>
      </c>
      <c r="F87" s="24">
        <v>1</v>
      </c>
      <c r="G87" s="4">
        <f>E87/D87*F87</f>
        <v>3546.1390598393964</v>
      </c>
    </row>
    <row r="88" spans="2:16" x14ac:dyDescent="0.25">
      <c r="B88" s="285" t="s">
        <v>983</v>
      </c>
      <c r="C88" s="213" t="str">
        <f>+VLOOKUP(B88,Base!$A$1:$E$2346,2,FALSE)</f>
        <v>Silenciador Bombas vacío entrada y salida 1 1/2</v>
      </c>
      <c r="D88" s="214">
        <f>+VLOOKUP(B88,Base!$A$1:$E$2645,3,FALSE)</f>
        <v>1</v>
      </c>
      <c r="E88" s="213">
        <f>+VLOOKUP(B88,Base!$A$1:$E$2346,5,FALSE)</f>
        <v>8.2560393438421098</v>
      </c>
      <c r="F88" s="24">
        <v>1</v>
      </c>
      <c r="G88" s="25">
        <f t="shared" ref="G88:G99" si="5">E88/D88*F88</f>
        <v>8.2560393438421098</v>
      </c>
    </row>
    <row r="89" spans="2:16" x14ac:dyDescent="0.25">
      <c r="B89" s="285" t="s">
        <v>1534</v>
      </c>
      <c r="C89" s="213" t="str">
        <f>+VLOOKUP(B89,Base!$A$1:$E$2346,2,FALSE)</f>
        <v>Polea mecanizada 2A-180</v>
      </c>
      <c r="D89" s="214">
        <f>+VLOOKUP(B89,Base!$A$1:$E$2645,3,FALSE)</f>
        <v>1</v>
      </c>
      <c r="E89" s="213">
        <f>+VLOOKUP(B89,Base!$A$1:$E$2346,5,FALSE)</f>
        <v>5.7511109980324298</v>
      </c>
      <c r="F89" s="24">
        <v>1</v>
      </c>
      <c r="G89" s="4">
        <f t="shared" si="5"/>
        <v>5.7511109980324298</v>
      </c>
    </row>
    <row r="90" spans="2:16" x14ac:dyDescent="0.25">
      <c r="B90" s="285" t="s">
        <v>21</v>
      </c>
      <c r="C90" s="213" t="str">
        <f>+VLOOKUP(B90,Base!$A$1:$E$2346,2,FALSE)</f>
        <v>balde trampa 50 l rotomoldeado</v>
      </c>
      <c r="D90" s="214">
        <f>+VLOOKUP(B90,Base!$A$1:$E$2645,3,FALSE)</f>
        <v>1</v>
      </c>
      <c r="E90" s="213">
        <f>+VLOOKUP(B90,Base!$A$1:$E$2346,5,FALSE)</f>
        <v>5.3600354501662233</v>
      </c>
      <c r="F90" s="24">
        <v>1</v>
      </c>
      <c r="G90" s="4">
        <f t="shared" si="5"/>
        <v>5.3600354501662233</v>
      </c>
    </row>
    <row r="91" spans="2:16" x14ac:dyDescent="0.25">
      <c r="B91" s="285" t="s">
        <v>16</v>
      </c>
      <c r="C91" s="213" t="str">
        <f>+VLOOKUP(B91,Base!$A$1:$E$2346,2,FALSE)</f>
        <v>Base motor y Bomba de vacío regulable c / cubrepolea</v>
      </c>
      <c r="D91" s="214">
        <f>+VLOOKUP(B91,Base!$A$1:$E$2645,3,FALSE)</f>
        <v>1</v>
      </c>
      <c r="E91" s="213">
        <f>+VLOOKUP(B91,Base!$A$1:$E$2346,5,FALSE)</f>
        <v>11.50222199606486</v>
      </c>
      <c r="F91" s="24">
        <v>1</v>
      </c>
      <c r="G91" s="4">
        <f t="shared" si="5"/>
        <v>11.50222199606486</v>
      </c>
    </row>
    <row r="92" spans="2:16" x14ac:dyDescent="0.25">
      <c r="B92" s="285" t="s">
        <v>985</v>
      </c>
      <c r="C92" s="213" t="str">
        <f>+VLOOKUP(B92,Base!$A$1:$E$2346,2,FALSE)</f>
        <v>Niple p/admisión 1 1/2" x 150 mm Largo</v>
      </c>
      <c r="D92" s="214">
        <f>+VLOOKUP(B92,Base!$A$1:$E$2645,3,FALSE)</f>
        <v>1</v>
      </c>
      <c r="E92" s="213">
        <f>+VLOOKUP(B92,Base!$A$1:$E$2346,5,FALSE)</f>
        <v>0.30416987056260408</v>
      </c>
      <c r="F92" s="24">
        <v>1</v>
      </c>
      <c r="G92" s="4">
        <f t="shared" si="5"/>
        <v>0.30416987056260408</v>
      </c>
    </row>
    <row r="93" spans="2:16" x14ac:dyDescent="0.25">
      <c r="B93" s="285">
        <v>8584192</v>
      </c>
      <c r="C93" s="213" t="str">
        <f>+VLOOKUP(B93,Base!$A$1:$E$2346,2,FALSE)</f>
        <v>Valvula reguladora (orion REGULATOR,VAC,BOUVAC 5000)</v>
      </c>
      <c r="D93" s="214">
        <f>+VLOOKUP(B93,Base!$A$1:$E$2645,3,FALSE)</f>
        <v>1</v>
      </c>
      <c r="E93" s="213">
        <f>+VLOOKUP(B93,Base!$A$1:$E$2346,5,FALSE)</f>
        <v>1436.1645674740487</v>
      </c>
      <c r="F93" s="24">
        <v>1</v>
      </c>
      <c r="G93" s="4">
        <f t="shared" si="5"/>
        <v>1436.1645674740487</v>
      </c>
    </row>
    <row r="94" spans="2:16" x14ac:dyDescent="0.25">
      <c r="B94" s="285">
        <v>8514230</v>
      </c>
      <c r="C94" s="213" t="str">
        <f>+VLOOKUP(B94,Base!$A$1:$E$2346,2,FALSE)</f>
        <v>Vacuometro(GAUGE,VACUUM,3.5 IN,0-30 IN HG)</v>
      </c>
      <c r="D94" s="214">
        <f>+VLOOKUP(B94,Base!$A$1:$E$2645,3,FALSE)</f>
        <v>1</v>
      </c>
      <c r="E94" s="213">
        <f>+VLOOKUP(B94,Base!$A$1:$E$2346,5,FALSE)</f>
        <v>26.491750919117642</v>
      </c>
      <c r="F94" s="24">
        <v>1</v>
      </c>
      <c r="G94" s="4">
        <f t="shared" si="5"/>
        <v>26.491750919117642</v>
      </c>
    </row>
    <row r="95" spans="2:16" x14ac:dyDescent="0.25">
      <c r="B95" s="285" t="s">
        <v>1530</v>
      </c>
      <c r="C95" s="213" t="str">
        <f>+VLOOKUP(B95,Base!$A$1:$E$2346,2,FALSE)</f>
        <v>Curva 90 grados galvanizado M-H 1 1/2"</v>
      </c>
      <c r="D95" s="214">
        <f>+VLOOKUP(B95,Base!$A$1:$E$2645,3,FALSE)</f>
        <v>1</v>
      </c>
      <c r="E95" s="213">
        <f>+VLOOKUP(B95,Base!$A$1:$E$2346,5,FALSE)</f>
        <v>0.80515553972454046</v>
      </c>
      <c r="F95" s="24">
        <v>2</v>
      </c>
      <c r="G95" s="4">
        <f t="shared" si="5"/>
        <v>1.6103110794490809</v>
      </c>
    </row>
    <row r="96" spans="2:16" x14ac:dyDescent="0.25">
      <c r="B96" s="285" t="s">
        <v>24</v>
      </c>
      <c r="C96" s="213" t="str">
        <f>+VLOOKUP(B96,Base!$A$1:$E$2346,2,FALSE)</f>
        <v>Aceitera p/ bomba de vacio de 3 picos</v>
      </c>
      <c r="D96" s="214">
        <f>+VLOOKUP(B96,Base!$A$1:$E$2645,3,FALSE)</f>
        <v>1</v>
      </c>
      <c r="E96" s="213">
        <f>+VLOOKUP(B96,Base!$A$1:$E$2346,5,FALSE)</f>
        <v>2.1394132912680641</v>
      </c>
      <c r="F96" s="24">
        <v>1</v>
      </c>
      <c r="G96" s="4">
        <f t="shared" si="5"/>
        <v>2.1394132912680641</v>
      </c>
    </row>
    <row r="97" spans="2:7" x14ac:dyDescent="0.25">
      <c r="B97" s="285">
        <v>14121</v>
      </c>
      <c r="C97" s="213" t="str">
        <f>+VLOOKUP(B97,Base!$A$1:$E$2346,2,FALSE)</f>
        <v>CHECK VALVE 2" PVC, CANPLAS</v>
      </c>
      <c r="D97" s="214">
        <f>+VLOOKUP(B97,Base!$A$1:$E$2645,3,FALSE)</f>
        <v>1</v>
      </c>
      <c r="E97" s="213">
        <f>+VLOOKUP(B97,Base!$A$1:$E$2346,5,FALSE)</f>
        <v>61.600631922104768</v>
      </c>
      <c r="F97" s="24">
        <v>1</v>
      </c>
      <c r="G97" s="4">
        <f t="shared" si="5"/>
        <v>61.600631922104768</v>
      </c>
    </row>
    <row r="98" spans="2:7" x14ac:dyDescent="0.25">
      <c r="B98" s="285" t="s">
        <v>17</v>
      </c>
      <c r="C98" s="213" t="str">
        <f>+VLOOKUP(B98,Base!$A$1:$E$2346,2,FALSE)</f>
        <v>Te de pegar gris 75 mm</v>
      </c>
      <c r="D98" s="214">
        <f>+VLOOKUP(B98,Base!$A$1:$E$2645,3,FALSE)</f>
        <v>1</v>
      </c>
      <c r="E98" s="213">
        <f>+VLOOKUP(B98,Base!$A$1:$E$2346,5,FALSE)</f>
        <v>16.025086505190309</v>
      </c>
      <c r="F98" s="24">
        <v>1</v>
      </c>
      <c r="G98" s="4">
        <f t="shared" si="5"/>
        <v>16.025086505190309</v>
      </c>
    </row>
    <row r="99" spans="2:7" x14ac:dyDescent="0.25">
      <c r="B99" s="286" t="s">
        <v>25</v>
      </c>
      <c r="C99" s="213" t="str">
        <f>+VLOOKUP(B99,Base!$A$1:$E$2346,2,FALSE)</f>
        <v>Abrazadera 75 x 1/2´H</v>
      </c>
      <c r="D99" s="214">
        <f>+VLOOKUP(B99,Base!$A$1:$E$2645,3,FALSE)</f>
        <v>1</v>
      </c>
      <c r="E99" s="213">
        <f>+VLOOKUP(B99,Base!$A$1:$E$2346,5,FALSE)</f>
        <v>0.14377777495081076</v>
      </c>
      <c r="F99" s="26">
        <v>1</v>
      </c>
      <c r="G99" s="4">
        <f t="shared" si="5"/>
        <v>0.14377777495081076</v>
      </c>
    </row>
  </sheetData>
  <protectedRanges>
    <protectedRange sqref="B18" name="Range1"/>
    <protectedRange sqref="B6" name="Range1_1"/>
    <protectedRange sqref="B30" name="Range1_2"/>
    <protectedRange sqref="B47" name="Range1_3"/>
    <protectedRange sqref="B53" name="Range1_4"/>
  </protectedRanges>
  <mergeCells count="9">
    <mergeCell ref="C86:G86"/>
    <mergeCell ref="C58:G58"/>
    <mergeCell ref="C72:G72"/>
    <mergeCell ref="C28:G28"/>
    <mergeCell ref="C3:G3"/>
    <mergeCell ref="C16:G16"/>
    <mergeCell ref="C46:G46"/>
    <mergeCell ref="C52:G52"/>
    <mergeCell ref="C40:G40"/>
  </mergeCells>
  <conditionalFormatting sqref="B41">
    <cfRule type="duplicateValues" dxfId="28" priority="1"/>
  </conditionalFormatting>
  <hyperlinks>
    <hyperlink ref="I2" location="presu!A1" display="Presupuesto" xr:uid="{95967D5D-E7B0-4164-AFE2-0403C887ADEE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Option Button 3">
              <controlPr defaultSize="0" autoFill="0" autoLine="0" autoPict="0" macro="[0]!bomba1">
                <anchor moveWithCells="1">
                  <from>
                    <xdr:col>7</xdr:col>
                    <xdr:colOff>409575</xdr:colOff>
                    <xdr:row>5</xdr:row>
                    <xdr:rowOff>152400</xdr:rowOff>
                  </from>
                  <to>
                    <xdr:col>9</xdr:col>
                    <xdr:colOff>571500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Option Button 4">
              <controlPr defaultSize="0" autoFill="0" autoLine="0" autoPict="0" macro="[0]!limpiabomba1">
                <anchor moveWithCells="1">
                  <from>
                    <xdr:col>7</xdr:col>
                    <xdr:colOff>409575</xdr:colOff>
                    <xdr:row>8</xdr:row>
                    <xdr:rowOff>161925</xdr:rowOff>
                  </from>
                  <to>
                    <xdr:col>9</xdr:col>
                    <xdr:colOff>571500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Option Button 7">
              <controlPr defaultSize="0" autoFill="0" autoLine="0" autoPict="0" macro="[0]!bomba2">
                <anchor moveWithCells="1">
                  <from>
                    <xdr:col>7</xdr:col>
                    <xdr:colOff>409575</xdr:colOff>
                    <xdr:row>17</xdr:row>
                    <xdr:rowOff>152400</xdr:rowOff>
                  </from>
                  <to>
                    <xdr:col>9</xdr:col>
                    <xdr:colOff>571500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Option Button 8">
              <controlPr defaultSize="0" autoFill="0" autoLine="0" autoPict="0" macro="[0]!limpiabomba2">
                <anchor moveWithCells="1">
                  <from>
                    <xdr:col>7</xdr:col>
                    <xdr:colOff>409575</xdr:colOff>
                    <xdr:row>20</xdr:row>
                    <xdr:rowOff>161925</xdr:rowOff>
                  </from>
                  <to>
                    <xdr:col>9</xdr:col>
                    <xdr:colOff>571500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Option Button 9">
              <controlPr defaultSize="0" autoFill="0" autoLine="0" autoPict="0" macro="[0]!bomba3">
                <anchor moveWithCells="1">
                  <from>
                    <xdr:col>7</xdr:col>
                    <xdr:colOff>409575</xdr:colOff>
                    <xdr:row>28</xdr:row>
                    <xdr:rowOff>152400</xdr:rowOff>
                  </from>
                  <to>
                    <xdr:col>9</xdr:col>
                    <xdr:colOff>571500</xdr:colOff>
                    <xdr:row>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Option Button 10">
              <controlPr defaultSize="0" autoFill="0" autoLine="0" autoPict="0" macro="[0]!limpiabomba3">
                <anchor moveWithCells="1">
                  <from>
                    <xdr:col>7</xdr:col>
                    <xdr:colOff>409575</xdr:colOff>
                    <xdr:row>31</xdr:row>
                    <xdr:rowOff>161925</xdr:rowOff>
                  </from>
                  <to>
                    <xdr:col>9</xdr:col>
                    <xdr:colOff>571500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Option Button 11">
              <controlPr defaultSize="0" autoFill="0" autoLine="0" autoPict="0" macro="[0]!moverbombas4">
                <anchor moveWithCells="1">
                  <from>
                    <xdr:col>7</xdr:col>
                    <xdr:colOff>409575</xdr:colOff>
                    <xdr:row>40</xdr:row>
                    <xdr:rowOff>152400</xdr:rowOff>
                  </from>
                  <to>
                    <xdr:col>9</xdr:col>
                    <xdr:colOff>571500</xdr:colOff>
                    <xdr:row>42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Option Button 12">
              <controlPr defaultSize="0" autoFill="0" autoLine="0" autoPict="0" macro="[0]!limpiabomba4">
                <anchor moveWithCells="1">
                  <from>
                    <xdr:col>7</xdr:col>
                    <xdr:colOff>409575</xdr:colOff>
                    <xdr:row>43</xdr:row>
                    <xdr:rowOff>161925</xdr:rowOff>
                  </from>
                  <to>
                    <xdr:col>9</xdr:col>
                    <xdr:colOff>571500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Option Button 13">
              <controlPr defaultSize="0" autoFill="0" autoLine="0" autoPict="0" macro="[0]!bomba5">
                <anchor moveWithCells="1">
                  <from>
                    <xdr:col>7</xdr:col>
                    <xdr:colOff>409575</xdr:colOff>
                    <xdr:row>46</xdr:row>
                    <xdr:rowOff>152400</xdr:rowOff>
                  </from>
                  <to>
                    <xdr:col>9</xdr:col>
                    <xdr:colOff>571500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Option Button 14">
              <controlPr defaultSize="0" autoFill="0" autoLine="0" autoPict="0" macro="[0]!limpiabomba5">
                <anchor moveWithCells="1">
                  <from>
                    <xdr:col>7</xdr:col>
                    <xdr:colOff>409575</xdr:colOff>
                    <xdr:row>49</xdr:row>
                    <xdr:rowOff>161925</xdr:rowOff>
                  </from>
                  <to>
                    <xdr:col>9</xdr:col>
                    <xdr:colOff>571500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4" name="Option Button 17">
              <controlPr defaultSize="0" autoFill="0" autoLine="0" autoPict="0" macro="[0]!bomba6">
                <anchor moveWithCells="1">
                  <from>
                    <xdr:col>7</xdr:col>
                    <xdr:colOff>409575</xdr:colOff>
                    <xdr:row>52</xdr:row>
                    <xdr:rowOff>152400</xdr:rowOff>
                  </from>
                  <to>
                    <xdr:col>9</xdr:col>
                    <xdr:colOff>571500</xdr:colOff>
                    <xdr:row>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5" name="Option Button 18">
              <controlPr defaultSize="0" autoFill="0" autoLine="0" autoPict="0" macro="[0]!limpiabomba6">
                <anchor moveWithCells="1">
                  <from>
                    <xdr:col>7</xdr:col>
                    <xdr:colOff>409575</xdr:colOff>
                    <xdr:row>55</xdr:row>
                    <xdr:rowOff>161925</xdr:rowOff>
                  </from>
                  <to>
                    <xdr:col>9</xdr:col>
                    <xdr:colOff>571500</xdr:colOff>
                    <xdr:row>57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6" name="Option Button 19">
              <controlPr defaultSize="0" autoFill="0" autoLine="0" autoPict="0" macro="[0]!bomba7">
                <anchor moveWithCells="1">
                  <from>
                    <xdr:col>7</xdr:col>
                    <xdr:colOff>409575</xdr:colOff>
                    <xdr:row>59</xdr:row>
                    <xdr:rowOff>152400</xdr:rowOff>
                  </from>
                  <to>
                    <xdr:col>9</xdr:col>
                    <xdr:colOff>571500</xdr:colOff>
                    <xdr:row>61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7" name="Option Button 20">
              <controlPr defaultSize="0" autoFill="0" autoLine="0" autoPict="0" macro="[0]!limpiabomba7">
                <anchor moveWithCells="1">
                  <from>
                    <xdr:col>7</xdr:col>
                    <xdr:colOff>409575</xdr:colOff>
                    <xdr:row>62</xdr:row>
                    <xdr:rowOff>161925</xdr:rowOff>
                  </from>
                  <to>
                    <xdr:col>9</xdr:col>
                    <xdr:colOff>571500</xdr:colOff>
                    <xdr:row>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8" name="Option Button 21">
              <controlPr defaultSize="0" autoFill="0" autoLine="0" autoPict="0" macro="[0]!bomba8">
                <anchor moveWithCells="1">
                  <from>
                    <xdr:col>7</xdr:col>
                    <xdr:colOff>409575</xdr:colOff>
                    <xdr:row>72</xdr:row>
                    <xdr:rowOff>152400</xdr:rowOff>
                  </from>
                  <to>
                    <xdr:col>9</xdr:col>
                    <xdr:colOff>571500</xdr:colOff>
                    <xdr:row>74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9" name="Option Button 22">
              <controlPr defaultSize="0" autoFill="0" autoLine="0" autoPict="0" macro="[0]!limpiabomba8">
                <anchor moveWithCells="1">
                  <from>
                    <xdr:col>7</xdr:col>
                    <xdr:colOff>409575</xdr:colOff>
                    <xdr:row>75</xdr:row>
                    <xdr:rowOff>161925</xdr:rowOff>
                  </from>
                  <to>
                    <xdr:col>9</xdr:col>
                    <xdr:colOff>571500</xdr:colOff>
                    <xdr:row>77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0" name="Option Button 23">
              <controlPr defaultSize="0" autoFill="0" autoLine="0" autoPict="0" macro="[0]!moverbombasapresu">
                <anchor moveWithCells="1">
                  <from>
                    <xdr:col>11</xdr:col>
                    <xdr:colOff>409575</xdr:colOff>
                    <xdr:row>1</xdr:row>
                    <xdr:rowOff>152400</xdr:rowOff>
                  </from>
                  <to>
                    <xdr:col>11</xdr:col>
                    <xdr:colOff>1790700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1" name="Option Button 24">
              <controlPr defaultSize="0" autoFill="0" autoLine="0" autoPict="0" macro="[0]!copiarm3">
                <anchor moveWithCells="1">
                  <from>
                    <xdr:col>7</xdr:col>
                    <xdr:colOff>409575</xdr:colOff>
                    <xdr:row>88</xdr:row>
                    <xdr:rowOff>152400</xdr:rowOff>
                  </from>
                  <to>
                    <xdr:col>9</xdr:col>
                    <xdr:colOff>571500</xdr:colOff>
                    <xdr:row>90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2" name="Option Button 26">
              <controlPr defaultSize="0" autoFill="0" autoLine="0" autoPict="0" macro="[0]!limpiarm3">
                <anchor moveWithCells="1">
                  <from>
                    <xdr:col>7</xdr:col>
                    <xdr:colOff>409575</xdr:colOff>
                    <xdr:row>92</xdr:row>
                    <xdr:rowOff>161925</xdr:rowOff>
                  </from>
                  <to>
                    <xdr:col>9</xdr:col>
                    <xdr:colOff>571500</xdr:colOff>
                    <xdr:row>94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K21"/>
  <sheetViews>
    <sheetView workbookViewId="0">
      <selection activeCell="K7" sqref="K7:P9"/>
    </sheetView>
  </sheetViews>
  <sheetFormatPr baseColWidth="10" defaultColWidth="8.7109375" defaultRowHeight="15" x14ac:dyDescent="0.25"/>
  <cols>
    <col min="2" max="2" width="21.7109375" bestFit="1" customWidth="1"/>
    <col min="3" max="3" width="42.28515625" bestFit="1" customWidth="1"/>
    <col min="4" max="4" width="7.28515625" bestFit="1" customWidth="1"/>
    <col min="5" max="5" width="10" bestFit="1" customWidth="1"/>
    <col min="6" max="6" width="7.28515625" bestFit="1" customWidth="1"/>
    <col min="7" max="7" width="10" bestFit="1" customWidth="1"/>
    <col min="11" max="11" width="8" bestFit="1" customWidth="1"/>
    <col min="12" max="12" width="56.140625" bestFit="1" customWidth="1"/>
    <col min="13" max="13" width="2" bestFit="1" customWidth="1"/>
    <col min="14" max="14" width="10" bestFit="1" customWidth="1"/>
    <col min="15" max="15" width="3" bestFit="1" customWidth="1"/>
    <col min="16" max="16" width="10" bestFit="1" customWidth="1"/>
  </cols>
  <sheetData>
    <row r="2" spans="2:11" ht="21" x14ac:dyDescent="0.35">
      <c r="B2" t="str">
        <f>presu!B11</f>
        <v>Cantidad de unidades</v>
      </c>
      <c r="C2" s="56">
        <f>presu!C11</f>
        <v>1</v>
      </c>
      <c r="D2" t="str">
        <f>presu!D11</f>
        <v>unid</v>
      </c>
      <c r="H2" s="156" t="s">
        <v>1879</v>
      </c>
    </row>
    <row r="3" spans="2:11" x14ac:dyDescent="0.25">
      <c r="B3" t="str">
        <f>presu!B12</f>
        <v>distancia entre bajadas</v>
      </c>
      <c r="C3" s="56">
        <f>presu!C12</f>
        <v>1</v>
      </c>
      <c r="D3" t="str">
        <f>presu!D12</f>
        <v>metros</v>
      </c>
    </row>
    <row r="6" spans="2:11" ht="15.75" thickBot="1" x14ac:dyDescent="0.3">
      <c r="B6" s="1" t="s">
        <v>0</v>
      </c>
      <c r="C6" s="463" t="s">
        <v>58</v>
      </c>
      <c r="D6" s="463"/>
      <c r="E6" s="463"/>
      <c r="F6" s="463"/>
      <c r="G6" s="464"/>
    </row>
    <row r="7" spans="2:11" x14ac:dyDescent="0.25">
      <c r="B7" s="2">
        <v>8583219</v>
      </c>
      <c r="C7" s="213" t="str">
        <f>+VLOOKUP(B7,Base!$A$1:$E$2346,2,FALSE)</f>
        <v>PULSATOR ASSY,HIFLO EVO</v>
      </c>
      <c r="D7" s="214">
        <f>+VLOOKUP(B7,Base!$A$1:$E$2645,3,FALSE)</f>
        <v>1</v>
      </c>
      <c r="E7" s="213">
        <f>+VLOOKUP(B7,Base!$A$1:$E$2346,5,FALSE)</f>
        <v>701.48147252321985</v>
      </c>
      <c r="F7" s="30">
        <f>+C2</f>
        <v>1</v>
      </c>
      <c r="G7" s="4">
        <f>+F7*E7</f>
        <v>701.48147252321985</v>
      </c>
    </row>
    <row r="8" spans="2:11" x14ac:dyDescent="0.25">
      <c r="B8" s="2">
        <v>8509979</v>
      </c>
      <c r="C8" s="213" t="str">
        <f>+VLOOKUP(B8,Base!$A$1:$E$2346,2,FALSE)</f>
        <v>Caja comando pulsado, 12 unid.(CONTROL ASSY,PULSATION,PC-210)</v>
      </c>
      <c r="D8" s="214">
        <f>+VLOOKUP(B8,Base!$A$1:$E$2645,3,FALSE)</f>
        <v>1</v>
      </c>
      <c r="E8" s="213">
        <f>+VLOOKUP(B8,Base!$A$1:$E$2346,5,FALSE)</f>
        <v>1982.8402660361842</v>
      </c>
      <c r="F8" s="30">
        <f>ROUNDUP($C$2/12,0)</f>
        <v>1</v>
      </c>
      <c r="G8" s="4">
        <f>+F8*E8</f>
        <v>1982.8402660361842</v>
      </c>
    </row>
    <row r="9" spans="2:11" x14ac:dyDescent="0.25">
      <c r="B9" s="2">
        <v>8585345</v>
      </c>
      <c r="C9" s="213" t="str">
        <f>+VLOOKUP(B9,Base!$A$1:$E$2346,2,FALSE)</f>
        <v>WIRE HARNESS,PULS,12 STALL,30"</v>
      </c>
      <c r="D9" s="214">
        <f>+VLOOKUP(B9,Base!$A$1:$E$2645,3,FALSE)</f>
        <v>1</v>
      </c>
      <c r="E9" s="213">
        <f>+VLOOKUP(B9,Base!$A$1:$E$2346,5,FALSE)</f>
        <v>1442.2884215363774</v>
      </c>
      <c r="F9" s="30">
        <f>ROUNDUP($C$2/12,0)</f>
        <v>1</v>
      </c>
      <c r="G9" s="4">
        <f>+F9*E9</f>
        <v>1442.2884215363774</v>
      </c>
    </row>
    <row r="10" spans="2:11" x14ac:dyDescent="0.25">
      <c r="B10" s="59"/>
      <c r="K10" s="81"/>
    </row>
    <row r="11" spans="2:11" x14ac:dyDescent="0.25">
      <c r="B11" s="59"/>
      <c r="K11" s="81"/>
    </row>
    <row r="12" spans="2:11" x14ac:dyDescent="0.25">
      <c r="B12" s="31">
        <v>8511748</v>
      </c>
      <c r="C12" s="213" t="str">
        <f>+VLOOKUP(B12,Base!$A$1:$E$2346,2,FALSE)</f>
        <v>Filtro de aire pulsado(FILTER ASSY,PULSATOR)</v>
      </c>
      <c r="D12" s="214">
        <f>+VLOOKUP(B12,Base!$A$1:$E$2645,3,FALSE)</f>
        <v>1</v>
      </c>
      <c r="E12" s="213">
        <f>+VLOOKUP(B12,Base!$A$1:$E$2346,5,FALSE)</f>
        <v>306.05849216331268</v>
      </c>
      <c r="F12" s="24">
        <f>ROUNDUP($C$2/12,0)</f>
        <v>1</v>
      </c>
      <c r="G12" s="4">
        <f>+F12*E12</f>
        <v>306.05849216331268</v>
      </c>
    </row>
    <row r="13" spans="2:11" x14ac:dyDescent="0.25">
      <c r="B13" s="31" t="s">
        <v>60</v>
      </c>
      <c r="C13" s="213" t="str">
        <f>+VLOOKUP(B13,Base!$A$1:$E$2346,2,FALSE)</f>
        <v>caño de pcv 75 mm x 6 m std</v>
      </c>
      <c r="D13" s="214">
        <f>+VLOOKUP(B13,Base!$A$1:$E$2645,3,FALSE)</f>
        <v>6</v>
      </c>
      <c r="E13" s="213">
        <f>+VLOOKUP(B13,Base!$A$1:$E$2346,5,FALSE)</f>
        <v>86.505190311418687</v>
      </c>
      <c r="F13" s="24">
        <f>ROUNDUP($C$2*$C$3/6,0)</f>
        <v>1</v>
      </c>
      <c r="G13" s="4">
        <f>+F13*E13</f>
        <v>86.505190311418687</v>
      </c>
    </row>
    <row r="14" spans="2:11" x14ac:dyDescent="0.25">
      <c r="B14" s="31" t="s">
        <v>61</v>
      </c>
      <c r="C14" s="213" t="str">
        <f>+VLOOKUP(B14,Base!$A$1:$E$2346,2,FALSE)</f>
        <v>cupla de 63 SD</v>
      </c>
      <c r="D14" s="214">
        <f>+VLOOKUP(B14,Base!$A$1:$E$2645,3,FALSE)</f>
        <v>1</v>
      </c>
      <c r="E14" s="213">
        <f>+VLOOKUP(B14,Base!$A$1:$E$2346,5,FALSE)</f>
        <v>0.23004443992129719</v>
      </c>
      <c r="F14" s="24">
        <f>+F13</f>
        <v>1</v>
      </c>
      <c r="G14" s="4">
        <f>+F14*E14</f>
        <v>0.23004443992129719</v>
      </c>
    </row>
    <row r="15" spans="2:11" x14ac:dyDescent="0.25">
      <c r="B15" s="60" t="s">
        <v>17</v>
      </c>
      <c r="C15" s="213" t="str">
        <f>+VLOOKUP(B15,Base!$A$1:$E$2346,2,FALSE)</f>
        <v>Te de pegar gris 75 mm</v>
      </c>
      <c r="D15" s="214">
        <f>+VLOOKUP(B15,Base!$A$1:$E$2645,3,FALSE)</f>
        <v>1</v>
      </c>
      <c r="E15" s="213">
        <f>+VLOOKUP(B15,Base!$A$1:$E$2346,5,FALSE)</f>
        <v>16.025086505190309</v>
      </c>
      <c r="F15" s="24">
        <f>+F12</f>
        <v>1</v>
      </c>
      <c r="G15" s="4">
        <f>+F15*E15</f>
        <v>16.025086505190309</v>
      </c>
    </row>
    <row r="16" spans="2:11" x14ac:dyDescent="0.25">
      <c r="B16" s="31" t="s">
        <v>62</v>
      </c>
      <c r="C16" s="213" t="str">
        <f>+VLOOKUP(B16,Base!$A$1:$E$2346,2,FALSE)</f>
        <v>Tapas de pvc 3 "</v>
      </c>
      <c r="D16" s="214">
        <f>+VLOOKUP(B16,Base!$A$1:$E$2645,3,FALSE)</f>
        <v>1</v>
      </c>
      <c r="E16" s="213">
        <f>+VLOOKUP(B16,Base!$A$1:$E$2346,5,FALSE)</f>
        <v>8.7826797385620896</v>
      </c>
      <c r="F16" s="24">
        <f>ROUNDUP($C$2/12,0)</f>
        <v>1</v>
      </c>
      <c r="G16" s="4">
        <f>+F16*E16</f>
        <v>8.7826797385620896</v>
      </c>
    </row>
    <row r="21" ht="12.6" customHeight="1" x14ac:dyDescent="0.25"/>
  </sheetData>
  <mergeCells count="1">
    <mergeCell ref="C6:G6"/>
  </mergeCells>
  <hyperlinks>
    <hyperlink ref="H2" location="presu!A1" display="Presupuesto" xr:uid="{D0122D29-263F-4919-967A-2937502CF90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72" r:id="rId3" name="Option Button 52">
              <controlPr defaultSize="0" autoFill="0" autoLine="0" autoPict="0" macro="[0]!COPIARPULSADO">
                <anchor moveWithCells="1">
                  <from>
                    <xdr:col>7</xdr:col>
                    <xdr:colOff>428625</xdr:colOff>
                    <xdr:row>5</xdr:row>
                    <xdr:rowOff>57150</xdr:rowOff>
                  </from>
                  <to>
                    <xdr:col>9</xdr:col>
                    <xdr:colOff>590550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4" name="Option Button 55">
              <controlPr defaultSize="0" autoFill="0" autoLine="0" autoPict="0" macro="[0]!LIMPIARPULSADO">
                <anchor moveWithCells="1">
                  <from>
                    <xdr:col>7</xdr:col>
                    <xdr:colOff>447675</xdr:colOff>
                    <xdr:row>7</xdr:row>
                    <xdr:rowOff>57150</xdr:rowOff>
                  </from>
                  <to>
                    <xdr:col>10</xdr:col>
                    <xdr:colOff>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5" name="Option Button 62">
              <controlPr defaultSize="0" autoFill="0" autoLine="0" autoPict="0" macro="[0]!LIMPIARFILTRADO">
                <anchor moveWithCells="1">
                  <from>
                    <xdr:col>7</xdr:col>
                    <xdr:colOff>419100</xdr:colOff>
                    <xdr:row>13</xdr:row>
                    <xdr:rowOff>152400</xdr:rowOff>
                  </from>
                  <to>
                    <xdr:col>9</xdr:col>
                    <xdr:colOff>581025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" name="Option Button 66">
              <controlPr defaultSize="0" autoFill="0" autoLine="0" autoPict="0" macro="[0]!COPIARFILTRADO">
                <anchor moveWithCells="1">
                  <from>
                    <xdr:col>7</xdr:col>
                    <xdr:colOff>381000</xdr:colOff>
                    <xdr:row>11</xdr:row>
                    <xdr:rowOff>57150</xdr:rowOff>
                  </from>
                  <to>
                    <xdr:col>9</xdr:col>
                    <xdr:colOff>542925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7" name="Option Button 106">
              <controlPr defaultSize="0" autoFill="0" autoLine="0" autoPict="0" macro="[0]!llevarpulsado">
                <anchor moveWithCells="1">
                  <from>
                    <xdr:col>11</xdr:col>
                    <xdr:colOff>466725</xdr:colOff>
                    <xdr:row>3</xdr:row>
                    <xdr:rowOff>152400</xdr:rowOff>
                  </from>
                  <to>
                    <xdr:col>11</xdr:col>
                    <xdr:colOff>1847850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T59"/>
  <sheetViews>
    <sheetView workbookViewId="0">
      <pane xSplit="3" ySplit="6" topLeftCell="F7" activePane="bottomRight" state="frozen"/>
      <selection pane="topRight" activeCell="D1" sqref="D1"/>
      <selection pane="bottomLeft" activeCell="A7" sqref="A7"/>
      <selection pane="bottomRight" activeCell="L7" sqref="L7:Q56"/>
    </sheetView>
  </sheetViews>
  <sheetFormatPr baseColWidth="10" defaultColWidth="8.7109375" defaultRowHeight="15" x14ac:dyDescent="0.25"/>
  <cols>
    <col min="2" max="2" width="8" bestFit="1" customWidth="1"/>
    <col min="3" max="3" width="54.5703125" customWidth="1"/>
    <col min="4" max="4" width="4.7109375" bestFit="1" customWidth="1"/>
    <col min="5" max="5" width="11" style="311" bestFit="1" customWidth="1"/>
    <col min="6" max="6" width="6.5703125" bestFit="1" customWidth="1"/>
    <col min="7" max="7" width="11" style="311" bestFit="1" customWidth="1"/>
    <col min="11" max="11" width="8" bestFit="1" customWidth="1"/>
    <col min="12" max="12" width="10.28515625" customWidth="1"/>
    <col min="13" max="13" width="24.5703125" bestFit="1" customWidth="1"/>
    <col min="14" max="14" width="1.85546875" bestFit="1" customWidth="1"/>
    <col min="15" max="15" width="9.42578125" style="56" bestFit="1" customWidth="1"/>
    <col min="16" max="16" width="4.42578125" style="56" bestFit="1" customWidth="1"/>
    <col min="17" max="17" width="8.7109375" style="56"/>
  </cols>
  <sheetData>
    <row r="2" spans="2:20" ht="21" x14ac:dyDescent="0.35">
      <c r="J2" s="156" t="s">
        <v>1879</v>
      </c>
    </row>
    <row r="4" spans="2:20" ht="15.75" thickBot="1" x14ac:dyDescent="0.3"/>
    <row r="5" spans="2:20" x14ac:dyDescent="0.25">
      <c r="B5" s="465" t="s">
        <v>1811</v>
      </c>
      <c r="C5" s="466"/>
      <c r="D5" s="466"/>
      <c r="E5" s="466"/>
      <c r="F5" s="466"/>
      <c r="G5" s="467"/>
    </row>
    <row r="6" spans="2:20" ht="16.5" thickBot="1" x14ac:dyDescent="0.3">
      <c r="B6" s="468"/>
      <c r="C6" s="469"/>
      <c r="D6" s="469"/>
      <c r="E6" s="469"/>
      <c r="F6" s="469"/>
      <c r="G6" s="470"/>
      <c r="H6" s="78" t="s">
        <v>1827</v>
      </c>
      <c r="L6" t="s">
        <v>1834</v>
      </c>
      <c r="M6" t="s">
        <v>1829</v>
      </c>
      <c r="N6" t="s">
        <v>1830</v>
      </c>
      <c r="O6" s="56" t="s">
        <v>1831</v>
      </c>
      <c r="P6" s="56" t="s">
        <v>1832</v>
      </c>
      <c r="Q6" s="56" t="s">
        <v>1833</v>
      </c>
    </row>
    <row r="7" spans="2:20" x14ac:dyDescent="0.25">
      <c r="B7" s="267">
        <v>4025981</v>
      </c>
      <c r="C7" s="268" t="str">
        <f>+VLOOKUP(B7,Base!$A$1:$E$2346,2,FALSE)</f>
        <v>Intercambiador de calor (KIT,COOLER,PLATE,N35SC0.5)</v>
      </c>
      <c r="D7" s="269">
        <f>+VLOOKUP(B7,Base!$A$1:$E$2645,3,FALSE)</f>
        <v>1</v>
      </c>
      <c r="E7" s="312">
        <f>+VLOOKUP(B7,Base!$A$1:$E$2346,5,FALSE)</f>
        <v>5870.1953608746135</v>
      </c>
      <c r="F7" s="30">
        <v>1</v>
      </c>
      <c r="G7" s="315">
        <f>E7/D7*F7</f>
        <v>5870.1953608746135</v>
      </c>
      <c r="H7" s="79"/>
      <c r="L7" t="str">
        <f t="shared" ref="L7:O10" si="0">+IF($H7&lt;&gt;0,B7,"")</f>
        <v/>
      </c>
      <c r="M7" t="str">
        <f t="shared" si="0"/>
        <v/>
      </c>
      <c r="N7" t="str">
        <f t="shared" si="0"/>
        <v/>
      </c>
      <c r="O7" s="56" t="str">
        <f t="shared" si="0"/>
        <v/>
      </c>
      <c r="P7" s="56" t="str">
        <f>IF(H7&lt;1,"",H7)</f>
        <v/>
      </c>
      <c r="Q7" s="56" t="str">
        <f>IF(H7&lt;1,"",+P7*O7)</f>
        <v/>
      </c>
      <c r="T7" t="s">
        <v>2083</v>
      </c>
    </row>
    <row r="8" spans="2:20" x14ac:dyDescent="0.25">
      <c r="B8" s="2">
        <v>4025982</v>
      </c>
      <c r="C8" s="213" t="str">
        <f>+VLOOKUP(B8,Base!$A$1:$E$2346,2,FALSE)</f>
        <v>Intercambiador de calor (KIT,COOLER,PLATE,N53SC0.5)</v>
      </c>
      <c r="D8" s="214">
        <f>+VLOOKUP(B8,Base!$A$1:$E$2645,3,FALSE)</f>
        <v>1</v>
      </c>
      <c r="E8" s="313">
        <f>+VLOOKUP(B8,Base!$A$1:$E$2346,5,FALSE)</f>
        <v>8736.582785196797</v>
      </c>
      <c r="F8" s="30">
        <v>1</v>
      </c>
      <c r="G8" s="315">
        <f>E8/D8*F8</f>
        <v>8736.582785196797</v>
      </c>
      <c r="H8" s="79"/>
      <c r="L8" t="str">
        <f t="shared" si="0"/>
        <v/>
      </c>
      <c r="M8" t="str">
        <f t="shared" si="0"/>
        <v/>
      </c>
      <c r="N8" t="str">
        <f t="shared" si="0"/>
        <v/>
      </c>
      <c r="O8" s="56" t="str">
        <f t="shared" si="0"/>
        <v/>
      </c>
      <c r="P8" s="56" t="str">
        <f>IF(H8&lt;1,"",H8)</f>
        <v/>
      </c>
      <c r="Q8" s="56" t="str">
        <f>IF(H8&lt;1,"",+P8*O8)</f>
        <v/>
      </c>
    </row>
    <row r="9" spans="2:20" x14ac:dyDescent="0.25">
      <c r="B9" s="267">
        <v>4025751</v>
      </c>
      <c r="C9" s="268" t="str">
        <f>+VLOOKUP(B9,Base!$A$1:$E$2346,2,FALSE)</f>
        <v>Intercambiador de calor (COOLER,PLATE,N37SC1)</v>
      </c>
      <c r="D9" s="269">
        <f>+VLOOKUP(B9,Base!$A$1:$E$2645,3,FALSE)</f>
        <v>1</v>
      </c>
      <c r="E9" s="312">
        <f>+VLOOKUP(B9,Base!$A$1:$E$2346,5,FALSE)</f>
        <v>10146.591555201125</v>
      </c>
      <c r="F9" s="30">
        <v>1</v>
      </c>
      <c r="G9" s="315">
        <f>E9/D9*F9</f>
        <v>10146.591555201125</v>
      </c>
      <c r="H9" s="79"/>
      <c r="L9" t="str">
        <f t="shared" si="0"/>
        <v/>
      </c>
      <c r="M9" t="str">
        <f t="shared" si="0"/>
        <v/>
      </c>
      <c r="N9" t="str">
        <f t="shared" si="0"/>
        <v/>
      </c>
      <c r="O9" s="56" t="str">
        <f t="shared" si="0"/>
        <v/>
      </c>
      <c r="P9" s="56" t="str">
        <f>IF(H9&lt;1,"",H9)</f>
        <v/>
      </c>
      <c r="Q9" s="56" t="str">
        <f>IF(H9&lt;1,"",+P9*O9)</f>
        <v/>
      </c>
      <c r="T9" t="s">
        <v>2084</v>
      </c>
    </row>
    <row r="10" spans="2:20" x14ac:dyDescent="0.25">
      <c r="B10" s="2">
        <v>4025752</v>
      </c>
      <c r="C10" s="213" t="str">
        <f>+VLOOKUP(B10,Base!$A$1:$E$2346,2,FALSE)</f>
        <v>Intercambiador de calor (COOLER,PLATE,N81SC1)</v>
      </c>
      <c r="D10" s="214">
        <f>+VLOOKUP(B10,Base!$A$1:$E$2645,3,FALSE)</f>
        <v>1</v>
      </c>
      <c r="E10" s="313">
        <f>+VLOOKUP(B10,Base!$A$1:$E$2346,5,FALSE)</f>
        <v>16209.463995017413</v>
      </c>
      <c r="F10" s="30">
        <v>1</v>
      </c>
      <c r="G10" s="315">
        <f>E10/D10*F10</f>
        <v>16209.463995017413</v>
      </c>
      <c r="H10" s="79"/>
      <c r="L10" t="str">
        <f t="shared" si="0"/>
        <v/>
      </c>
      <c r="M10" t="str">
        <f t="shared" si="0"/>
        <v/>
      </c>
      <c r="N10" t="str">
        <f t="shared" si="0"/>
        <v/>
      </c>
      <c r="O10" s="56" t="str">
        <f t="shared" si="0"/>
        <v/>
      </c>
      <c r="P10" s="56" t="str">
        <f>IF(H10&lt;1,"",H10)</f>
        <v/>
      </c>
      <c r="Q10" s="56" t="str">
        <f>IF(H10&lt;1,"",+P10*O10)</f>
        <v/>
      </c>
    </row>
    <row r="11" spans="2:20" ht="15.75" thickBot="1" x14ac:dyDescent="0.3">
      <c r="B11" s="64"/>
      <c r="C11" s="64"/>
      <c r="D11" s="64"/>
      <c r="E11" s="314"/>
      <c r="F11" s="64"/>
      <c r="G11" s="314"/>
      <c r="H11" s="80"/>
    </row>
    <row r="12" spans="2:20" x14ac:dyDescent="0.25">
      <c r="B12" s="465" t="s">
        <v>1812</v>
      </c>
      <c r="C12" s="466"/>
      <c r="D12" s="466"/>
      <c r="E12" s="466"/>
      <c r="F12" s="466"/>
      <c r="G12" s="467"/>
      <c r="H12" s="80"/>
      <c r="L12" s="68"/>
    </row>
    <row r="13" spans="2:20" ht="15.75" thickBot="1" x14ac:dyDescent="0.3">
      <c r="B13" s="468"/>
      <c r="C13" s="469"/>
      <c r="D13" s="469"/>
      <c r="E13" s="469"/>
      <c r="F13" s="469"/>
      <c r="G13" s="470"/>
      <c r="H13" s="80"/>
    </row>
    <row r="14" spans="2:20" x14ac:dyDescent="0.25">
      <c r="B14" s="2">
        <v>8500529</v>
      </c>
      <c r="C14" s="213" t="str">
        <f>+VLOOKUP(B14,Base!$A$1:$E$2346,2,FALSE)</f>
        <v>Filtro de leche (FILTER ASSY,MILK,2.5X1.5,SIDE)</v>
      </c>
      <c r="D14" s="214">
        <f>+VLOOKUP(B14,Base!$A$1:$E$2645,3,FALSE)</f>
        <v>1</v>
      </c>
      <c r="E14" s="313">
        <f>+VLOOKUP(B14,Base!$A$1:$E$2346,5,FALSE)</f>
        <v>2280.4780045472135</v>
      </c>
      <c r="F14" s="30">
        <v>1</v>
      </c>
      <c r="G14" s="315">
        <f>E14/D14*F14</f>
        <v>2280.4780045472135</v>
      </c>
      <c r="H14" s="79"/>
      <c r="L14" t="str">
        <f t="shared" ref="L14:O15" si="1">+IF($H14&lt;&gt;0,B14,"")</f>
        <v/>
      </c>
      <c r="M14" t="str">
        <f t="shared" si="1"/>
        <v/>
      </c>
      <c r="N14" t="str">
        <f t="shared" si="1"/>
        <v/>
      </c>
      <c r="O14" s="56" t="str">
        <f t="shared" si="1"/>
        <v/>
      </c>
      <c r="P14" s="56" t="str">
        <f>IF(H14&lt;1,"",H14)</f>
        <v/>
      </c>
      <c r="Q14" s="56" t="str">
        <f>IF(H14&lt;1,"",+P14*O14)</f>
        <v/>
      </c>
      <c r="T14" t="s">
        <v>2085</v>
      </c>
    </row>
    <row r="15" spans="2:20" x14ac:dyDescent="0.25">
      <c r="B15" s="2">
        <v>8500887</v>
      </c>
      <c r="C15" s="213" t="str">
        <f>+VLOOKUP(B15,Base!$A$1:$E$2346,2,FALSE)</f>
        <v>Filtro de leche (FILTER,MILK,4"X2.0",SIDE DISCH)</v>
      </c>
      <c r="D15" s="214">
        <f>+VLOOKUP(B15,Base!$A$1:$E$2645,3,FALSE)</f>
        <v>1</v>
      </c>
      <c r="E15" s="313">
        <f>+VLOOKUP(B15,Base!$A$1:$E$2346,5,FALSE)</f>
        <v>4641.0722789280198</v>
      </c>
      <c r="F15" s="30">
        <v>1</v>
      </c>
      <c r="G15" s="315">
        <f>E15/D15*F15</f>
        <v>4641.0722789280198</v>
      </c>
      <c r="H15" s="79"/>
      <c r="L15" t="str">
        <f t="shared" si="1"/>
        <v/>
      </c>
      <c r="M15" t="str">
        <f t="shared" si="1"/>
        <v/>
      </c>
      <c r="N15" t="str">
        <f t="shared" si="1"/>
        <v/>
      </c>
      <c r="O15" s="56" t="str">
        <f t="shared" si="1"/>
        <v/>
      </c>
      <c r="P15" s="56" t="str">
        <f>IF(H15&lt;1,"",H15)</f>
        <v/>
      </c>
      <c r="Q15" s="56" t="str">
        <f>IF(H15&lt;1,"",+P15*O15)</f>
        <v/>
      </c>
      <c r="T15" t="s">
        <v>2086</v>
      </c>
    </row>
    <row r="16" spans="2:20" ht="15.75" thickBot="1" x14ac:dyDescent="0.3">
      <c r="B16" s="64"/>
      <c r="C16" s="64"/>
      <c r="D16" s="64"/>
      <c r="E16" s="314"/>
      <c r="F16" s="64"/>
      <c r="G16" s="314"/>
      <c r="H16" s="80"/>
    </row>
    <row r="17" spans="2:20" ht="21" x14ac:dyDescent="0.35">
      <c r="B17" s="65"/>
      <c r="C17" s="471" t="s">
        <v>1817</v>
      </c>
      <c r="D17" s="471"/>
      <c r="E17" s="471"/>
      <c r="F17" s="471"/>
      <c r="G17" s="472"/>
      <c r="H17" s="80"/>
    </row>
    <row r="18" spans="2:20" ht="15.75" thickBot="1" x14ac:dyDescent="0.3">
      <c r="B18" s="1" t="s">
        <v>0</v>
      </c>
      <c r="C18" s="463" t="s">
        <v>1813</v>
      </c>
      <c r="D18" s="463"/>
      <c r="E18" s="463"/>
      <c r="F18" s="463"/>
      <c r="G18" s="464"/>
      <c r="H18" s="80"/>
      <c r="M18" s="68"/>
    </row>
    <row r="19" spans="2:20" x14ac:dyDescent="0.25">
      <c r="B19" s="69">
        <v>8511498</v>
      </c>
      <c r="C19" s="213" t="str">
        <f>+VLOOKUP(B19,Base!$A$1:$E$2346,2,FALSE)</f>
        <v>Programador de lavado (KIT,GUARDIAN,ECON,0.5,L/A.I.)</v>
      </c>
      <c r="D19" s="214">
        <f>+VLOOKUP(B19,Base!$A$1:$E$2645,3,FALSE)</f>
        <v>1</v>
      </c>
      <c r="E19" s="313">
        <f>+VLOOKUP(B19,Base!$A$1:$E$2346,5,FALSE)</f>
        <v>8713.4121162683787</v>
      </c>
      <c r="F19" s="70">
        <v>1</v>
      </c>
      <c r="G19" s="316">
        <f>E19/D19*F19</f>
        <v>8713.4121162683787</v>
      </c>
      <c r="H19" s="79"/>
      <c r="L19" t="str">
        <f t="shared" ref="L19:L25" si="2">+IF($H19&lt;&gt;0,B19,"")</f>
        <v/>
      </c>
      <c r="M19" t="str">
        <f t="shared" ref="M19:M25" si="3">+IF($H19&lt;&gt;0,C19,"")</f>
        <v/>
      </c>
      <c r="N19" t="str">
        <f t="shared" ref="N19:N25" si="4">+IF($H19&lt;&gt;0,D19,"")</f>
        <v/>
      </c>
      <c r="O19" s="56" t="str">
        <f t="shared" ref="O19:O25" si="5">+IF($H19&lt;&gt;0,E19,"")</f>
        <v/>
      </c>
      <c r="P19" s="56" t="str">
        <f t="shared" ref="P19:P25" si="6">IF(H19&lt;1,"",H19)</f>
        <v/>
      </c>
      <c r="Q19" s="56" t="str">
        <f>IF(H19&lt;1,"",+P19*O19)</f>
        <v/>
      </c>
      <c r="T19" t="s">
        <v>2087</v>
      </c>
    </row>
    <row r="20" spans="2:20" x14ac:dyDescent="0.25">
      <c r="B20" s="72">
        <v>8503075</v>
      </c>
      <c r="C20" s="213" t="str">
        <f>+VLOOKUP(B20,Base!$A$1:$E$2346,2,FALSE)</f>
        <v>VALVE,WATER, .50NPT,220/240VAC</v>
      </c>
      <c r="D20" s="214">
        <f>+VLOOKUP(B20,Base!$A$1:$E$2645,3,FALSE)</f>
        <v>1</v>
      </c>
      <c r="E20" s="313">
        <f>+VLOOKUP(B20,Base!$A$1:$E$2346,5,FALSE)</f>
        <v>324.58625386996908</v>
      </c>
      <c r="F20" s="73">
        <v>2</v>
      </c>
      <c r="G20" s="317">
        <f>E20/D20*F20</f>
        <v>649.17250773993817</v>
      </c>
      <c r="H20" s="79"/>
      <c r="L20" t="str">
        <f t="shared" si="2"/>
        <v/>
      </c>
      <c r="M20" t="str">
        <f t="shared" si="3"/>
        <v/>
      </c>
      <c r="N20" t="str">
        <f t="shared" si="4"/>
        <v/>
      </c>
      <c r="O20" s="56" t="str">
        <f t="shared" si="5"/>
        <v/>
      </c>
      <c r="P20" s="56" t="str">
        <f t="shared" si="6"/>
        <v/>
      </c>
      <c r="Q20" s="56" t="str">
        <f>IF(H20&lt;1,"",+P20*O20)</f>
        <v/>
      </c>
    </row>
    <row r="21" spans="2:20" x14ac:dyDescent="0.25">
      <c r="B21" s="77">
        <v>8502796</v>
      </c>
      <c r="C21" s="213" t="str">
        <f>+VLOOKUP(B21,Base!$A$1:$E$2346,2,FALSE)</f>
        <v>Valvula derivadora(VALVE,DIVERTER,230V,50HZ)</v>
      </c>
      <c r="D21" s="214">
        <f>+VLOOKUP(B21,Base!$A$1:$E$2645,3,FALSE)</f>
        <v>1</v>
      </c>
      <c r="E21" s="313">
        <f>+VLOOKUP(B21,Base!$A$1:$E$2346,5,FALSE)</f>
        <v>800.0852826286764</v>
      </c>
      <c r="F21" s="30">
        <v>1</v>
      </c>
      <c r="G21" s="318"/>
      <c r="H21" s="79"/>
      <c r="L21" t="str">
        <f t="shared" si="2"/>
        <v/>
      </c>
      <c r="M21" t="str">
        <f t="shared" si="3"/>
        <v/>
      </c>
      <c r="N21" t="str">
        <f t="shared" si="4"/>
        <v/>
      </c>
      <c r="O21" s="56" t="str">
        <f t="shared" si="5"/>
        <v/>
      </c>
      <c r="P21" s="56" t="str">
        <f t="shared" si="6"/>
        <v/>
      </c>
      <c r="Q21" s="56" t="str">
        <f>IF(H21&lt;1,"","")</f>
        <v/>
      </c>
    </row>
    <row r="22" spans="2:20" x14ac:dyDescent="0.25">
      <c r="B22" s="2">
        <v>8510273</v>
      </c>
      <c r="C22" s="213" t="str">
        <f>+VLOOKUP(B22,Base!$A$1:$E$2346,2,FALSE)</f>
        <v>KIT,FILL,GUARDIAN,NORTH AMER</v>
      </c>
      <c r="D22" s="214">
        <f>+VLOOKUP(B22,Base!$A$1:$E$2645,3,FALSE)</f>
        <v>1</v>
      </c>
      <c r="E22" s="313">
        <f>+VLOOKUP(B22,Base!$A$1:$E$2346,5,FALSE)</f>
        <v>1080.8634374999997</v>
      </c>
      <c r="F22" s="30">
        <v>1</v>
      </c>
      <c r="G22" s="318"/>
      <c r="H22" s="79"/>
      <c r="L22" t="str">
        <f t="shared" si="2"/>
        <v/>
      </c>
      <c r="M22" t="str">
        <f t="shared" si="3"/>
        <v/>
      </c>
      <c r="N22" t="str">
        <f t="shared" si="4"/>
        <v/>
      </c>
      <c r="O22" s="56" t="str">
        <f t="shared" si="5"/>
        <v/>
      </c>
      <c r="P22" s="56" t="str">
        <f t="shared" si="6"/>
        <v/>
      </c>
      <c r="Q22" s="56" t="str">
        <f>IF(H22&lt;1,"","")</f>
        <v/>
      </c>
    </row>
    <row r="23" spans="2:20" x14ac:dyDescent="0.25">
      <c r="B23" s="2">
        <v>8583066</v>
      </c>
      <c r="C23" s="213" t="str">
        <f>+VLOOKUP(B23,Base!$A$1:$E$2346,2,FALSE)</f>
        <v>WASHER,GUARDIAN SUPREME,230V</v>
      </c>
      <c r="D23" s="214">
        <f>+VLOOKUP(B23,Base!$A$1:$E$2645,3,FALSE)</f>
        <v>1</v>
      </c>
      <c r="E23" s="313">
        <f>+VLOOKUP(B23,Base!$A$1:$E$2346,5,FALSE)</f>
        <v>8049.4687202496125</v>
      </c>
      <c r="F23" s="30">
        <v>1</v>
      </c>
      <c r="G23" s="318"/>
      <c r="H23" s="79"/>
      <c r="L23" t="str">
        <f t="shared" si="2"/>
        <v/>
      </c>
      <c r="M23" t="str">
        <f t="shared" si="3"/>
        <v/>
      </c>
      <c r="N23" t="str">
        <f t="shared" si="4"/>
        <v/>
      </c>
      <c r="O23" s="56" t="str">
        <f t="shared" si="5"/>
        <v/>
      </c>
      <c r="P23" s="56" t="str">
        <f t="shared" si="6"/>
        <v/>
      </c>
      <c r="Q23" s="56" t="str">
        <f>IF(H23&lt;1,"","")</f>
        <v/>
      </c>
    </row>
    <row r="24" spans="2:20" x14ac:dyDescent="0.25">
      <c r="B24" s="2">
        <v>8517737</v>
      </c>
      <c r="C24" s="213" t="str">
        <f>+VLOOKUP(B24,Base!$A$1:$E$2346,2,FALSE)</f>
        <v>COUPLING,DRAIN,RUBBER</v>
      </c>
      <c r="D24" s="214">
        <f>+VLOOKUP(B24,Base!$A$1:$E$2645,3,FALSE)</f>
        <v>1</v>
      </c>
      <c r="E24" s="313">
        <f>+VLOOKUP(B24,Base!$A$1:$E$2346,5,FALSE)</f>
        <v>65.840059017027855</v>
      </c>
      <c r="F24" s="30">
        <v>1</v>
      </c>
      <c r="G24" s="318"/>
      <c r="H24" s="79"/>
      <c r="L24" t="str">
        <f t="shared" si="2"/>
        <v/>
      </c>
      <c r="M24" t="str">
        <f t="shared" si="3"/>
        <v/>
      </c>
      <c r="N24" t="str">
        <f t="shared" si="4"/>
        <v/>
      </c>
      <c r="O24" s="56" t="str">
        <f t="shared" si="5"/>
        <v/>
      </c>
      <c r="P24" s="56" t="str">
        <f t="shared" si="6"/>
        <v/>
      </c>
      <c r="Q24" s="56" t="str">
        <f>IF(H24&lt;1,"","")</f>
        <v/>
      </c>
    </row>
    <row r="25" spans="2:20" x14ac:dyDescent="0.25">
      <c r="B25" s="2">
        <v>8518176</v>
      </c>
      <c r="C25" s="213" t="str">
        <f>+VLOOKUP(B25,Base!$A$1:$E$2346,2,FALSE)</f>
        <v>VALVE,DRAIN,2" ELEC 230V</v>
      </c>
      <c r="D25" s="214">
        <f>+VLOOKUP(B25,Base!$A$1:$E$2645,3,FALSE)</f>
        <v>1</v>
      </c>
      <c r="E25" s="313">
        <f>+VLOOKUP(B25,Base!$A$1:$E$2346,5,FALSE)</f>
        <v>399.31017971168734</v>
      </c>
      <c r="F25" s="30">
        <v>1</v>
      </c>
      <c r="G25" s="318"/>
      <c r="H25" s="79"/>
      <c r="L25" t="str">
        <f t="shared" si="2"/>
        <v/>
      </c>
      <c r="M25" t="str">
        <f t="shared" si="3"/>
        <v/>
      </c>
      <c r="N25" t="str">
        <f t="shared" si="4"/>
        <v/>
      </c>
      <c r="O25" s="56" t="str">
        <f t="shared" si="5"/>
        <v/>
      </c>
      <c r="P25" s="56" t="str">
        <f t="shared" si="6"/>
        <v/>
      </c>
      <c r="Q25" s="56" t="str">
        <f>IF(H25&lt;1,"","")</f>
        <v/>
      </c>
    </row>
    <row r="26" spans="2:20" ht="15.75" thickBot="1" x14ac:dyDescent="0.3">
      <c r="B26" s="1" t="s">
        <v>0</v>
      </c>
      <c r="C26" s="463" t="s">
        <v>1814</v>
      </c>
      <c r="D26" s="463"/>
      <c r="E26" s="463"/>
      <c r="F26" s="463"/>
      <c r="G26" s="464"/>
      <c r="H26" s="80"/>
    </row>
    <row r="27" spans="2:20" x14ac:dyDescent="0.25">
      <c r="B27" s="69">
        <v>8511499</v>
      </c>
      <c r="C27" s="213" t="str">
        <f>+VLOOKUP(B27,Base!$A$1:$E$2346,2,FALSE)</f>
        <v>Programador de lavado (KIT,GUARDIAN,ECON,0.75,L/A.I.)</v>
      </c>
      <c r="D27" s="214">
        <f>+VLOOKUP(B27,Base!$A$1:$E$2645,3,FALSE)</f>
        <v>1</v>
      </c>
      <c r="E27" s="313">
        <f>+VLOOKUP(B27,Base!$A$1:$E$2346,5,FALSE)</f>
        <v>8801.2821576286769</v>
      </c>
      <c r="F27" s="70">
        <v>1</v>
      </c>
      <c r="G27" s="316">
        <f>E27/D27*F27</f>
        <v>8801.2821576286769</v>
      </c>
      <c r="H27" s="79">
        <v>1</v>
      </c>
      <c r="L27">
        <f t="shared" ref="L27:L28" si="7">+IF($H27&lt;&gt;0,B27,"")</f>
        <v>8511499</v>
      </c>
      <c r="M27" t="str">
        <f t="shared" ref="M27:M28" si="8">+IF($H27&lt;&gt;0,C27,"")</f>
        <v>Programador de lavado (KIT,GUARDIAN,ECON,0.75,L/A.I.)</v>
      </c>
      <c r="N27">
        <f t="shared" ref="N27:N28" si="9">+IF($H27&lt;&gt;0,D27,"")</f>
        <v>1</v>
      </c>
      <c r="O27" s="56">
        <f t="shared" ref="O27:O28" si="10">+IF($H27&lt;&gt;0,E27,"")</f>
        <v>8801.2821576286769</v>
      </c>
      <c r="P27" s="56">
        <f t="shared" ref="P27:P28" si="11">IF(H27&lt;1,"",H27)</f>
        <v>1</v>
      </c>
      <c r="Q27" s="56">
        <f>IF(H27&lt;1,"",+P27*O27)</f>
        <v>8801.2821576286769</v>
      </c>
      <c r="T27" t="s">
        <v>2088</v>
      </c>
    </row>
    <row r="28" spans="2:20" x14ac:dyDescent="0.25">
      <c r="B28" s="72">
        <v>8503076</v>
      </c>
      <c r="C28" s="213" t="str">
        <f>+VLOOKUP(B28,Base!$A$1:$E$2346,2,FALSE)</f>
        <v>VALVE,WATER, .75NPT,220/240VAC</v>
      </c>
      <c r="D28" s="214">
        <f>+VLOOKUP(B28,Base!$A$1:$E$2645,3,FALSE)</f>
        <v>1</v>
      </c>
      <c r="E28" s="313">
        <f>+VLOOKUP(B28,Base!$A$1:$E$2346,5,FALSE)</f>
        <v>299.64371517027865</v>
      </c>
      <c r="F28" s="73">
        <v>2</v>
      </c>
      <c r="G28" s="317">
        <f>E28/D28*F28</f>
        <v>599.28743034055731</v>
      </c>
      <c r="H28" s="79">
        <v>2</v>
      </c>
      <c r="L28">
        <f t="shared" si="7"/>
        <v>8503076</v>
      </c>
      <c r="M28" t="str">
        <f t="shared" si="8"/>
        <v>VALVE,WATER, .75NPT,220/240VAC</v>
      </c>
      <c r="N28">
        <f t="shared" si="9"/>
        <v>1</v>
      </c>
      <c r="O28" s="56">
        <f t="shared" si="10"/>
        <v>299.64371517027865</v>
      </c>
      <c r="P28" s="56">
        <f t="shared" si="11"/>
        <v>2</v>
      </c>
      <c r="Q28" s="56">
        <f>IF(H28&lt;1,"",+P28*O28)</f>
        <v>599.28743034055731</v>
      </c>
    </row>
    <row r="29" spans="2:20" x14ac:dyDescent="0.25">
      <c r="B29" s="77">
        <v>8502796</v>
      </c>
      <c r="C29" s="213" t="str">
        <f>+VLOOKUP(B29,Base!$A$1:$E$2346,2,FALSE)</f>
        <v>Valvula derivadora(VALVE,DIVERTER,230V,50HZ)</v>
      </c>
      <c r="D29" s="214">
        <f>+VLOOKUP(B29,Base!$A$1:$E$2645,3,FALSE)</f>
        <v>1</v>
      </c>
      <c r="E29" s="313">
        <f>+VLOOKUP(B29,Base!$A$1:$E$2346,5,FALSE)</f>
        <v>800.0852826286764</v>
      </c>
      <c r="F29" s="30">
        <v>1</v>
      </c>
      <c r="G29" s="315"/>
      <c r="H29" s="79"/>
      <c r="J29" s="68"/>
    </row>
    <row r="30" spans="2:20" x14ac:dyDescent="0.25">
      <c r="B30" s="2">
        <v>8510273</v>
      </c>
      <c r="C30" s="213" t="str">
        <f>+VLOOKUP(B30,Base!$A$1:$E$2346,2,FALSE)</f>
        <v>KIT,FILL,GUARDIAN,NORTH AMER</v>
      </c>
      <c r="D30" s="214">
        <f>+VLOOKUP(B30,Base!$A$1:$E$2645,3,FALSE)</f>
        <v>1</v>
      </c>
      <c r="E30" s="313">
        <f>+VLOOKUP(B30,Base!$A$1:$E$2346,5,FALSE)</f>
        <v>1080.8634374999997</v>
      </c>
      <c r="F30" s="30">
        <v>1</v>
      </c>
      <c r="G30" s="315"/>
      <c r="H30" s="79"/>
    </row>
    <row r="31" spans="2:20" x14ac:dyDescent="0.25">
      <c r="B31" s="2">
        <v>8583066</v>
      </c>
      <c r="C31" s="213" t="str">
        <f>+VLOOKUP(B31,Base!$A$1:$E$2346,2,FALSE)</f>
        <v>WASHER,GUARDIAN SUPREME,230V</v>
      </c>
      <c r="D31" s="214">
        <f>+VLOOKUP(B31,Base!$A$1:$E$2645,3,FALSE)</f>
        <v>1</v>
      </c>
      <c r="E31" s="313">
        <f>+VLOOKUP(B31,Base!$A$1:$E$2346,5,FALSE)</f>
        <v>8049.4687202496125</v>
      </c>
      <c r="F31" s="30">
        <v>1</v>
      </c>
      <c r="G31" s="315"/>
      <c r="H31" s="79"/>
    </row>
    <row r="32" spans="2:20" x14ac:dyDescent="0.25">
      <c r="B32" s="2">
        <v>8517737</v>
      </c>
      <c r="C32" s="213" t="str">
        <f>+VLOOKUP(B32,Base!$A$1:$E$2346,2,FALSE)</f>
        <v>COUPLING,DRAIN,RUBBER</v>
      </c>
      <c r="D32" s="214">
        <f>+VLOOKUP(B32,Base!$A$1:$E$2645,3,FALSE)</f>
        <v>1</v>
      </c>
      <c r="E32" s="313">
        <f>+VLOOKUP(B32,Base!$A$1:$E$2346,5,FALSE)</f>
        <v>65.840059017027855</v>
      </c>
      <c r="F32" s="30">
        <v>1</v>
      </c>
      <c r="G32" s="315"/>
      <c r="H32" s="79"/>
      <c r="K32" s="68"/>
    </row>
    <row r="33" spans="2:20" x14ac:dyDescent="0.25">
      <c r="B33" s="2">
        <v>8518176</v>
      </c>
      <c r="C33" s="213" t="str">
        <f>+VLOOKUP(B33,Base!$A$1:$E$2346,2,FALSE)</f>
        <v>VALVE,DRAIN,2" ELEC 230V</v>
      </c>
      <c r="D33" s="214">
        <f>+VLOOKUP(B33,Base!$A$1:$E$2645,3,FALSE)</f>
        <v>1</v>
      </c>
      <c r="E33" s="313">
        <f>+VLOOKUP(B33,Base!$A$1:$E$2346,5,FALSE)</f>
        <v>399.31017971168734</v>
      </c>
      <c r="F33" s="30">
        <v>1</v>
      </c>
      <c r="G33" s="315"/>
      <c r="H33" s="79"/>
    </row>
    <row r="34" spans="2:20" ht="15.75" thickBot="1" x14ac:dyDescent="0.3">
      <c r="B34" s="1" t="s">
        <v>0</v>
      </c>
      <c r="C34" s="463" t="s">
        <v>1815</v>
      </c>
      <c r="D34" s="463"/>
      <c r="E34" s="463"/>
      <c r="F34" s="463"/>
      <c r="G34" s="464"/>
      <c r="H34" s="80"/>
    </row>
    <row r="35" spans="2:20" x14ac:dyDescent="0.25">
      <c r="B35" s="69">
        <v>8510722</v>
      </c>
      <c r="C35" s="213" t="str">
        <f>+VLOOKUP(B35,Base!$A$1:$E$2346,2,FALSE)</f>
        <v>Programador de lavado (KIT,GUARDIAN,ECON,0.5)</v>
      </c>
      <c r="D35" s="214">
        <f>+VLOOKUP(B35,Base!$A$1:$E$2645,3,FALSE)</f>
        <v>1</v>
      </c>
      <c r="E35" s="313">
        <f>+VLOOKUP(B35,Base!$A$1:$E$2346,5,FALSE)</f>
        <v>9265.9199448529398</v>
      </c>
      <c r="F35" s="70">
        <v>1</v>
      </c>
      <c r="G35" s="316">
        <f>E35/D35*F35</f>
        <v>9265.9199448529398</v>
      </c>
      <c r="H35" s="79"/>
      <c r="L35" t="str">
        <f t="shared" ref="L35:L42" si="12">+IF($H35&lt;&gt;0,B35,"")</f>
        <v/>
      </c>
      <c r="M35" t="str">
        <f t="shared" ref="M35:M42" si="13">+IF($H35&lt;&gt;0,C35,"")</f>
        <v/>
      </c>
      <c r="N35" t="str">
        <f>+IF($H35&lt;&gt;0,F35,"")</f>
        <v/>
      </c>
      <c r="O35" s="56" t="str">
        <f t="shared" ref="O35:O42" si="14">+IF($H35&lt;&gt;0,E35,"")</f>
        <v/>
      </c>
      <c r="P35" s="56" t="str">
        <f t="shared" ref="P35:P42" si="15">IF(H35&lt;1,"",H35)</f>
        <v/>
      </c>
      <c r="Q35" s="56" t="str">
        <f>IF(H35&lt;1,"",+P35*O35)</f>
        <v/>
      </c>
      <c r="T35" t="s">
        <v>2090</v>
      </c>
    </row>
    <row r="36" spans="2:20" x14ac:dyDescent="0.25">
      <c r="B36" s="72">
        <v>8503075</v>
      </c>
      <c r="C36" s="213" t="str">
        <f>+VLOOKUP(B36,Base!$A$1:$E$2346,2,FALSE)</f>
        <v>VALVE,WATER, .50NPT,220/240VAC</v>
      </c>
      <c r="D36" s="214">
        <f>+VLOOKUP(B36,Base!$A$1:$E$2645,3,FALSE)</f>
        <v>1</v>
      </c>
      <c r="E36" s="313">
        <f>+VLOOKUP(B36,Base!$A$1:$E$2346,5,FALSE)</f>
        <v>324.58625386996908</v>
      </c>
      <c r="F36" s="74">
        <v>2</v>
      </c>
      <c r="G36" s="317">
        <f>E36/D36*F36</f>
        <v>649.17250773993817</v>
      </c>
      <c r="H36" s="79"/>
      <c r="L36" t="str">
        <f t="shared" si="12"/>
        <v/>
      </c>
      <c r="M36" t="str">
        <f t="shared" si="13"/>
        <v/>
      </c>
      <c r="N36" t="str">
        <f>+IF($H36&lt;&gt;0,F36,"")</f>
        <v/>
      </c>
      <c r="O36" s="56" t="str">
        <f t="shared" si="14"/>
        <v/>
      </c>
      <c r="P36" s="56" t="str">
        <f t="shared" si="15"/>
        <v/>
      </c>
      <c r="Q36" s="56" t="str">
        <f>IF(H36&lt;1,"",+P36*O36)</f>
        <v/>
      </c>
    </row>
    <row r="37" spans="2:20" x14ac:dyDescent="0.25">
      <c r="B37" s="2">
        <v>8503938</v>
      </c>
      <c r="C37" s="213" t="str">
        <f>+VLOOKUP(B37,Base!$A$1:$E$2346,2,FALSE)</f>
        <v>Injector de Aire(AIR INJ ASSY,CYCLONE 620,FIL)</v>
      </c>
      <c r="D37" s="214">
        <f>+VLOOKUP(B37,Base!$A$1:$E$2645,3,FALSE)</f>
        <v>1</v>
      </c>
      <c r="E37" s="313">
        <f>+VLOOKUP(B37,Base!$A$1:$E$2346,5,FALSE)</f>
        <v>1072.5439144736843</v>
      </c>
      <c r="F37" s="66">
        <v>1</v>
      </c>
      <c r="G37" s="315">
        <f>E37/D37*F37</f>
        <v>1072.5439144736843</v>
      </c>
      <c r="H37" s="79"/>
      <c r="L37" t="str">
        <f t="shared" si="12"/>
        <v/>
      </c>
      <c r="M37" t="str">
        <f t="shared" si="13"/>
        <v/>
      </c>
      <c r="N37" t="str">
        <f t="shared" ref="N37:N42" si="16">+IF($H37&lt;&gt;0,F37,"")</f>
        <v/>
      </c>
      <c r="O37" s="56" t="str">
        <f t="shared" si="14"/>
        <v/>
      </c>
      <c r="P37" s="56" t="str">
        <f t="shared" si="15"/>
        <v/>
      </c>
      <c r="Q37" s="56" t="str">
        <f>IF(H37&lt;1,"",+P37*O37)</f>
        <v/>
      </c>
    </row>
    <row r="38" spans="2:20" x14ac:dyDescent="0.25">
      <c r="B38" s="77">
        <v>8502796</v>
      </c>
      <c r="C38" s="213" t="str">
        <f>+VLOOKUP(B38,Base!$A$1:$E$2346,2,FALSE)</f>
        <v>Valvula derivadora(VALVE,DIVERTER,230V,50HZ)</v>
      </c>
      <c r="D38" s="214">
        <f>+VLOOKUP(B38,Base!$A$1:$E$2645,3,FALSE)</f>
        <v>1</v>
      </c>
      <c r="E38" s="313">
        <f>+VLOOKUP(B38,Base!$A$1:$E$2346,5,FALSE)</f>
        <v>800.0852826286764</v>
      </c>
      <c r="F38" s="66">
        <v>1</v>
      </c>
      <c r="G38" s="318"/>
      <c r="H38" s="79"/>
      <c r="L38" t="str">
        <f t="shared" si="12"/>
        <v/>
      </c>
      <c r="M38" t="str">
        <f t="shared" si="13"/>
        <v/>
      </c>
      <c r="N38" t="str">
        <f t="shared" si="16"/>
        <v/>
      </c>
      <c r="O38" s="56" t="str">
        <f t="shared" si="14"/>
        <v/>
      </c>
      <c r="P38" s="56" t="str">
        <f t="shared" si="15"/>
        <v/>
      </c>
      <c r="Q38" s="56" t="str">
        <f>IF(H38&lt;1,"","")</f>
        <v/>
      </c>
    </row>
    <row r="39" spans="2:20" x14ac:dyDescent="0.25">
      <c r="B39" s="2">
        <v>8510273</v>
      </c>
      <c r="C39" s="213" t="str">
        <f>+VLOOKUP(B39,Base!$A$1:$E$2346,2,FALSE)</f>
        <v>KIT,FILL,GUARDIAN,NORTH AMER</v>
      </c>
      <c r="D39" s="214">
        <f>+VLOOKUP(B39,Base!$A$1:$E$2645,3,FALSE)</f>
        <v>1</v>
      </c>
      <c r="E39" s="313">
        <f>+VLOOKUP(B39,Base!$A$1:$E$2346,5,FALSE)</f>
        <v>1080.8634374999997</v>
      </c>
      <c r="F39" s="66">
        <v>1</v>
      </c>
      <c r="G39" s="318"/>
      <c r="H39" s="79"/>
      <c r="L39" t="str">
        <f t="shared" si="12"/>
        <v/>
      </c>
      <c r="M39" t="str">
        <f t="shared" si="13"/>
        <v/>
      </c>
      <c r="N39" t="str">
        <f t="shared" si="16"/>
        <v/>
      </c>
      <c r="O39" s="56" t="str">
        <f t="shared" si="14"/>
        <v/>
      </c>
      <c r="P39" s="56" t="str">
        <f t="shared" si="15"/>
        <v/>
      </c>
      <c r="Q39" s="56" t="str">
        <f>IF(H39&lt;1,"","")</f>
        <v/>
      </c>
    </row>
    <row r="40" spans="2:20" x14ac:dyDescent="0.25">
      <c r="B40" s="2">
        <v>8583066</v>
      </c>
      <c r="C40" s="213" t="str">
        <f>+VLOOKUP(B40,Base!$A$1:$E$2346,2,FALSE)</f>
        <v>WASHER,GUARDIAN SUPREME,230V</v>
      </c>
      <c r="D40" s="214">
        <f>+VLOOKUP(B40,Base!$A$1:$E$2645,3,FALSE)</f>
        <v>1</v>
      </c>
      <c r="E40" s="313">
        <f>+VLOOKUP(B40,Base!$A$1:$E$2346,5,FALSE)</f>
        <v>8049.4687202496125</v>
      </c>
      <c r="F40" s="66">
        <v>1</v>
      </c>
      <c r="G40" s="318"/>
      <c r="H40" s="79"/>
      <c r="L40" t="str">
        <f t="shared" si="12"/>
        <v/>
      </c>
      <c r="M40" t="str">
        <f t="shared" si="13"/>
        <v/>
      </c>
      <c r="N40" t="str">
        <f t="shared" si="16"/>
        <v/>
      </c>
      <c r="O40" s="56" t="str">
        <f t="shared" si="14"/>
        <v/>
      </c>
      <c r="P40" s="56" t="str">
        <f t="shared" si="15"/>
        <v/>
      </c>
      <c r="Q40" s="56" t="str">
        <f>IF(H40&lt;1,"","")</f>
        <v/>
      </c>
    </row>
    <row r="41" spans="2:20" x14ac:dyDescent="0.25">
      <c r="B41" s="2">
        <v>8517737</v>
      </c>
      <c r="C41" s="213" t="str">
        <f>+VLOOKUP(B41,Base!$A$1:$E$2346,2,FALSE)</f>
        <v>COUPLING,DRAIN,RUBBER</v>
      </c>
      <c r="D41" s="214">
        <f>+VLOOKUP(B41,Base!$A$1:$E$2645,3,FALSE)</f>
        <v>1</v>
      </c>
      <c r="E41" s="313">
        <f>+VLOOKUP(B41,Base!$A$1:$E$2346,5,FALSE)</f>
        <v>65.840059017027855</v>
      </c>
      <c r="F41" s="66">
        <v>1</v>
      </c>
      <c r="G41" s="318"/>
      <c r="H41" s="79"/>
      <c r="L41" t="str">
        <f t="shared" si="12"/>
        <v/>
      </c>
      <c r="M41" t="str">
        <f t="shared" si="13"/>
        <v/>
      </c>
      <c r="N41" t="str">
        <f t="shared" si="16"/>
        <v/>
      </c>
      <c r="O41" s="56" t="str">
        <f t="shared" si="14"/>
        <v/>
      </c>
      <c r="P41" s="56" t="str">
        <f t="shared" si="15"/>
        <v/>
      </c>
      <c r="Q41" s="56" t="str">
        <f>IF(H41&lt;1,"","")</f>
        <v/>
      </c>
    </row>
    <row r="42" spans="2:20" x14ac:dyDescent="0.25">
      <c r="B42" s="2">
        <v>8518176</v>
      </c>
      <c r="C42" s="213" t="str">
        <f>+VLOOKUP(B42,Base!$A$1:$E$2346,2,FALSE)</f>
        <v>VALVE,DRAIN,2" ELEC 230V</v>
      </c>
      <c r="D42" s="214">
        <f>+VLOOKUP(B42,Base!$A$1:$E$2645,3,FALSE)</f>
        <v>1</v>
      </c>
      <c r="E42" s="313">
        <f>+VLOOKUP(B42,Base!$A$1:$E$2346,5,FALSE)</f>
        <v>399.31017971168734</v>
      </c>
      <c r="F42" s="66">
        <v>1</v>
      </c>
      <c r="G42" s="318"/>
      <c r="H42" s="79"/>
      <c r="L42" t="str">
        <f t="shared" si="12"/>
        <v/>
      </c>
      <c r="M42" t="str">
        <f t="shared" si="13"/>
        <v/>
      </c>
      <c r="N42" t="str">
        <f t="shared" si="16"/>
        <v/>
      </c>
      <c r="O42" s="56" t="str">
        <f t="shared" si="14"/>
        <v/>
      </c>
      <c r="P42" s="56" t="str">
        <f t="shared" si="15"/>
        <v/>
      </c>
      <c r="Q42" s="56" t="str">
        <f>IF(H42&lt;1,"","")</f>
        <v/>
      </c>
    </row>
    <row r="43" spans="2:20" ht="15.75" thickBot="1" x14ac:dyDescent="0.3">
      <c r="B43" s="1" t="s">
        <v>0</v>
      </c>
      <c r="C43" s="463" t="s">
        <v>1816</v>
      </c>
      <c r="D43" s="463"/>
      <c r="E43" s="463"/>
      <c r="F43" s="463"/>
      <c r="G43" s="464"/>
      <c r="H43" s="80"/>
    </row>
    <row r="44" spans="2:20" x14ac:dyDescent="0.25">
      <c r="B44" s="69">
        <v>8510723</v>
      </c>
      <c r="C44" s="213" t="str">
        <f>+VLOOKUP(B44,Base!$A$1:$E$2346,2,FALSE)</f>
        <v>Programador de lavado (KIT,GUARDIAN,ECON,0.75)</v>
      </c>
      <c r="D44" s="214">
        <f>+VLOOKUP(B44,Base!$A$1:$E$2645,3,FALSE)</f>
        <v>1</v>
      </c>
      <c r="E44" s="313">
        <f>+VLOOKUP(B44,Base!$A$1:$E$2346,5,FALSE)</f>
        <v>9741.5672909007335</v>
      </c>
      <c r="F44" s="71">
        <v>1</v>
      </c>
      <c r="G44" s="316">
        <f>E44/D44*F44</f>
        <v>9741.5672909007335</v>
      </c>
      <c r="H44" s="79"/>
      <c r="L44" t="str">
        <f t="shared" ref="L44:L51" si="17">+IF($H44&lt;&gt;0,B44,"")</f>
        <v/>
      </c>
      <c r="M44" t="str">
        <f t="shared" ref="M44:M51" si="18">+IF($H44&lt;&gt;0,C44,"")</f>
        <v/>
      </c>
      <c r="N44" t="str">
        <f t="shared" ref="N44:N51" si="19">+IF($H44&lt;&gt;0,D44,"")</f>
        <v/>
      </c>
      <c r="O44" s="56" t="str">
        <f t="shared" ref="O44:O51" si="20">+IF($H44&lt;&gt;0,E44,"")</f>
        <v/>
      </c>
      <c r="P44" s="56" t="str">
        <f t="shared" ref="P44:P52" si="21">IF(H44&lt;1,"",H44)</f>
        <v/>
      </c>
      <c r="Q44" s="56" t="str">
        <f>IF(H44&lt;1,"",+P44*O44)</f>
        <v/>
      </c>
      <c r="T44" t="s">
        <v>2089</v>
      </c>
    </row>
    <row r="45" spans="2:20" x14ac:dyDescent="0.25">
      <c r="B45" s="72">
        <v>8503076</v>
      </c>
      <c r="C45" s="213" t="str">
        <f>+VLOOKUP(B45,Base!$A$1:$E$2346,2,FALSE)</f>
        <v>VALVE,WATER, .75NPT,220/240VAC</v>
      </c>
      <c r="D45" s="214">
        <f>+VLOOKUP(B45,Base!$A$1:$E$2645,3,FALSE)</f>
        <v>1</v>
      </c>
      <c r="E45" s="313">
        <f>+VLOOKUP(B45,Base!$A$1:$E$2346,5,FALSE)</f>
        <v>299.64371517027865</v>
      </c>
      <c r="F45" s="73">
        <v>2</v>
      </c>
      <c r="G45" s="317">
        <f>E45/D45*F45</f>
        <v>599.28743034055731</v>
      </c>
      <c r="H45" s="79"/>
      <c r="L45" t="str">
        <f t="shared" si="17"/>
        <v/>
      </c>
      <c r="M45" t="str">
        <f t="shared" si="18"/>
        <v/>
      </c>
      <c r="N45" t="str">
        <f t="shared" si="19"/>
        <v/>
      </c>
      <c r="O45" s="56" t="str">
        <f t="shared" si="20"/>
        <v/>
      </c>
      <c r="P45" s="56" t="str">
        <f t="shared" si="21"/>
        <v/>
      </c>
      <c r="Q45" s="56" t="str">
        <f>IF(H45&lt;1,"",+P45*O45)</f>
        <v/>
      </c>
    </row>
    <row r="46" spans="2:20" x14ac:dyDescent="0.25">
      <c r="B46" s="2">
        <v>8503938</v>
      </c>
      <c r="C46" s="213" t="str">
        <f>+VLOOKUP(B46,Base!$A$1:$E$2346,2,FALSE)</f>
        <v>Injector de Aire(AIR INJ ASSY,CYCLONE 620,FIL)</v>
      </c>
      <c r="D46" s="214">
        <f>+VLOOKUP(B46,Base!$A$1:$E$2645,3,FALSE)</f>
        <v>1</v>
      </c>
      <c r="E46" s="313">
        <f>+VLOOKUP(B46,Base!$A$1:$E$2346,5,FALSE)</f>
        <v>1072.5439144736843</v>
      </c>
      <c r="F46" s="30">
        <v>1</v>
      </c>
      <c r="G46" s="315">
        <f>E46/D46*F46</f>
        <v>1072.5439144736843</v>
      </c>
      <c r="H46" s="79"/>
      <c r="L46" t="str">
        <f t="shared" si="17"/>
        <v/>
      </c>
      <c r="M46" t="str">
        <f t="shared" si="18"/>
        <v/>
      </c>
      <c r="N46" t="str">
        <f t="shared" si="19"/>
        <v/>
      </c>
      <c r="O46" s="56" t="str">
        <f t="shared" si="20"/>
        <v/>
      </c>
      <c r="P46" s="56" t="str">
        <f t="shared" si="21"/>
        <v/>
      </c>
      <c r="Q46" s="56" t="str">
        <f>IF(H46&lt;1,"",+P46*O46)</f>
        <v/>
      </c>
    </row>
    <row r="47" spans="2:20" x14ac:dyDescent="0.25">
      <c r="B47" s="77">
        <v>8502796</v>
      </c>
      <c r="C47" s="213" t="str">
        <f>+VLOOKUP(B47,Base!$A$1:$E$2346,2,FALSE)</f>
        <v>Valvula derivadora(VALVE,DIVERTER,230V,50HZ)</v>
      </c>
      <c r="D47" s="214">
        <f>+VLOOKUP(B47,Base!$A$1:$E$2645,3,FALSE)</f>
        <v>1</v>
      </c>
      <c r="E47" s="313">
        <f>+VLOOKUP(B47,Base!$A$1:$E$2346,5,FALSE)</f>
        <v>800.0852826286764</v>
      </c>
      <c r="F47" s="30">
        <v>1</v>
      </c>
      <c r="G47" s="318"/>
      <c r="H47" s="79"/>
      <c r="L47" t="str">
        <f t="shared" si="17"/>
        <v/>
      </c>
      <c r="M47" t="str">
        <f t="shared" si="18"/>
        <v/>
      </c>
      <c r="N47" t="str">
        <f t="shared" si="19"/>
        <v/>
      </c>
      <c r="O47" s="56" t="str">
        <f t="shared" si="20"/>
        <v/>
      </c>
      <c r="P47" s="56" t="str">
        <f t="shared" si="21"/>
        <v/>
      </c>
      <c r="Q47" s="56" t="str">
        <f t="shared" ref="Q47:Q52" si="22">IF(H47&lt;1,"","")</f>
        <v/>
      </c>
    </row>
    <row r="48" spans="2:20" x14ac:dyDescent="0.25">
      <c r="B48" s="2">
        <v>8510273</v>
      </c>
      <c r="C48" s="213" t="str">
        <f>+VLOOKUP(B48,Base!$A$1:$E$2346,2,FALSE)</f>
        <v>KIT,FILL,GUARDIAN,NORTH AMER</v>
      </c>
      <c r="D48" s="214">
        <f>+VLOOKUP(B48,Base!$A$1:$E$2645,3,FALSE)</f>
        <v>1</v>
      </c>
      <c r="E48" s="313">
        <f>+VLOOKUP(B48,Base!$A$1:$E$2346,5,FALSE)</f>
        <v>1080.8634374999997</v>
      </c>
      <c r="F48" s="30">
        <v>1</v>
      </c>
      <c r="G48" s="318"/>
      <c r="H48" s="79"/>
      <c r="L48" t="str">
        <f t="shared" si="17"/>
        <v/>
      </c>
      <c r="M48" t="str">
        <f t="shared" si="18"/>
        <v/>
      </c>
      <c r="N48" t="str">
        <f t="shared" si="19"/>
        <v/>
      </c>
      <c r="O48" s="56" t="str">
        <f t="shared" si="20"/>
        <v/>
      </c>
      <c r="P48" s="56" t="str">
        <f t="shared" si="21"/>
        <v/>
      </c>
      <c r="Q48" s="56" t="str">
        <f t="shared" si="22"/>
        <v/>
      </c>
    </row>
    <row r="49" spans="2:20" x14ac:dyDescent="0.25">
      <c r="B49" s="2">
        <v>8583066</v>
      </c>
      <c r="C49" s="213" t="str">
        <f>+VLOOKUP(B49,Base!$A$1:$E$2346,2,FALSE)</f>
        <v>WASHER,GUARDIAN SUPREME,230V</v>
      </c>
      <c r="D49" s="214">
        <f>+VLOOKUP(B49,Base!$A$1:$E$2645,3,FALSE)</f>
        <v>1</v>
      </c>
      <c r="E49" s="313">
        <f>+VLOOKUP(B49,Base!$A$1:$E$2346,5,FALSE)</f>
        <v>8049.4687202496125</v>
      </c>
      <c r="F49" s="30">
        <v>1</v>
      </c>
      <c r="G49" s="318"/>
      <c r="H49" s="79"/>
      <c r="L49" t="str">
        <f t="shared" si="17"/>
        <v/>
      </c>
      <c r="M49" t="str">
        <f t="shared" si="18"/>
        <v/>
      </c>
      <c r="N49" t="str">
        <f t="shared" si="19"/>
        <v/>
      </c>
      <c r="O49" s="56" t="str">
        <f t="shared" si="20"/>
        <v/>
      </c>
      <c r="P49" s="56" t="str">
        <f t="shared" si="21"/>
        <v/>
      </c>
      <c r="Q49" s="56" t="str">
        <f t="shared" si="22"/>
        <v/>
      </c>
    </row>
    <row r="50" spans="2:20" x14ac:dyDescent="0.25">
      <c r="B50" s="2">
        <v>8517737</v>
      </c>
      <c r="C50" s="213" t="str">
        <f>+VLOOKUP(B50,Base!$A$1:$E$2346,2,FALSE)</f>
        <v>COUPLING,DRAIN,RUBBER</v>
      </c>
      <c r="D50" s="214">
        <f>+VLOOKUP(B50,Base!$A$1:$E$2645,3,FALSE)</f>
        <v>1</v>
      </c>
      <c r="E50" s="313">
        <f>+VLOOKUP(B50,Base!$A$1:$E$2346,5,FALSE)</f>
        <v>65.840059017027855</v>
      </c>
      <c r="F50" s="30">
        <v>1</v>
      </c>
      <c r="G50" s="318"/>
      <c r="H50" s="79"/>
      <c r="L50" t="str">
        <f t="shared" si="17"/>
        <v/>
      </c>
      <c r="M50" t="str">
        <f t="shared" si="18"/>
        <v/>
      </c>
      <c r="N50" t="str">
        <f t="shared" si="19"/>
        <v/>
      </c>
      <c r="O50" s="56" t="str">
        <f t="shared" si="20"/>
        <v/>
      </c>
      <c r="P50" s="56" t="str">
        <f t="shared" si="21"/>
        <v/>
      </c>
      <c r="Q50" s="56" t="str">
        <f t="shared" si="22"/>
        <v/>
      </c>
    </row>
    <row r="51" spans="2:20" ht="15.75" thickBot="1" x14ac:dyDescent="0.3">
      <c r="B51" s="2">
        <v>8518176</v>
      </c>
      <c r="C51" s="213" t="str">
        <f>+VLOOKUP(B51,Base!$A$1:$E$2346,2,FALSE)</f>
        <v>VALVE,DRAIN,2" ELEC 230V</v>
      </c>
      <c r="D51" s="214">
        <f>+VLOOKUP(B51,Base!$A$1:$E$2645,3,FALSE)</f>
        <v>1</v>
      </c>
      <c r="E51" s="313">
        <f>+VLOOKUP(B51,Base!$A$1:$E$2346,5,FALSE)</f>
        <v>399.31017971168734</v>
      </c>
      <c r="F51" s="30">
        <v>1</v>
      </c>
      <c r="G51" s="318"/>
      <c r="H51" s="79"/>
      <c r="L51" t="str">
        <f t="shared" si="17"/>
        <v/>
      </c>
      <c r="M51" t="str">
        <f t="shared" si="18"/>
        <v/>
      </c>
      <c r="N51" t="str">
        <f t="shared" si="19"/>
        <v/>
      </c>
      <c r="O51" s="56" t="str">
        <f t="shared" si="20"/>
        <v/>
      </c>
      <c r="P51" s="56" t="str">
        <f t="shared" si="21"/>
        <v/>
      </c>
      <c r="Q51" s="56" t="str">
        <f t="shared" si="22"/>
        <v/>
      </c>
    </row>
    <row r="52" spans="2:20" x14ac:dyDescent="0.25">
      <c r="B52" s="465" t="s">
        <v>1826</v>
      </c>
      <c r="C52" s="466"/>
      <c r="D52" s="466"/>
      <c r="E52" s="466"/>
      <c r="F52" s="466"/>
      <c r="G52" s="467"/>
      <c r="H52" s="80"/>
      <c r="P52" s="56" t="str">
        <f t="shared" si="21"/>
        <v/>
      </c>
      <c r="Q52" s="56" t="str">
        <f t="shared" si="22"/>
        <v/>
      </c>
    </row>
    <row r="53" spans="2:20" ht="15.75" thickBot="1" x14ac:dyDescent="0.3">
      <c r="B53" s="468"/>
      <c r="C53" s="469"/>
      <c r="D53" s="469"/>
      <c r="E53" s="469"/>
      <c r="F53" s="469"/>
      <c r="G53" s="470"/>
      <c r="H53" s="80"/>
    </row>
    <row r="54" spans="2:20" x14ac:dyDescent="0.25">
      <c r="B54" s="76">
        <v>4018875</v>
      </c>
      <c r="C54" s="213" t="str">
        <f>+VLOOKUP(B54,Base!$A$1:$E$2346,2,FALSE)</f>
        <v>DARI-KOOL II-80-1-A</v>
      </c>
      <c r="D54" s="214">
        <f>+VLOOKUP(B54,Base!$A$1:$E$2645,3,FALSE)</f>
        <v>1</v>
      </c>
      <c r="E54" s="313">
        <f>+VLOOKUP(B54,Base!$A$1:$E$2346,5,FALSE)</f>
        <v>8661.4294158355406</v>
      </c>
      <c r="F54" s="30">
        <v>1</v>
      </c>
      <c r="G54" s="319">
        <f>+F54*E54</f>
        <v>8661.4294158355406</v>
      </c>
      <c r="H54" s="79"/>
      <c r="L54" t="str">
        <f t="shared" ref="L54:O56" si="23">+IF($H54&lt;&gt;0,B54,"")</f>
        <v/>
      </c>
      <c r="M54" t="str">
        <f t="shared" si="23"/>
        <v/>
      </c>
      <c r="N54" t="str">
        <f t="shared" si="23"/>
        <v/>
      </c>
      <c r="O54" s="56" t="str">
        <f t="shared" si="23"/>
        <v/>
      </c>
      <c r="P54" s="56" t="str">
        <f>IF(H54&lt;1,"",H54)</f>
        <v/>
      </c>
      <c r="Q54" s="56" t="str">
        <f>IF(H54&lt;1,"",+P54*O54)</f>
        <v/>
      </c>
      <c r="T54" t="s">
        <v>2091</v>
      </c>
    </row>
    <row r="55" spans="2:20" x14ac:dyDescent="0.25">
      <c r="B55" s="76">
        <v>4019026</v>
      </c>
      <c r="C55" s="213" t="str">
        <f>+VLOOKUP(B55,Base!$A$1:$E$2346,2,FALSE)</f>
        <v>DARI-KOOL II-120-2-A</v>
      </c>
      <c r="D55" s="214">
        <f>+VLOOKUP(B55,Base!$A$1:$E$2645,3,FALSE)</f>
        <v>1</v>
      </c>
      <c r="E55" s="313">
        <f>+VLOOKUP(B55,Base!$A$1:$E$2346,5,FALSE)</f>
        <v>9412.755570934256</v>
      </c>
      <c r="F55" s="30">
        <v>1</v>
      </c>
      <c r="G55" s="319">
        <f>+F55*E55</f>
        <v>9412.755570934256</v>
      </c>
      <c r="H55" s="79"/>
      <c r="L55" t="str">
        <f t="shared" si="23"/>
        <v/>
      </c>
      <c r="M55" t="str">
        <f t="shared" si="23"/>
        <v/>
      </c>
      <c r="N55" t="str">
        <f t="shared" si="23"/>
        <v/>
      </c>
      <c r="O55" s="56" t="str">
        <f t="shared" si="23"/>
        <v/>
      </c>
      <c r="P55" s="56" t="str">
        <f>IF(H55&lt;1,"",H55)</f>
        <v/>
      </c>
      <c r="Q55" s="56" t="str">
        <f>IF(H55&lt;1,"",+P55*O55)</f>
        <v/>
      </c>
      <c r="T55" t="s">
        <v>2092</v>
      </c>
    </row>
    <row r="56" spans="2:20" x14ac:dyDescent="0.25">
      <c r="B56" s="76">
        <v>4016547</v>
      </c>
      <c r="C56" s="213" t="str">
        <f>+VLOOKUP(B56,Base!$A$1:$E$2346,2,FALSE)</f>
        <v>THERMA-STOR III-120-2</v>
      </c>
      <c r="D56" s="214">
        <f>+VLOOKUP(B56,Base!$A$1:$E$2645,3,FALSE)</f>
        <v>1</v>
      </c>
      <c r="E56" s="313">
        <f>+VLOOKUP(B56,Base!$A$1:$E$2346,5,FALSE)</f>
        <v>11860.404803582334</v>
      </c>
      <c r="F56" s="30">
        <v>1</v>
      </c>
      <c r="G56" s="319">
        <f>+F56*E56</f>
        <v>11860.404803582334</v>
      </c>
      <c r="H56" s="79"/>
      <c r="L56" t="str">
        <f t="shared" si="23"/>
        <v/>
      </c>
      <c r="M56" t="str">
        <f t="shared" si="23"/>
        <v/>
      </c>
      <c r="N56" t="str">
        <f t="shared" si="23"/>
        <v/>
      </c>
      <c r="O56" s="56" t="str">
        <f t="shared" si="23"/>
        <v/>
      </c>
      <c r="P56" s="56" t="str">
        <f>IF(H56&lt;1,"",H56)</f>
        <v/>
      </c>
      <c r="Q56" s="56" t="str">
        <f>IF(H56&lt;1,"",+P56*O56)</f>
        <v/>
      </c>
      <c r="T56" t="s">
        <v>2093</v>
      </c>
    </row>
    <row r="57" spans="2:20" x14ac:dyDescent="0.25">
      <c r="M57" s="56"/>
      <c r="N57" s="56" t="e">
        <f>IF(#REF!&lt;1,"",#REF!)</f>
        <v>#REF!</v>
      </c>
      <c r="O57" s="56" t="e">
        <f>IF(#REF!&lt;1,"",#REF!)</f>
        <v>#REF!</v>
      </c>
      <c r="P57"/>
      <c r="Q57"/>
    </row>
    <row r="58" spans="2:20" x14ac:dyDescent="0.25">
      <c r="M58" s="56"/>
      <c r="N58" s="56" t="e">
        <f>IF(#REF!&lt;1,"",#REF!)</f>
        <v>#REF!</v>
      </c>
      <c r="O58" s="56" t="e">
        <f>IF(#REF!&lt;1,"",#REF!)</f>
        <v>#REF!</v>
      </c>
      <c r="P58"/>
      <c r="Q58"/>
    </row>
    <row r="59" spans="2:20" x14ac:dyDescent="0.25">
      <c r="N59" s="56"/>
      <c r="O59" s="56" t="e">
        <f>IF(#REF!&lt;1,"",#REF!)</f>
        <v>#REF!</v>
      </c>
      <c r="Q59"/>
    </row>
  </sheetData>
  <mergeCells count="8">
    <mergeCell ref="B52:G53"/>
    <mergeCell ref="C34:G34"/>
    <mergeCell ref="C43:G43"/>
    <mergeCell ref="B5:G6"/>
    <mergeCell ref="B12:G13"/>
    <mergeCell ref="C17:G17"/>
    <mergeCell ref="C18:G18"/>
    <mergeCell ref="C26:G26"/>
  </mergeCells>
  <conditionalFormatting sqref="B21">
    <cfRule type="duplicateValues" dxfId="27" priority="4"/>
  </conditionalFormatting>
  <conditionalFormatting sqref="B29">
    <cfRule type="duplicateValues" dxfId="26" priority="3"/>
  </conditionalFormatting>
  <conditionalFormatting sqref="B38">
    <cfRule type="duplicateValues" dxfId="25" priority="2"/>
  </conditionalFormatting>
  <conditionalFormatting sqref="B47">
    <cfRule type="duplicateValues" dxfId="24" priority="1"/>
  </conditionalFormatting>
  <hyperlinks>
    <hyperlink ref="J2" location="presu!A1" display="Presupuesto" xr:uid="{258F3267-031B-42F9-9F59-412DD906E95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Option Button 2">
              <controlPr defaultSize="0" autoFill="0" autoLine="0" autoPict="0" macro="[0]!llevaralpresuplaca">
                <anchor moveWithCells="1">
                  <from>
                    <xdr:col>12</xdr:col>
                    <xdr:colOff>285750</xdr:colOff>
                    <xdr:row>3</xdr:row>
                    <xdr:rowOff>9525</xdr:rowOff>
                  </from>
                  <to>
                    <xdr:col>12</xdr:col>
                    <xdr:colOff>1666875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Option Button 3">
              <controlPr defaultSize="0" autoFill="0" autoLine="0" autoPict="0" macro="[0]!llevaralpresuplaca">
                <anchor moveWithCells="1">
                  <from>
                    <xdr:col>12</xdr:col>
                    <xdr:colOff>276225</xdr:colOff>
                    <xdr:row>3</xdr:row>
                    <xdr:rowOff>28575</xdr:rowOff>
                  </from>
                  <to>
                    <xdr:col>12</xdr:col>
                    <xdr:colOff>1638300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Option Button 4">
              <controlPr defaultSize="0" autoFill="0" autoLine="0" autoPict="0" macro="[0]!LimpiarPlaca">
                <anchor moveWithCells="1">
                  <from>
                    <xdr:col>8</xdr:col>
                    <xdr:colOff>542925</xdr:colOff>
                    <xdr:row>2</xdr:row>
                    <xdr:rowOff>57150</xdr:rowOff>
                  </from>
                  <to>
                    <xdr:col>11</xdr:col>
                    <xdr:colOff>133350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P97"/>
  <sheetViews>
    <sheetView workbookViewId="0">
      <selection activeCell="K5" sqref="K5:P97"/>
    </sheetView>
  </sheetViews>
  <sheetFormatPr baseColWidth="10" defaultColWidth="8.7109375" defaultRowHeight="15" x14ac:dyDescent="0.25"/>
  <cols>
    <col min="2" max="2" width="10.42578125" bestFit="1" customWidth="1"/>
    <col min="3" max="3" width="56" bestFit="1" customWidth="1"/>
    <col min="4" max="4" width="10.5703125" bestFit="1" customWidth="1"/>
    <col min="5" max="5" width="10.42578125" style="56" bestFit="1" customWidth="1"/>
    <col min="6" max="6" width="8.85546875" bestFit="1" customWidth="1"/>
    <col min="7" max="7" width="9.42578125" style="56" bestFit="1" customWidth="1"/>
    <col min="11" max="11" width="10.85546875" bestFit="1" customWidth="1"/>
    <col min="12" max="12" width="47.28515625" bestFit="1" customWidth="1"/>
    <col min="13" max="13" width="1.7109375" bestFit="1" customWidth="1"/>
    <col min="14" max="14" width="9.5703125" style="56" bestFit="1" customWidth="1"/>
    <col min="15" max="15" width="4" style="56" bestFit="1" customWidth="1"/>
    <col min="16" max="16" width="9.5703125" style="56" bestFit="1" customWidth="1"/>
  </cols>
  <sheetData>
    <row r="2" spans="2:16" ht="21" x14ac:dyDescent="0.35">
      <c r="I2" s="156" t="s">
        <v>1879</v>
      </c>
    </row>
    <row r="3" spans="2:16" ht="15.75" thickBot="1" x14ac:dyDescent="0.3">
      <c r="B3" s="91" t="s">
        <v>1841</v>
      </c>
      <c r="C3" s="90" t="s">
        <v>65</v>
      </c>
      <c r="D3" s="91" t="s">
        <v>66</v>
      </c>
      <c r="E3" s="308" t="s">
        <v>1842</v>
      </c>
      <c r="F3" s="91" t="s">
        <v>1843</v>
      </c>
      <c r="G3" s="308" t="s">
        <v>1844</v>
      </c>
    </row>
    <row r="4" spans="2:16" x14ac:dyDescent="0.25">
      <c r="B4" s="93" t="s">
        <v>1838</v>
      </c>
      <c r="C4" s="483" t="s">
        <v>1839</v>
      </c>
      <c r="D4" s="483"/>
      <c r="E4" s="483"/>
      <c r="F4" s="483"/>
      <c r="G4" s="484"/>
    </row>
    <row r="5" spans="2:16" ht="15.75" thickBot="1" x14ac:dyDescent="0.3">
      <c r="B5" s="94" t="s">
        <v>0</v>
      </c>
      <c r="C5" s="485" t="s">
        <v>1840</v>
      </c>
      <c r="D5" s="485"/>
      <c r="E5" s="485"/>
      <c r="F5" s="485"/>
      <c r="G5" s="486"/>
      <c r="N5"/>
      <c r="O5"/>
      <c r="P5"/>
    </row>
    <row r="6" spans="2:16" x14ac:dyDescent="0.25">
      <c r="B6" s="2">
        <v>8580056</v>
      </c>
      <c r="C6" s="213" t="str">
        <f>+VLOOKUP(B6,Base!$A$1:$E$2346,2,FALSE)</f>
        <v>RCVR,85L,(2)3",PAR,3GX1.5,DFLO</v>
      </c>
      <c r="D6" s="214">
        <f>+VLOOKUP(B6,Base!$A$1:$E$2645,3,FALSE)</f>
        <v>1</v>
      </c>
      <c r="E6" s="303">
        <f>+VLOOKUP(B6,Base!$A$1:$E$2346,5,FALSE)</f>
        <v>5284.3572925953567</v>
      </c>
      <c r="F6" s="30">
        <v>1</v>
      </c>
      <c r="G6" s="307">
        <f t="shared" ref="G6:G15" si="0">F6*E6</f>
        <v>5284.3572925953567</v>
      </c>
      <c r="K6" s="2">
        <v>8580056</v>
      </c>
      <c r="L6" s="213" t="str">
        <f>+VLOOKUP(K6,Base!$A$1:$E$2346,2,FALSE)</f>
        <v>RCVR,85L,(2)3",PAR,3GX1.5,DFLO</v>
      </c>
      <c r="M6" s="214">
        <f>+VLOOKUP(K6,Base!$A$1:$E$2645,3,FALSE)</f>
        <v>1</v>
      </c>
      <c r="N6" s="303">
        <f>+VLOOKUP(K6,Base!$A$1:$E$2346,5,FALSE)</f>
        <v>5284.3572925953567</v>
      </c>
      <c r="O6" s="30">
        <v>1</v>
      </c>
      <c r="P6" s="307">
        <f t="shared" ref="P6:P15" si="1">O6*N6</f>
        <v>5284.3572925953567</v>
      </c>
    </row>
    <row r="7" spans="2:16" x14ac:dyDescent="0.25">
      <c r="B7" s="2">
        <v>8580137</v>
      </c>
      <c r="C7" s="213" t="str">
        <f>+VLOOKUP(B7,Base!$A$1:$E$2346,2,FALSE)</f>
        <v>BRACKET,RECEIVER PANEL,SWG PLR</v>
      </c>
      <c r="D7" s="214">
        <f>+VLOOKUP(B7,Base!$A$1:$E$2645,3,FALSE)</f>
        <v>1</v>
      </c>
      <c r="E7" s="303">
        <f>+VLOOKUP(B7,Base!$A$1:$E$2346,5,FALSE)</f>
        <v>325.67651194852931</v>
      </c>
      <c r="F7" s="30">
        <v>1</v>
      </c>
      <c r="G7" s="307">
        <f t="shared" si="0"/>
        <v>325.67651194852931</v>
      </c>
      <c r="K7" s="2">
        <v>8580137</v>
      </c>
      <c r="L7" s="213" t="str">
        <f>+VLOOKUP(K7,Base!$A$1:$E$2346,2,FALSE)</f>
        <v>BRACKET,RECEIVER PANEL,SWG PLR</v>
      </c>
      <c r="M7" s="214">
        <f>+VLOOKUP(K7,Base!$A$1:$E$2645,3,FALSE)</f>
        <v>1</v>
      </c>
      <c r="N7" s="303">
        <f>+VLOOKUP(K7,Base!$A$1:$E$2346,5,FALSE)</f>
        <v>325.67651194852931</v>
      </c>
      <c r="O7" s="30">
        <v>1</v>
      </c>
      <c r="P7" s="307">
        <f t="shared" si="1"/>
        <v>325.67651194852931</v>
      </c>
    </row>
    <row r="8" spans="2:16" x14ac:dyDescent="0.25">
      <c r="B8" s="2">
        <v>8580136</v>
      </c>
      <c r="C8" s="213" t="str">
        <f>+VLOOKUP(B8,Base!$A$1:$E$2346,2,FALSE)</f>
        <v>BRACKET,MILK PUMP,SWG PLR</v>
      </c>
      <c r="D8" s="214">
        <f>+VLOOKUP(B8,Base!$A$1:$E$2645,3,FALSE)</f>
        <v>1</v>
      </c>
      <c r="E8" s="303">
        <f>+VLOOKUP(B8,Base!$A$1:$E$2346,5,FALSE)</f>
        <v>69.635459558823513</v>
      </c>
      <c r="F8" s="30">
        <v>1</v>
      </c>
      <c r="G8" s="307">
        <f t="shared" si="0"/>
        <v>69.635459558823513</v>
      </c>
      <c r="K8" s="2">
        <v>8580136</v>
      </c>
      <c r="L8" s="213" t="str">
        <f>+VLOOKUP(K8,Base!$A$1:$E$2346,2,FALSE)</f>
        <v>BRACKET,MILK PUMP,SWG PLR</v>
      </c>
      <c r="M8" s="214">
        <f>+VLOOKUP(K8,Base!$A$1:$E$2645,3,FALSE)</f>
        <v>1</v>
      </c>
      <c r="N8" s="303">
        <f>+VLOOKUP(K8,Base!$A$1:$E$2346,5,FALSE)</f>
        <v>69.635459558823513</v>
      </c>
      <c r="O8" s="30">
        <v>1</v>
      </c>
      <c r="P8" s="307">
        <f t="shared" si="1"/>
        <v>69.635459558823513</v>
      </c>
    </row>
    <row r="9" spans="2:16" x14ac:dyDescent="0.25">
      <c r="B9" s="2">
        <v>8508251</v>
      </c>
      <c r="C9" s="213" t="str">
        <f>+VLOOKUP(B9,Base!$A$1:$E$2346,2,FALSE)</f>
        <v>TRAP ASSY,SANITARY,3.00 IN</v>
      </c>
      <c r="D9" s="214">
        <f>+VLOOKUP(B9,Base!$A$1:$E$2645,3,FALSE)</f>
        <v>1</v>
      </c>
      <c r="E9" s="303">
        <f>+VLOOKUP(B9,Base!$A$1:$E$2346,5,FALSE)</f>
        <v>1335.6731576528639</v>
      </c>
      <c r="F9" s="30">
        <v>1</v>
      </c>
      <c r="G9" s="307">
        <f t="shared" si="0"/>
        <v>1335.6731576528639</v>
      </c>
      <c r="K9" s="2">
        <v>8508251</v>
      </c>
      <c r="L9" s="213" t="str">
        <f>+VLOOKUP(K9,Base!$A$1:$E$2346,2,FALSE)</f>
        <v>TRAP ASSY,SANITARY,3.00 IN</v>
      </c>
      <c r="M9" s="214">
        <f>+VLOOKUP(K9,Base!$A$1:$E$2645,3,FALSE)</f>
        <v>1</v>
      </c>
      <c r="N9" s="303">
        <f>+VLOOKUP(K9,Base!$A$1:$E$2346,5,FALSE)</f>
        <v>1335.6731576528639</v>
      </c>
      <c r="O9" s="30">
        <v>1</v>
      </c>
      <c r="P9" s="307">
        <f t="shared" si="1"/>
        <v>1335.6731576528639</v>
      </c>
    </row>
    <row r="10" spans="2:16" x14ac:dyDescent="0.25">
      <c r="B10" s="2">
        <v>8504276</v>
      </c>
      <c r="C10" s="213" t="str">
        <f>+VLOOKUP(B10,Base!$A$1:$E$2346,2,FALSE)</f>
        <v>Codo (ELBOW,120 DEG,SS,3)</v>
      </c>
      <c r="D10" s="214">
        <f>+VLOOKUP(B10,Base!$A$1:$E$2645,3,FALSE)</f>
        <v>1</v>
      </c>
      <c r="E10" s="303">
        <f>+VLOOKUP(B10,Base!$A$1:$E$2346,5,FALSE)</f>
        <v>635.74769857778642</v>
      </c>
      <c r="F10" s="30">
        <v>1</v>
      </c>
      <c r="G10" s="307">
        <f t="shared" si="0"/>
        <v>635.74769857778642</v>
      </c>
      <c r="K10" s="2">
        <v>8504276</v>
      </c>
      <c r="L10" s="213" t="str">
        <f>+VLOOKUP(K10,Base!$A$1:$E$2346,2,FALSE)</f>
        <v>Codo (ELBOW,120 DEG,SS,3)</v>
      </c>
      <c r="M10" s="214">
        <f>+VLOOKUP(K10,Base!$A$1:$E$2645,3,FALSE)</f>
        <v>1</v>
      </c>
      <c r="N10" s="303">
        <f>+VLOOKUP(K10,Base!$A$1:$E$2346,5,FALSE)</f>
        <v>635.74769857778642</v>
      </c>
      <c r="O10" s="30">
        <v>1</v>
      </c>
      <c r="P10" s="307">
        <f t="shared" si="1"/>
        <v>635.74769857778642</v>
      </c>
    </row>
    <row r="11" spans="2:16" x14ac:dyDescent="0.25">
      <c r="B11" s="5">
        <v>8507966</v>
      </c>
      <c r="C11" s="213" t="str">
        <f>+VLOOKUP(B11,Base!$A$1:$E$2346,2,FALSE)</f>
        <v>Abrazadera(CLAMP,BAND,SS,3")</v>
      </c>
      <c r="D11" s="214">
        <f>+VLOOKUP(B11,Base!$A$1:$E$2645,3,FALSE)</f>
        <v>1</v>
      </c>
      <c r="E11" s="303">
        <f>+VLOOKUP(B11,Base!$A$1:$E$2346,5,FALSE)</f>
        <v>16.583147977941177</v>
      </c>
      <c r="F11" s="30">
        <v>1</v>
      </c>
      <c r="G11" s="307">
        <f t="shared" si="0"/>
        <v>16.583147977941177</v>
      </c>
      <c r="K11" s="5">
        <v>8507966</v>
      </c>
      <c r="L11" s="213" t="str">
        <f>+VLOOKUP(K11,Base!$A$1:$E$2346,2,FALSE)</f>
        <v>Abrazadera(CLAMP,BAND,SS,3")</v>
      </c>
      <c r="M11" s="214">
        <f>+VLOOKUP(K11,Base!$A$1:$E$2645,3,FALSE)</f>
        <v>1</v>
      </c>
      <c r="N11" s="303">
        <f>+VLOOKUP(K11,Base!$A$1:$E$2346,5,FALSE)</f>
        <v>16.583147977941177</v>
      </c>
      <c r="O11" s="30">
        <v>1</v>
      </c>
      <c r="P11" s="307">
        <f t="shared" si="1"/>
        <v>16.583147977941177</v>
      </c>
    </row>
    <row r="12" spans="2:16" x14ac:dyDescent="0.25">
      <c r="B12" s="5">
        <v>8500331</v>
      </c>
      <c r="C12" s="213" t="str">
        <f>+VLOOKUP(B12,Base!$A$1:$E$2346,2,FALSE)</f>
        <v>Junta de goma ferula(GASKET,TRI-CLAMP,3.0")</v>
      </c>
      <c r="D12" s="214">
        <f>+VLOOKUP(B12,Base!$A$1:$E$2645,3,FALSE)</f>
        <v>1</v>
      </c>
      <c r="E12" s="303">
        <f>+VLOOKUP(B12,Base!$A$1:$E$2346,5,FALSE)</f>
        <v>3.5853497484520127</v>
      </c>
      <c r="F12" s="30">
        <v>1</v>
      </c>
      <c r="G12" s="307">
        <f t="shared" si="0"/>
        <v>3.5853497484520127</v>
      </c>
      <c r="K12" s="5">
        <v>8500331</v>
      </c>
      <c r="L12" s="213" t="str">
        <f>+VLOOKUP(K12,Base!$A$1:$E$2346,2,FALSE)</f>
        <v>Junta de goma ferula(GASKET,TRI-CLAMP,3.0")</v>
      </c>
      <c r="M12" s="214">
        <f>+VLOOKUP(K12,Base!$A$1:$E$2645,3,FALSE)</f>
        <v>1</v>
      </c>
      <c r="N12" s="303">
        <f>+VLOOKUP(K12,Base!$A$1:$E$2346,5,FALSE)</f>
        <v>3.5853497484520127</v>
      </c>
      <c r="O12" s="30">
        <v>1</v>
      </c>
      <c r="P12" s="307">
        <f t="shared" si="1"/>
        <v>3.5853497484520127</v>
      </c>
    </row>
    <row r="13" spans="2:16" x14ac:dyDescent="0.25">
      <c r="B13" s="2">
        <v>8517429</v>
      </c>
      <c r="C13" s="213" t="str">
        <f>+VLOOKUP(B13,Base!$A$1:$E$2346,2,FALSE)</f>
        <v>Tapa transparente recibidor (LID,PLEXIGLASS,RCVR)</v>
      </c>
      <c r="D13" s="214">
        <f>+VLOOKUP(B13,Base!$A$1:$E$2645,3,FALSE)</f>
        <v>1</v>
      </c>
      <c r="E13" s="303">
        <f>+VLOOKUP(B13,Base!$A$1:$E$2346,5,FALSE)</f>
        <v>181.58166771478326</v>
      </c>
      <c r="F13" s="30">
        <v>1</v>
      </c>
      <c r="G13" s="307">
        <f t="shared" si="0"/>
        <v>181.58166771478326</v>
      </c>
      <c r="K13" s="2">
        <v>8517429</v>
      </c>
      <c r="L13" s="213" t="str">
        <f>+VLOOKUP(K13,Base!$A$1:$E$2346,2,FALSE)</f>
        <v>Tapa transparente recibidor (LID,PLEXIGLASS,RCVR)</v>
      </c>
      <c r="M13" s="214">
        <f>+VLOOKUP(K13,Base!$A$1:$E$2645,3,FALSE)</f>
        <v>1</v>
      </c>
      <c r="N13" s="303">
        <f>+VLOOKUP(K13,Base!$A$1:$E$2346,5,FALSE)</f>
        <v>181.58166771478326</v>
      </c>
      <c r="O13" s="30">
        <v>1</v>
      </c>
      <c r="P13" s="307">
        <f t="shared" si="1"/>
        <v>181.58166771478326</v>
      </c>
    </row>
    <row r="14" spans="2:16" x14ac:dyDescent="0.25">
      <c r="B14" s="2"/>
      <c r="C14" s="213"/>
      <c r="D14" s="214"/>
      <c r="E14" s="303"/>
      <c r="F14" s="30">
        <v>1</v>
      </c>
      <c r="G14" s="307">
        <f t="shared" si="0"/>
        <v>0</v>
      </c>
      <c r="K14" s="2"/>
      <c r="L14" s="213"/>
      <c r="M14" s="214"/>
      <c r="N14" s="303"/>
      <c r="O14" s="30">
        <v>1</v>
      </c>
      <c r="P14" s="307">
        <f t="shared" si="1"/>
        <v>0</v>
      </c>
    </row>
    <row r="15" spans="2:16" x14ac:dyDescent="0.25">
      <c r="B15" s="2">
        <v>8581834</v>
      </c>
      <c r="C15" s="213" t="str">
        <f>+VLOOKUP(B15,Base!$A$1:$E$2346,2,FALSE)</f>
        <v>VALVE ASSY,DIVERTER,SS,3"</v>
      </c>
      <c r="D15" s="214">
        <v>1</v>
      </c>
      <c r="E15" s="303">
        <f>+VLOOKUP(B15,Base!$A$1:$E$2346,5,FALSE)</f>
        <v>842.6097035845587</v>
      </c>
      <c r="F15" s="30">
        <v>1</v>
      </c>
      <c r="G15" s="307">
        <f t="shared" si="0"/>
        <v>842.6097035845587</v>
      </c>
      <c r="K15" s="2">
        <v>8581834</v>
      </c>
      <c r="L15" s="213" t="str">
        <f>+VLOOKUP(K15,Base!$A$1:$E$2346,2,FALSE)</f>
        <v>VALVE ASSY,DIVERTER,SS,3"</v>
      </c>
      <c r="M15" s="214">
        <v>1</v>
      </c>
      <c r="N15" s="303">
        <f>+VLOOKUP(K15,Base!$A$1:$E$2346,5,FALSE)</f>
        <v>842.6097035845587</v>
      </c>
      <c r="O15" s="30">
        <v>1</v>
      </c>
      <c r="P15" s="307">
        <f t="shared" si="1"/>
        <v>842.6097035845587</v>
      </c>
    </row>
    <row r="16" spans="2:16" x14ac:dyDescent="0.25">
      <c r="B16" s="2">
        <v>8583328</v>
      </c>
      <c r="C16" s="213" t="str">
        <f>+VLOOKUP(B16,Base!$A$1:$E$2346,2,FALSE)</f>
        <v>TEE ASSY,ADAPTER,AIR INJ,3"</v>
      </c>
      <c r="D16" s="214">
        <f>+VLOOKUP(B16,Base!$A$1:$E$2645,3,FALSE)</f>
        <v>1</v>
      </c>
      <c r="E16" s="303">
        <f>+VLOOKUP(B16,Base!$A$1:$E$2346,5,FALSE)</f>
        <v>902.30215533088221</v>
      </c>
      <c r="F16" s="30">
        <v>1</v>
      </c>
      <c r="G16" s="307">
        <f>F16*E16</f>
        <v>902.30215533088221</v>
      </c>
      <c r="K16" s="2">
        <v>8583328</v>
      </c>
      <c r="L16" s="213" t="str">
        <f>+VLOOKUP(K16,Base!$A$1:$E$2346,2,FALSE)</f>
        <v>TEE ASSY,ADAPTER,AIR INJ,3"</v>
      </c>
      <c r="M16" s="214">
        <f>+VLOOKUP(K16,Base!$A$1:$E$2645,3,FALSE)</f>
        <v>1</v>
      </c>
      <c r="N16" s="303">
        <f>+VLOOKUP(K16,Base!$A$1:$E$2346,5,FALSE)</f>
        <v>902.30215533088221</v>
      </c>
      <c r="O16" s="30">
        <v>1</v>
      </c>
      <c r="P16" s="307">
        <f>O16*N16</f>
        <v>902.30215533088221</v>
      </c>
    </row>
    <row r="17" spans="2:16" x14ac:dyDescent="0.25">
      <c r="B17" s="2">
        <v>8513975</v>
      </c>
      <c r="C17" s="213" t="str">
        <f>+VLOOKUP(B17,Base!$A$1:$E$2346,2,FALSE)</f>
        <v>Espada control de nivel (PROBE ASSY,1.5")</v>
      </c>
      <c r="D17" s="214">
        <f>+VLOOKUP(B17,Base!$A$1:$E$2645,3,FALSE)</f>
        <v>1</v>
      </c>
      <c r="E17" s="303">
        <f>+VLOOKUP(B17,Base!$A$1:$E$2346,5,FALSE)</f>
        <v>655.3679227941177</v>
      </c>
      <c r="F17" s="30">
        <v>1</v>
      </c>
      <c r="G17" s="307">
        <f t="shared" ref="G17:G22" si="2">F17*E17</f>
        <v>655.3679227941177</v>
      </c>
      <c r="K17" s="2">
        <v>8513975</v>
      </c>
      <c r="L17" s="213" t="str">
        <f>+VLOOKUP(K17,Base!$A$1:$E$2346,2,FALSE)</f>
        <v>Espada control de nivel (PROBE ASSY,1.5")</v>
      </c>
      <c r="M17" s="214">
        <f>+VLOOKUP(K17,Base!$A$1:$E$2645,3,FALSE)</f>
        <v>1</v>
      </c>
      <c r="N17" s="303">
        <f>+VLOOKUP(K17,Base!$A$1:$E$2346,5,FALSE)</f>
        <v>655.3679227941177</v>
      </c>
      <c r="O17" s="30">
        <v>1</v>
      </c>
      <c r="P17" s="307">
        <f t="shared" ref="P17:P22" si="3">O17*N17</f>
        <v>655.3679227941177</v>
      </c>
    </row>
    <row r="18" spans="2:16" x14ac:dyDescent="0.25">
      <c r="B18" s="2">
        <v>8500331</v>
      </c>
      <c r="C18" s="213" t="str">
        <f>+VLOOKUP(B18,Base!$A$1:$E$2346,2,FALSE)</f>
        <v>Junta de goma ferula(GASKET,TRI-CLAMP,3.0")</v>
      </c>
      <c r="D18" s="214">
        <f>+VLOOKUP(B18,Base!$A$1:$E$2645,3,FALSE)</f>
        <v>1</v>
      </c>
      <c r="E18" s="303">
        <f>+VLOOKUP(B18,Base!$A$1:$E$2346,5,FALSE)</f>
        <v>3.5853497484520127</v>
      </c>
      <c r="F18" s="30">
        <v>9</v>
      </c>
      <c r="G18" s="307">
        <f t="shared" si="2"/>
        <v>32.268147736068116</v>
      </c>
      <c r="K18" s="2">
        <v>8500331</v>
      </c>
      <c r="L18" s="213" t="str">
        <f>+VLOOKUP(K18,Base!$A$1:$E$2346,2,FALSE)</f>
        <v>Junta de goma ferula(GASKET,TRI-CLAMP,3.0")</v>
      </c>
      <c r="M18" s="214">
        <f>+VLOOKUP(K18,Base!$A$1:$E$2645,3,FALSE)</f>
        <v>1</v>
      </c>
      <c r="N18" s="303">
        <f>+VLOOKUP(K18,Base!$A$1:$E$2346,5,FALSE)</f>
        <v>3.5853497484520127</v>
      </c>
      <c r="O18" s="30">
        <v>9</v>
      </c>
      <c r="P18" s="307">
        <f t="shared" si="3"/>
        <v>32.268147736068116</v>
      </c>
    </row>
    <row r="19" spans="2:16" x14ac:dyDescent="0.25">
      <c r="B19" s="2">
        <v>8507966</v>
      </c>
      <c r="C19" s="213" t="str">
        <f>+VLOOKUP(B19,Base!$A$1:$E$2346,2,FALSE)</f>
        <v>Abrazadera(CLAMP,BAND,SS,3")</v>
      </c>
      <c r="D19" s="214">
        <f>+VLOOKUP(B19,Base!$A$1:$E$2645,3,FALSE)</f>
        <v>1</v>
      </c>
      <c r="E19" s="303">
        <f>+VLOOKUP(B19,Base!$A$1:$E$2346,5,FALSE)</f>
        <v>16.583147977941177</v>
      </c>
      <c r="F19" s="30">
        <v>9</v>
      </c>
      <c r="G19" s="307">
        <f t="shared" si="2"/>
        <v>149.24833180147058</v>
      </c>
      <c r="K19" s="2">
        <v>8507966</v>
      </c>
      <c r="L19" s="213" t="str">
        <f>+VLOOKUP(K19,Base!$A$1:$E$2346,2,FALSE)</f>
        <v>Abrazadera(CLAMP,BAND,SS,3")</v>
      </c>
      <c r="M19" s="214">
        <f>+VLOOKUP(K19,Base!$A$1:$E$2645,3,FALSE)</f>
        <v>1</v>
      </c>
      <c r="N19" s="303">
        <f>+VLOOKUP(K19,Base!$A$1:$E$2346,5,FALSE)</f>
        <v>16.583147977941177</v>
      </c>
      <c r="O19" s="30">
        <v>9</v>
      </c>
      <c r="P19" s="307">
        <f t="shared" si="3"/>
        <v>149.24833180147058</v>
      </c>
    </row>
    <row r="20" spans="2:16" x14ac:dyDescent="0.25">
      <c r="B20" s="2">
        <v>8500321</v>
      </c>
      <c r="C20" s="213" t="str">
        <f>+VLOOKUP(B20,Base!$A$1:$E$2346,2,FALSE)</f>
        <v>Codo (ELBOW,90 DEG,SS,CLP,3)</v>
      </c>
      <c r="D20" s="214">
        <f>+VLOOKUP(B20,Base!$A$1:$E$2645,3,FALSE)</f>
        <v>1</v>
      </c>
      <c r="E20" s="303">
        <f>+VLOOKUP(B20,Base!$A$1:$E$2346,5,FALSE)</f>
        <v>182.85283717105264</v>
      </c>
      <c r="F20" s="30">
        <v>2</v>
      </c>
      <c r="G20" s="307">
        <f t="shared" si="2"/>
        <v>365.70567434210528</v>
      </c>
      <c r="K20" s="2">
        <v>8500321</v>
      </c>
      <c r="L20" s="213" t="str">
        <f>+VLOOKUP(K20,Base!$A$1:$E$2346,2,FALSE)</f>
        <v>Codo (ELBOW,90 DEG,SS,CLP,3)</v>
      </c>
      <c r="M20" s="214">
        <f>+VLOOKUP(K20,Base!$A$1:$E$2645,3,FALSE)</f>
        <v>1</v>
      </c>
      <c r="N20" s="303">
        <f>+VLOOKUP(K20,Base!$A$1:$E$2346,5,FALSE)</f>
        <v>182.85283717105264</v>
      </c>
      <c r="O20" s="30">
        <v>2</v>
      </c>
      <c r="P20" s="307">
        <f t="shared" si="3"/>
        <v>365.70567434210528</v>
      </c>
    </row>
    <row r="21" spans="2:16" x14ac:dyDescent="0.25">
      <c r="B21" s="2">
        <v>8503938</v>
      </c>
      <c r="C21" s="213" t="str">
        <f>+VLOOKUP(B21,Base!$A$1:$E$2346,2,FALSE)</f>
        <v>Injector de Aire(AIR INJ ASSY,CYCLONE 620,FIL)</v>
      </c>
      <c r="D21" s="214">
        <f>+VLOOKUP(B21,Base!$A$1:$E$2645,3,FALSE)</f>
        <v>1</v>
      </c>
      <c r="E21" s="303">
        <f>+VLOOKUP(B21,Base!$A$1:$E$2346,5,FALSE)</f>
        <v>1072.5439144736843</v>
      </c>
      <c r="F21" s="30">
        <v>1</v>
      </c>
      <c r="G21" s="307">
        <f t="shared" si="2"/>
        <v>1072.5439144736843</v>
      </c>
      <c r="K21" s="2">
        <v>8503938</v>
      </c>
      <c r="L21" s="213" t="str">
        <f>+VLOOKUP(K21,Base!$A$1:$E$2346,2,FALSE)</f>
        <v>Injector de Aire(AIR INJ ASSY,CYCLONE 620,FIL)</v>
      </c>
      <c r="M21" s="214">
        <f>+VLOOKUP(K21,Base!$A$1:$E$2645,3,FALSE)</f>
        <v>1</v>
      </c>
      <c r="N21" s="303">
        <f>+VLOOKUP(K21,Base!$A$1:$E$2346,5,FALSE)</f>
        <v>1072.5439144736843</v>
      </c>
      <c r="O21" s="30">
        <v>1</v>
      </c>
      <c r="P21" s="307">
        <f t="shared" si="3"/>
        <v>1072.5439144736843</v>
      </c>
    </row>
    <row r="22" spans="2:16" x14ac:dyDescent="0.25">
      <c r="B22" s="2">
        <v>8518532</v>
      </c>
      <c r="C22" s="213" t="str">
        <f>+VLOOKUP(B22,Base!$A$1:$E$2346,2,FALSE)</f>
        <v>Caja comando injector de aire(CONT ASSY,AI,230V,50/60HZ)</v>
      </c>
      <c r="D22" s="214">
        <f>+VLOOKUP(B22,Base!$A$1:$E$2645,3,FALSE)</f>
        <v>1</v>
      </c>
      <c r="E22" s="303">
        <f>+VLOOKUP(B22,Base!$A$1:$E$2346,5,FALSE)</f>
        <v>1426.9408571981423</v>
      </c>
      <c r="F22" s="30">
        <v>1</v>
      </c>
      <c r="G22" s="307">
        <f t="shared" si="2"/>
        <v>1426.9408571981423</v>
      </c>
      <c r="K22" s="2">
        <v>8518532</v>
      </c>
      <c r="L22" s="213" t="str">
        <f>+VLOOKUP(K22,Base!$A$1:$E$2346,2,FALSE)</f>
        <v>Caja comando injector de aire(CONT ASSY,AI,230V,50/60HZ)</v>
      </c>
      <c r="M22" s="214">
        <f>+VLOOKUP(K22,Base!$A$1:$E$2645,3,FALSE)</f>
        <v>1</v>
      </c>
      <c r="N22" s="303">
        <f>+VLOOKUP(K22,Base!$A$1:$E$2346,5,FALSE)</f>
        <v>1426.9408571981423</v>
      </c>
      <c r="O22" s="30">
        <v>1</v>
      </c>
      <c r="P22" s="307">
        <f t="shared" si="3"/>
        <v>1426.9408571981423</v>
      </c>
    </row>
    <row r="23" spans="2:16" ht="15.75" thickBot="1" x14ac:dyDescent="0.3">
      <c r="B23" s="95"/>
      <c r="C23" s="96"/>
      <c r="D23" s="95"/>
      <c r="E23" s="309"/>
      <c r="F23" s="97"/>
      <c r="G23" s="309"/>
    </row>
    <row r="24" spans="2:16" x14ac:dyDescent="0.25">
      <c r="B24" s="93" t="s">
        <v>1838</v>
      </c>
      <c r="C24" s="483" t="s">
        <v>1839</v>
      </c>
      <c r="D24" s="483"/>
      <c r="E24" s="483"/>
      <c r="F24" s="483"/>
      <c r="G24" s="484"/>
    </row>
    <row r="25" spans="2:16" ht="15.75" thickBot="1" x14ac:dyDescent="0.3">
      <c r="B25" s="94" t="s">
        <v>0</v>
      </c>
      <c r="C25" s="485" t="s">
        <v>1847</v>
      </c>
      <c r="D25" s="485"/>
      <c r="E25" s="485"/>
      <c r="F25" s="485"/>
      <c r="G25" s="486"/>
    </row>
    <row r="26" spans="2:16" x14ac:dyDescent="0.25">
      <c r="B26" s="100" t="s">
        <v>709</v>
      </c>
      <c r="C26" s="213" t="str">
        <f>+VLOOKUP(B26,Base!$A$1:$E$2346,2,FALSE)</f>
        <v>RCVR 55 L SANI TRAP D 76 W/O</v>
      </c>
      <c r="D26" s="214">
        <f>+VLOOKUP(B26,Base!$A$1:$E$2645,3,FALSE)</f>
        <v>1</v>
      </c>
      <c r="E26" s="303">
        <f>+VLOOKUP(B26,Base!$A$1:$E$2346,5,FALSE)</f>
        <v>5092.985483077422</v>
      </c>
      <c r="F26" s="101">
        <v>1</v>
      </c>
      <c r="G26" s="304">
        <v>5178.5129595588223</v>
      </c>
    </row>
    <row r="27" spans="2:16" x14ac:dyDescent="0.25">
      <c r="B27" s="98" t="s">
        <v>576</v>
      </c>
      <c r="C27" s="213" t="str">
        <f>+VLOOKUP(B27,Base!$A$1:$E$2346,2,FALSE)</f>
        <v>MILK PUMP 0,75KW 3PH 220/380V</v>
      </c>
      <c r="D27" s="214">
        <f>+VLOOKUP(B27,Base!$A$1:$E$2645,3,FALSE)</f>
        <v>1</v>
      </c>
      <c r="E27" s="303">
        <f>+VLOOKUP(B27,Base!$A$1:$E$2346,5,FALSE)</f>
        <v>1162.5406020220585</v>
      </c>
      <c r="F27" s="99">
        <v>1</v>
      </c>
      <c r="G27" s="305">
        <v>0</v>
      </c>
    </row>
    <row r="28" spans="2:16" x14ac:dyDescent="0.25">
      <c r="B28" s="98" t="s">
        <v>580</v>
      </c>
      <c r="C28" s="213" t="str">
        <f>+VLOOKUP(B28,Base!$A$1:$E$2346,2,FALSE)</f>
        <v>RECEIVER ASSEMBLY BASIC 55L DI</v>
      </c>
      <c r="D28" s="214">
        <f>+VLOOKUP(B28,Base!$A$1:$E$2645,3,FALSE)</f>
        <v>1</v>
      </c>
      <c r="E28" s="303">
        <f>+VLOOKUP(B28,Base!$A$1:$E$2346,5,FALSE)</f>
        <v>1720.2435661764703</v>
      </c>
      <c r="F28" s="99">
        <v>1</v>
      </c>
      <c r="G28" s="305">
        <v>0</v>
      </c>
    </row>
    <row r="29" spans="2:16" x14ac:dyDescent="0.25">
      <c r="B29" s="5" t="s">
        <v>575</v>
      </c>
      <c r="C29" s="213" t="str">
        <f>+VLOOKUP(B29,Base!$A$1:$E$2346,2,FALSE)</f>
        <v>BEND MILK PUMP OUTLET MANUAL</v>
      </c>
      <c r="D29" s="214">
        <f>+VLOOKUP(B29,Base!$A$1:$E$2645,3,FALSE)</f>
        <v>1</v>
      </c>
      <c r="E29" s="303">
        <f>+VLOOKUP(B29,Base!$A$1:$E$2346,5,FALSE)</f>
        <v>233.95312500000003</v>
      </c>
      <c r="F29" s="30">
        <v>1</v>
      </c>
      <c r="G29" s="306">
        <v>237.88194444444446</v>
      </c>
    </row>
    <row r="30" spans="2:16" ht="15.75" thickBot="1" x14ac:dyDescent="0.3">
      <c r="B30" s="95"/>
      <c r="C30" s="96"/>
      <c r="D30" s="95"/>
      <c r="E30" s="309"/>
      <c r="F30" s="97"/>
      <c r="G30" s="309"/>
    </row>
    <row r="31" spans="2:16" x14ac:dyDescent="0.25">
      <c r="B31" s="93" t="s">
        <v>1838</v>
      </c>
      <c r="C31" s="483" t="s">
        <v>1839</v>
      </c>
      <c r="D31" s="483"/>
      <c r="E31" s="483"/>
      <c r="F31" s="483"/>
      <c r="G31" s="484"/>
    </row>
    <row r="32" spans="2:16" ht="15.75" thickBot="1" x14ac:dyDescent="0.3">
      <c r="B32" s="94" t="s">
        <v>0</v>
      </c>
      <c r="C32" s="485" t="s">
        <v>1848</v>
      </c>
      <c r="D32" s="485"/>
      <c r="E32" s="485"/>
      <c r="F32" s="485"/>
      <c r="G32" s="486"/>
    </row>
    <row r="33" spans="2:16" x14ac:dyDescent="0.25">
      <c r="B33" s="100" t="s">
        <v>711</v>
      </c>
      <c r="C33" s="213" t="str">
        <f>+VLOOKUP(B33,Base!$A$1:$E$2346,2,FALSE)</f>
        <v>RCVR 100 L 1 TRAP D 76 W/O</v>
      </c>
      <c r="D33" s="214">
        <f>+VLOOKUP(B33,Base!$A$1:$E$2645,3,FALSE)</f>
        <v>1</v>
      </c>
      <c r="E33" s="303">
        <f>+VLOOKUP(B33,Base!$A$1:$E$2346,5,FALSE)</f>
        <v>5787.3891200800172</v>
      </c>
      <c r="F33" s="101">
        <v>1</v>
      </c>
      <c r="G33" s="304">
        <v>5884.5778492647059</v>
      </c>
      <c r="N33"/>
      <c r="O33"/>
      <c r="P33"/>
    </row>
    <row r="34" spans="2:16" x14ac:dyDescent="0.25">
      <c r="B34" s="98" t="s">
        <v>573</v>
      </c>
      <c r="C34" s="213" t="str">
        <f>+VLOOKUP(B34,Base!$A$1:$E$2346,2,FALSE)</f>
        <v>OPERATION MANUAL RECEIVER ASSE</v>
      </c>
      <c r="D34" s="214">
        <f>+VLOOKUP(B34,Base!$A$1:$E$2645,3,FALSE)</f>
        <v>1</v>
      </c>
      <c r="E34" s="303">
        <f>+VLOOKUP(B34,Base!$A$1:$E$2346,5,FALSE)</f>
        <v>3.4404871323529398</v>
      </c>
      <c r="F34" s="99">
        <v>1</v>
      </c>
      <c r="G34" s="305">
        <v>0</v>
      </c>
      <c r="N34"/>
      <c r="O34"/>
      <c r="P34"/>
    </row>
    <row r="35" spans="2:16" x14ac:dyDescent="0.25">
      <c r="B35" s="98" t="s">
        <v>576</v>
      </c>
      <c r="C35" s="213" t="str">
        <f>+VLOOKUP(B35,Base!$A$1:$E$2346,2,FALSE)</f>
        <v>MILK PUMP 0,75KW 3PH 220/380V</v>
      </c>
      <c r="D35" s="214">
        <f>+VLOOKUP(B35,Base!$A$1:$E$2645,3,FALSE)</f>
        <v>1</v>
      </c>
      <c r="E35" s="303">
        <f>+VLOOKUP(B35,Base!$A$1:$E$2346,5,FALSE)</f>
        <v>1162.5406020220585</v>
      </c>
      <c r="F35" s="99">
        <v>1</v>
      </c>
      <c r="G35" s="305">
        <v>0</v>
      </c>
      <c r="N35"/>
      <c r="O35"/>
      <c r="P35"/>
    </row>
    <row r="36" spans="2:16" x14ac:dyDescent="0.25">
      <c r="B36" s="98" t="s">
        <v>582</v>
      </c>
      <c r="C36" s="213" t="str">
        <f>+VLOOKUP(B36,Base!$A$1:$E$2346,2,FALSE)</f>
        <v>RECEIVER ASSEMBLY BASIC 100L D</v>
      </c>
      <c r="D36" s="214">
        <f>+VLOOKUP(B36,Base!$A$1:$E$2645,3,FALSE)</f>
        <v>1</v>
      </c>
      <c r="E36" s="303">
        <f>+VLOOKUP(B36,Base!$A$1:$E$2346,5,FALSE)</f>
        <v>2408.3409926470586</v>
      </c>
      <c r="F36" s="99">
        <v>1</v>
      </c>
      <c r="G36" s="305">
        <v>0</v>
      </c>
      <c r="N36"/>
      <c r="O36"/>
      <c r="P36"/>
    </row>
    <row r="37" spans="2:16" x14ac:dyDescent="0.25">
      <c r="B37" s="5" t="s">
        <v>575</v>
      </c>
      <c r="C37" s="213" t="str">
        <f>+VLOOKUP(B37,Base!$A$1:$E$2346,2,FALSE)</f>
        <v>BEND MILK PUMP OUTLET MANUAL</v>
      </c>
      <c r="D37" s="214">
        <f>+VLOOKUP(B37,Base!$A$1:$E$2645,3,FALSE)</f>
        <v>1</v>
      </c>
      <c r="E37" s="303">
        <f>+VLOOKUP(B37,Base!$A$1:$E$2346,5,FALSE)</f>
        <v>233.95312500000003</v>
      </c>
      <c r="F37" s="30">
        <v>1</v>
      </c>
      <c r="G37" s="306">
        <v>237.88194444444446</v>
      </c>
      <c r="N37"/>
      <c r="O37"/>
      <c r="P37"/>
    </row>
    <row r="38" spans="2:16" ht="15.75" thickBot="1" x14ac:dyDescent="0.3">
      <c r="B38" s="95"/>
      <c r="C38" s="96"/>
      <c r="D38" s="95"/>
      <c r="E38" s="309"/>
      <c r="F38" s="97"/>
      <c r="G38" s="309"/>
    </row>
    <row r="39" spans="2:16" x14ac:dyDescent="0.25">
      <c r="B39" s="103" t="s">
        <v>1838</v>
      </c>
      <c r="C39" s="479" t="s">
        <v>1839</v>
      </c>
      <c r="D39" s="479"/>
      <c r="E39" s="479"/>
      <c r="F39" s="479"/>
      <c r="G39" s="480"/>
    </row>
    <row r="40" spans="2:16" ht="15.75" thickBot="1" x14ac:dyDescent="0.3">
      <c r="B40" s="104" t="s">
        <v>0</v>
      </c>
      <c r="C40" s="481" t="s">
        <v>1849</v>
      </c>
      <c r="D40" s="481"/>
      <c r="E40" s="481"/>
      <c r="F40" s="481"/>
      <c r="G40" s="482"/>
    </row>
    <row r="41" spans="2:16" x14ac:dyDescent="0.25">
      <c r="B41" s="2">
        <v>8516253</v>
      </c>
      <c r="C41" s="213" t="str">
        <f>+VLOOKUP(B41,Base!$A$1:$E$2346,2,FALSE)</f>
        <v>Bomba de leche (PUMP,1HP,1PH,230V,50HZ,CCW)</v>
      </c>
      <c r="D41" s="214">
        <f>+VLOOKUP(B41,Base!$A$1:$E$2645,3,FALSE)</f>
        <v>1</v>
      </c>
      <c r="E41" s="303">
        <f>+VLOOKUP(B41,Base!$A$1:$E$2346,5,FALSE)</f>
        <v>4003.5484150904608</v>
      </c>
      <c r="F41" s="30">
        <v>1</v>
      </c>
      <c r="G41" s="307">
        <v>2006.7477796052631</v>
      </c>
    </row>
    <row r="42" spans="2:16" x14ac:dyDescent="0.25">
      <c r="B42" s="2">
        <v>8511730</v>
      </c>
      <c r="C42" s="213" t="str">
        <f>+VLOOKUP(B42,Base!$A$1:$E$2346,2,FALSE)</f>
        <v>Valvula de drenaje caneria automatica(VALVE ASSY,GOOSENECK DRAIN)</v>
      </c>
      <c r="D42" s="214">
        <f>+VLOOKUP(B42,Base!$A$1:$E$2645,3,FALSE)</f>
        <v>1</v>
      </c>
      <c r="E42" s="303">
        <f>+VLOOKUP(B42,Base!$A$1:$E$2346,5,FALSE)</f>
        <v>842.98091403831279</v>
      </c>
      <c r="F42" s="30">
        <v>1</v>
      </c>
      <c r="G42" s="307">
        <v>471.74088541666669</v>
      </c>
    </row>
    <row r="43" spans="2:16" x14ac:dyDescent="0.25">
      <c r="B43" s="2">
        <v>8507904</v>
      </c>
      <c r="C43" s="213" t="str">
        <f>+VLOOKUP(B43,Base!$A$1:$E$2346,2,FALSE)</f>
        <v>Ferula expandible(FERRULE,SS,CLP,1.5)</v>
      </c>
      <c r="D43" s="214">
        <f>+VLOOKUP(B43,Base!$A$1:$E$2645,3,FALSE)</f>
        <v>1</v>
      </c>
      <c r="E43" s="303">
        <f>+VLOOKUP(B43,Base!$A$1:$E$2346,5,FALSE)</f>
        <v>21.609880756578946</v>
      </c>
      <c r="F43" s="30">
        <v>2</v>
      </c>
      <c r="G43" s="307">
        <v>15.392361111111112</v>
      </c>
    </row>
    <row r="44" spans="2:16" x14ac:dyDescent="0.25">
      <c r="B44" s="2">
        <v>8507932</v>
      </c>
      <c r="C44" s="213" t="str">
        <f>+VLOOKUP(B44,Base!$A$1:$E$2346,2,FALSE)</f>
        <v>Abrazadera(CLAMP,BAND,SS,1-1/2)</v>
      </c>
      <c r="D44" s="214">
        <f>+VLOOKUP(B44,Base!$A$1:$E$2645,3,FALSE)</f>
        <v>1</v>
      </c>
      <c r="E44" s="303">
        <f>+VLOOKUP(B44,Base!$A$1:$E$2346,5,FALSE)</f>
        <v>11.972895220588235</v>
      </c>
      <c r="F44" s="30">
        <v>3</v>
      </c>
      <c r="G44" s="307">
        <v>20.895130208333335</v>
      </c>
    </row>
    <row r="45" spans="2:16" x14ac:dyDescent="0.25">
      <c r="B45" s="2">
        <v>8507905</v>
      </c>
      <c r="C45" s="213" t="str">
        <f>+VLOOKUP(B45,Base!$A$1:$E$2346,2,FALSE)</f>
        <v>Junta de goma ferula(GASKET,TRI-CLAMP,1.5"</v>
      </c>
      <c r="D45" s="214">
        <f>+VLOOKUP(B45,Base!$A$1:$E$2645,3,FALSE)</f>
        <v>1</v>
      </c>
      <c r="E45" s="303">
        <f>+VLOOKUP(B45,Base!$A$1:$E$2346,5,FALSE)</f>
        <v>2.118615760448916</v>
      </c>
      <c r="F45" s="30">
        <v>2</v>
      </c>
      <c r="G45" s="307">
        <v>1.0005034722222224</v>
      </c>
    </row>
    <row r="46" spans="2:16" x14ac:dyDescent="0.25">
      <c r="B46" s="2">
        <v>8515506</v>
      </c>
      <c r="C46" s="213" t="str">
        <f>+VLOOKUP(B46,Base!$A$1:$E$2346,2,FALSE)</f>
        <v>Valvula flap Electrobomba (VALVE,FLAPPER,RBR,1.5")</v>
      </c>
      <c r="D46" s="214">
        <f>+VLOOKUP(B46,Base!$A$1:$E$2645,3,FALSE)</f>
        <v>1</v>
      </c>
      <c r="E46" s="303">
        <f>+VLOOKUP(B46,Base!$A$1:$E$2346,5,FALSE)</f>
        <v>5.4106187113003088</v>
      </c>
      <c r="F46" s="30">
        <v>1</v>
      </c>
      <c r="G46" s="307">
        <v>1.1544270833333332</v>
      </c>
    </row>
    <row r="47" spans="2:16" ht="15.75" thickBot="1" x14ac:dyDescent="0.3">
      <c r="B47" s="95"/>
      <c r="C47" s="96"/>
      <c r="D47" s="95"/>
      <c r="E47" s="309"/>
      <c r="F47" s="97"/>
      <c r="G47" s="309"/>
    </row>
    <row r="48" spans="2:16" x14ac:dyDescent="0.25">
      <c r="B48" s="103" t="s">
        <v>1838</v>
      </c>
      <c r="C48" s="479" t="s">
        <v>1839</v>
      </c>
      <c r="D48" s="479"/>
      <c r="E48" s="479"/>
      <c r="F48" s="479"/>
      <c r="G48" s="480"/>
    </row>
    <row r="49" spans="2:16" ht="15.75" thickBot="1" x14ac:dyDescent="0.3">
      <c r="B49" s="104" t="s">
        <v>0</v>
      </c>
      <c r="C49" s="481" t="s">
        <v>1850</v>
      </c>
      <c r="D49" s="481"/>
      <c r="E49" s="481"/>
      <c r="F49" s="481"/>
      <c r="G49" s="482"/>
    </row>
    <row r="50" spans="2:16" x14ac:dyDescent="0.25">
      <c r="B50" s="2">
        <v>8517089</v>
      </c>
      <c r="C50" s="213" t="str">
        <f>+VLOOKUP(B50,Base!$A$1:$E$2346,2,FALSE)</f>
        <v>Bomba de leche (PUMP,MILK,1HP,3PH,380V)</v>
      </c>
      <c r="D50" s="214">
        <f>+VLOOKUP(B50,Base!$A$1:$E$2645,3,FALSE)</f>
        <v>1</v>
      </c>
      <c r="E50" s="303">
        <f>+VLOOKUP(B50,Base!$A$1:$E$2346,5,FALSE)</f>
        <v>4515.3086965460516</v>
      </c>
      <c r="F50" s="30">
        <v>1</v>
      </c>
      <c r="G50" s="307">
        <v>2132.5858552631576</v>
      </c>
      <c r="K50" s="2">
        <v>8517089</v>
      </c>
      <c r="L50" s="213" t="str">
        <f>+VLOOKUP(K50,Base!$A$1:$E$2346,2,FALSE)</f>
        <v>Bomba de leche (PUMP,MILK,1HP,3PH,380V)</v>
      </c>
      <c r="M50" s="214">
        <f>+VLOOKUP(K50,Base!$A$1:$E$2645,3,FALSE)</f>
        <v>1</v>
      </c>
      <c r="N50" s="303">
        <f>+VLOOKUP(K50,Base!$A$1:$E$2346,5,FALSE)</f>
        <v>4515.3086965460516</v>
      </c>
      <c r="O50" s="30">
        <v>1</v>
      </c>
      <c r="P50" s="307">
        <v>2132.5858552631576</v>
      </c>
    </row>
    <row r="51" spans="2:16" x14ac:dyDescent="0.25">
      <c r="B51" s="2">
        <v>8511730</v>
      </c>
      <c r="C51" s="213" t="str">
        <f>+VLOOKUP(B51,Base!$A$1:$E$2346,2,FALSE)</f>
        <v>Valvula de drenaje caneria automatica(VALVE ASSY,GOOSENECK DRAIN)</v>
      </c>
      <c r="D51" s="214">
        <f>+VLOOKUP(B51,Base!$A$1:$E$2645,3,FALSE)</f>
        <v>1</v>
      </c>
      <c r="E51" s="303">
        <f>+VLOOKUP(B51,Base!$A$1:$E$2346,5,FALSE)</f>
        <v>842.98091403831279</v>
      </c>
      <c r="F51" s="30">
        <v>1</v>
      </c>
      <c r="G51" s="307">
        <v>471.74088541666669</v>
      </c>
      <c r="K51" s="2">
        <v>8511730</v>
      </c>
      <c r="L51" s="213" t="str">
        <f>+VLOOKUP(K51,Base!$A$1:$E$2346,2,FALSE)</f>
        <v>Valvula de drenaje caneria automatica(VALVE ASSY,GOOSENECK DRAIN)</v>
      </c>
      <c r="M51" s="214">
        <f>+VLOOKUP(K51,Base!$A$1:$E$2645,3,FALSE)</f>
        <v>1</v>
      </c>
      <c r="N51" s="303">
        <f>+VLOOKUP(K51,Base!$A$1:$E$2346,5,FALSE)</f>
        <v>842.98091403831279</v>
      </c>
      <c r="O51" s="30">
        <v>1</v>
      </c>
      <c r="P51" s="307">
        <v>471.74088541666669</v>
      </c>
    </row>
    <row r="52" spans="2:16" x14ac:dyDescent="0.25">
      <c r="B52" s="2">
        <v>8507904</v>
      </c>
      <c r="C52" s="213" t="str">
        <f>+VLOOKUP(B52,Base!$A$1:$E$2346,2,FALSE)</f>
        <v>Ferula expandible(FERRULE,SS,CLP,1.5)</v>
      </c>
      <c r="D52" s="214">
        <f>+VLOOKUP(B52,Base!$A$1:$E$2645,3,FALSE)</f>
        <v>1</v>
      </c>
      <c r="E52" s="303">
        <f>+VLOOKUP(B52,Base!$A$1:$E$2346,5,FALSE)</f>
        <v>21.609880756578946</v>
      </c>
      <c r="F52" s="30">
        <v>2</v>
      </c>
      <c r="G52" s="307">
        <v>15.392361111111112</v>
      </c>
      <c r="K52" s="2">
        <v>8507904</v>
      </c>
      <c r="L52" s="213" t="str">
        <f>+VLOOKUP(K52,Base!$A$1:$E$2346,2,FALSE)</f>
        <v>Ferula expandible(FERRULE,SS,CLP,1.5)</v>
      </c>
      <c r="M52" s="214">
        <f>+VLOOKUP(K52,Base!$A$1:$E$2645,3,FALSE)</f>
        <v>1</v>
      </c>
      <c r="N52" s="303">
        <f>+VLOOKUP(K52,Base!$A$1:$E$2346,5,FALSE)</f>
        <v>21.609880756578946</v>
      </c>
      <c r="O52" s="30">
        <v>2</v>
      </c>
      <c r="P52" s="307">
        <v>15.392361111111112</v>
      </c>
    </row>
    <row r="53" spans="2:16" x14ac:dyDescent="0.25">
      <c r="B53" s="2">
        <v>8507932</v>
      </c>
      <c r="C53" s="213" t="str">
        <f>+VLOOKUP(B53,Base!$A$1:$E$2346,2,FALSE)</f>
        <v>Abrazadera(CLAMP,BAND,SS,1-1/2)</v>
      </c>
      <c r="D53" s="214">
        <f>+VLOOKUP(B53,Base!$A$1:$E$2645,3,FALSE)</f>
        <v>1</v>
      </c>
      <c r="E53" s="303">
        <f>+VLOOKUP(B53,Base!$A$1:$E$2346,5,FALSE)</f>
        <v>11.972895220588235</v>
      </c>
      <c r="F53" s="30">
        <v>3</v>
      </c>
      <c r="G53" s="307">
        <v>20.895130208333335</v>
      </c>
      <c r="K53" s="2">
        <v>8507932</v>
      </c>
      <c r="L53" s="213" t="str">
        <f>+VLOOKUP(K53,Base!$A$1:$E$2346,2,FALSE)</f>
        <v>Abrazadera(CLAMP,BAND,SS,1-1/2)</v>
      </c>
      <c r="M53" s="214">
        <f>+VLOOKUP(K53,Base!$A$1:$E$2645,3,FALSE)</f>
        <v>1</v>
      </c>
      <c r="N53" s="303">
        <f>+VLOOKUP(K53,Base!$A$1:$E$2346,5,FALSE)</f>
        <v>11.972895220588235</v>
      </c>
      <c r="O53" s="30">
        <v>3</v>
      </c>
      <c r="P53" s="307">
        <v>20.895130208333335</v>
      </c>
    </row>
    <row r="54" spans="2:16" x14ac:dyDescent="0.25">
      <c r="B54" s="2">
        <v>8507905</v>
      </c>
      <c r="C54" s="213" t="str">
        <f>+VLOOKUP(B54,Base!$A$1:$E$2346,2,FALSE)</f>
        <v>Junta de goma ferula(GASKET,TRI-CLAMP,1.5"</v>
      </c>
      <c r="D54" s="214">
        <f>+VLOOKUP(B54,Base!$A$1:$E$2645,3,FALSE)</f>
        <v>1</v>
      </c>
      <c r="E54" s="303">
        <f>+VLOOKUP(B54,Base!$A$1:$E$2346,5,FALSE)</f>
        <v>2.118615760448916</v>
      </c>
      <c r="F54" s="30">
        <v>2</v>
      </c>
      <c r="G54" s="307">
        <v>1.0005034722222224</v>
      </c>
      <c r="K54" s="2">
        <v>8507905</v>
      </c>
      <c r="L54" s="213" t="str">
        <f>+VLOOKUP(K54,Base!$A$1:$E$2346,2,FALSE)</f>
        <v>Junta de goma ferula(GASKET,TRI-CLAMP,1.5"</v>
      </c>
      <c r="M54" s="214">
        <f>+VLOOKUP(K54,Base!$A$1:$E$2645,3,FALSE)</f>
        <v>1</v>
      </c>
      <c r="N54" s="303">
        <f>+VLOOKUP(K54,Base!$A$1:$E$2346,5,FALSE)</f>
        <v>2.118615760448916</v>
      </c>
      <c r="O54" s="30">
        <v>2</v>
      </c>
      <c r="P54" s="307">
        <v>1.0005034722222224</v>
      </c>
    </row>
    <row r="55" spans="2:16" x14ac:dyDescent="0.25">
      <c r="B55" s="2">
        <v>8515506</v>
      </c>
      <c r="C55" s="213" t="str">
        <f>+VLOOKUP(B55,Base!$A$1:$E$2346,2,FALSE)</f>
        <v>Valvula flap Electrobomba (VALVE,FLAPPER,RBR,1.5")</v>
      </c>
      <c r="D55" s="214">
        <f>+VLOOKUP(B55,Base!$A$1:$E$2645,3,FALSE)</f>
        <v>1</v>
      </c>
      <c r="E55" s="303">
        <f>+VLOOKUP(B55,Base!$A$1:$E$2346,5,FALSE)</f>
        <v>5.4106187113003088</v>
      </c>
      <c r="F55" s="30">
        <v>1</v>
      </c>
      <c r="G55" s="307">
        <v>1.1544270833333332</v>
      </c>
      <c r="K55" s="2">
        <v>8515506</v>
      </c>
      <c r="L55" s="213" t="str">
        <f>+VLOOKUP(K55,Base!$A$1:$E$2346,2,FALSE)</f>
        <v>Valvula flap Electrobomba (VALVE,FLAPPER,RBR,1.5")</v>
      </c>
      <c r="M55" s="214">
        <f>+VLOOKUP(K55,Base!$A$1:$E$2645,3,FALSE)</f>
        <v>1</v>
      </c>
      <c r="N55" s="303">
        <f>+VLOOKUP(K55,Base!$A$1:$E$2346,5,FALSE)</f>
        <v>5.4106187113003088</v>
      </c>
      <c r="O55" s="30">
        <v>1</v>
      </c>
      <c r="P55" s="307">
        <v>1.1544270833333332</v>
      </c>
    </row>
    <row r="56" spans="2:16" ht="15.75" thickBot="1" x14ac:dyDescent="0.3">
      <c r="B56" s="95"/>
      <c r="C56" s="96"/>
      <c r="D56" s="95"/>
      <c r="E56" s="309"/>
      <c r="F56" s="97"/>
      <c r="G56" s="309"/>
    </row>
    <row r="57" spans="2:16" x14ac:dyDescent="0.25">
      <c r="B57" s="103" t="s">
        <v>1838</v>
      </c>
      <c r="C57" s="479" t="s">
        <v>1839</v>
      </c>
      <c r="D57" s="479"/>
      <c r="E57" s="479"/>
      <c r="F57" s="479"/>
      <c r="G57" s="480"/>
    </row>
    <row r="58" spans="2:16" ht="15.75" thickBot="1" x14ac:dyDescent="0.3">
      <c r="B58" s="104" t="s">
        <v>0</v>
      </c>
      <c r="C58" s="481" t="s">
        <v>1851</v>
      </c>
      <c r="D58" s="481"/>
      <c r="E58" s="481"/>
      <c r="F58" s="481"/>
      <c r="G58" s="482"/>
    </row>
    <row r="59" spans="2:16" x14ac:dyDescent="0.25">
      <c r="B59" s="2">
        <v>8507467</v>
      </c>
      <c r="C59" s="213" t="str">
        <f>+VLOOKUP(B59,Base!$A$1:$E$2346,2,FALSE)</f>
        <v>Bomba de leche (PUMP,2HP,WASHDOWN,3PH,60HZ,CCW)</v>
      </c>
      <c r="D59" s="214">
        <f>+VLOOKUP(B59,Base!$A$1:$E$2645,3,FALSE)</f>
        <v>1</v>
      </c>
      <c r="E59" s="303">
        <f>+VLOOKUP(B59,Base!$A$1:$E$2346,5,FALSE)</f>
        <v>5990.5417899816166</v>
      </c>
      <c r="F59" s="30">
        <v>1</v>
      </c>
      <c r="G59" s="307">
        <v>3148.4375</v>
      </c>
      <c r="N59"/>
      <c r="O59"/>
      <c r="P59"/>
    </row>
    <row r="60" spans="2:16" x14ac:dyDescent="0.25">
      <c r="B60" s="2">
        <v>8511730</v>
      </c>
      <c r="C60" s="213" t="str">
        <f>+VLOOKUP(B60,Base!$A$1:$E$2346,2,FALSE)</f>
        <v>Valvula de drenaje caneria automatica(VALVE ASSY,GOOSENECK DRAIN)</v>
      </c>
      <c r="D60" s="214">
        <f>+VLOOKUP(B60,Base!$A$1:$E$2645,3,FALSE)</f>
        <v>1</v>
      </c>
      <c r="E60" s="303">
        <f>+VLOOKUP(B60,Base!$A$1:$E$2346,5,FALSE)</f>
        <v>842.98091403831279</v>
      </c>
      <c r="F60" s="30">
        <v>1</v>
      </c>
      <c r="G60" s="307">
        <v>471.74088541666669</v>
      </c>
      <c r="N60"/>
      <c r="O60"/>
      <c r="P60"/>
    </row>
    <row r="61" spans="2:16" x14ac:dyDescent="0.25">
      <c r="B61" s="2">
        <v>8507904</v>
      </c>
      <c r="C61" s="213" t="str">
        <f>+VLOOKUP(B61,Base!$A$1:$E$2346,2,FALSE)</f>
        <v>Ferula expandible(FERRULE,SS,CLP,1.5)</v>
      </c>
      <c r="D61" s="214">
        <f>+VLOOKUP(B61,Base!$A$1:$E$2645,3,FALSE)</f>
        <v>1</v>
      </c>
      <c r="E61" s="303">
        <f>+VLOOKUP(B61,Base!$A$1:$E$2346,5,FALSE)</f>
        <v>21.609880756578946</v>
      </c>
      <c r="F61" s="30">
        <v>2</v>
      </c>
      <c r="G61" s="307">
        <v>15.392361111111112</v>
      </c>
      <c r="N61"/>
      <c r="O61"/>
      <c r="P61"/>
    </row>
    <row r="62" spans="2:16" x14ac:dyDescent="0.25">
      <c r="B62" s="2">
        <v>8507932</v>
      </c>
      <c r="C62" s="213" t="str">
        <f>+VLOOKUP(B62,Base!$A$1:$E$2346,2,FALSE)</f>
        <v>Abrazadera(CLAMP,BAND,SS,1-1/2)</v>
      </c>
      <c r="D62" s="214">
        <f>+VLOOKUP(B62,Base!$A$1:$E$2645,3,FALSE)</f>
        <v>1</v>
      </c>
      <c r="E62" s="303">
        <f>+VLOOKUP(B62,Base!$A$1:$E$2346,5,FALSE)</f>
        <v>11.972895220588235</v>
      </c>
      <c r="F62" s="30">
        <v>3</v>
      </c>
      <c r="G62" s="307">
        <v>20.895130208333335</v>
      </c>
      <c r="N62"/>
      <c r="O62"/>
      <c r="P62"/>
    </row>
    <row r="63" spans="2:16" x14ac:dyDescent="0.25">
      <c r="B63" s="2">
        <v>8507905</v>
      </c>
      <c r="C63" s="213" t="str">
        <f>+VLOOKUP(B63,Base!$A$1:$E$2346,2,FALSE)</f>
        <v>Junta de goma ferula(GASKET,TRI-CLAMP,1.5"</v>
      </c>
      <c r="D63" s="214">
        <f>+VLOOKUP(B63,Base!$A$1:$E$2645,3,FALSE)</f>
        <v>1</v>
      </c>
      <c r="E63" s="303">
        <f>+VLOOKUP(B63,Base!$A$1:$E$2346,5,FALSE)</f>
        <v>2.118615760448916</v>
      </c>
      <c r="F63" s="30">
        <v>2</v>
      </c>
      <c r="G63" s="307">
        <v>1.0005034722222224</v>
      </c>
      <c r="N63"/>
      <c r="O63"/>
      <c r="P63"/>
    </row>
    <row r="64" spans="2:16" x14ac:dyDescent="0.25">
      <c r="B64" s="2">
        <v>8515506</v>
      </c>
      <c r="C64" s="213" t="str">
        <f>+VLOOKUP(B64,Base!$A$1:$E$2346,2,FALSE)</f>
        <v>Valvula flap Electrobomba (VALVE,FLAPPER,RBR,1.5")</v>
      </c>
      <c r="D64" s="214">
        <f>+VLOOKUP(B64,Base!$A$1:$E$2645,3,FALSE)</f>
        <v>1</v>
      </c>
      <c r="E64" s="303">
        <f>+VLOOKUP(B64,Base!$A$1:$E$2346,5,FALSE)</f>
        <v>5.4106187113003088</v>
      </c>
      <c r="F64" s="30">
        <v>1</v>
      </c>
      <c r="G64" s="307">
        <v>1.1544270833333332</v>
      </c>
      <c r="N64"/>
      <c r="O64"/>
      <c r="P64"/>
    </row>
    <row r="65" spans="2:16" ht="15.75" thickBot="1" x14ac:dyDescent="0.3">
      <c r="B65" s="95"/>
      <c r="C65" s="96"/>
      <c r="D65" s="95"/>
      <c r="E65" s="309"/>
      <c r="F65" s="97"/>
      <c r="G65" s="309"/>
    </row>
    <row r="66" spans="2:16" x14ac:dyDescent="0.25">
      <c r="B66" s="103" t="s">
        <v>1838</v>
      </c>
      <c r="C66" s="479" t="s">
        <v>1839</v>
      </c>
      <c r="D66" s="479"/>
      <c r="E66" s="479"/>
      <c r="F66" s="479"/>
      <c r="G66" s="480"/>
    </row>
    <row r="67" spans="2:16" ht="15.75" thickBot="1" x14ac:dyDescent="0.3">
      <c r="B67" s="104" t="s">
        <v>0</v>
      </c>
      <c r="C67" s="481" t="s">
        <v>1852</v>
      </c>
      <c r="D67" s="481"/>
      <c r="E67" s="481"/>
      <c r="F67" s="481"/>
      <c r="G67" s="482"/>
    </row>
    <row r="68" spans="2:16" x14ac:dyDescent="0.25">
      <c r="B68" s="2" t="s">
        <v>578</v>
      </c>
      <c r="C68" s="213" t="str">
        <f>+VLOOKUP(B68,Base!$A$1:$E$2346,2,FALSE)</f>
        <v>MILK PUMP 0,37KW 3PH 220/380V</v>
      </c>
      <c r="D68" s="214">
        <f>+VLOOKUP(B68,Base!$A$1:$E$2645,3,FALSE)</f>
        <v>1</v>
      </c>
      <c r="E68" s="303">
        <f>+VLOOKUP(B68,Base!$A$1:$E$2346,5,FALSE)</f>
        <v>1100.955882352941</v>
      </c>
      <c r="F68" s="30">
        <v>1</v>
      </c>
      <c r="G68" s="307">
        <v>1119.4444444444441</v>
      </c>
    </row>
    <row r="69" spans="2:16" x14ac:dyDescent="0.25">
      <c r="B69" s="2" t="s">
        <v>575</v>
      </c>
      <c r="C69" s="213" t="str">
        <f>+VLOOKUP(B69,Base!$A$1:$E$2346,2,FALSE)</f>
        <v>BEND MILK PUMP OUTLET MANUAL</v>
      </c>
      <c r="D69" s="214">
        <f>+VLOOKUP(B69,Base!$A$1:$E$2645,3,FALSE)</f>
        <v>1</v>
      </c>
      <c r="E69" s="303">
        <f>+VLOOKUP(B69,Base!$A$1:$E$2346,5,FALSE)</f>
        <v>233.95312500000003</v>
      </c>
      <c r="F69" s="30">
        <v>1</v>
      </c>
      <c r="G69" s="307">
        <v>237.88194444444446</v>
      </c>
    </row>
    <row r="70" spans="2:16" x14ac:dyDescent="0.25">
      <c r="B70" s="102"/>
      <c r="C70" s="96"/>
      <c r="D70" s="95"/>
      <c r="E70" s="309"/>
      <c r="F70" s="97"/>
      <c r="G70" s="310"/>
    </row>
    <row r="73" spans="2:16" ht="15.75" thickBot="1" x14ac:dyDescent="0.3"/>
    <row r="74" spans="2:16" x14ac:dyDescent="0.25">
      <c r="B74" s="103" t="s">
        <v>1838</v>
      </c>
      <c r="C74" s="479" t="s">
        <v>1839</v>
      </c>
      <c r="D74" s="479"/>
      <c r="E74" s="479"/>
      <c r="F74" s="479"/>
      <c r="G74" s="480"/>
    </row>
    <row r="75" spans="2:16" ht="15.75" thickBot="1" x14ac:dyDescent="0.3">
      <c r="B75" s="104" t="s">
        <v>0</v>
      </c>
      <c r="C75" s="481" t="s">
        <v>1853</v>
      </c>
      <c r="D75" s="481"/>
      <c r="E75" s="481"/>
      <c r="F75" s="481"/>
      <c r="G75" s="482"/>
    </row>
    <row r="76" spans="2:16" x14ac:dyDescent="0.25">
      <c r="B76" s="2" t="s">
        <v>576</v>
      </c>
      <c r="C76" s="213" t="str">
        <f>+VLOOKUP(B76,Base!$A$1:$E$2346,2,FALSE)</f>
        <v>MILK PUMP 0,75KW 3PH 220/380V</v>
      </c>
      <c r="D76" s="214">
        <f>+VLOOKUP(B76,Base!$A$1:$E$2645,3,FALSE)</f>
        <v>1</v>
      </c>
      <c r="E76" s="303">
        <f>+VLOOKUP(B76,Base!$A$1:$E$2346,5,FALSE)</f>
        <v>1162.5406020220585</v>
      </c>
      <c r="F76" s="30">
        <v>1</v>
      </c>
      <c r="G76" s="307">
        <v>1182.0633680555552</v>
      </c>
      <c r="N76"/>
      <c r="O76"/>
      <c r="P76"/>
    </row>
    <row r="77" spans="2:16" x14ac:dyDescent="0.25">
      <c r="B77" s="2" t="s">
        <v>575</v>
      </c>
      <c r="C77" s="213" t="str">
        <f>+VLOOKUP(B77,Base!$A$1:$E$2346,2,FALSE)</f>
        <v>BEND MILK PUMP OUTLET MANUAL</v>
      </c>
      <c r="D77" s="214">
        <f>+VLOOKUP(B77,Base!$A$1:$E$2645,3,FALSE)</f>
        <v>1</v>
      </c>
      <c r="E77" s="303">
        <f>+VLOOKUP(B77,Base!$A$1:$E$2346,5,FALSE)</f>
        <v>233.95312500000003</v>
      </c>
      <c r="F77" s="30">
        <v>1</v>
      </c>
      <c r="G77" s="307">
        <v>237.88194444444446</v>
      </c>
      <c r="N77"/>
      <c r="O77"/>
      <c r="P77"/>
    </row>
    <row r="79" spans="2:16" ht="15.75" thickBot="1" x14ac:dyDescent="0.3"/>
    <row r="80" spans="2:16" x14ac:dyDescent="0.25">
      <c r="B80" s="105" t="s">
        <v>1838</v>
      </c>
      <c r="C80" s="473" t="s">
        <v>1845</v>
      </c>
      <c r="D80" s="473"/>
      <c r="E80" s="473"/>
      <c r="F80" s="473"/>
      <c r="G80" s="474"/>
    </row>
    <row r="81" spans="2:16" ht="15.75" thickBot="1" x14ac:dyDescent="0.3">
      <c r="B81" s="106" t="s">
        <v>0</v>
      </c>
      <c r="C81" s="475" t="s">
        <v>1846</v>
      </c>
      <c r="D81" s="475"/>
      <c r="E81" s="475"/>
      <c r="F81" s="475"/>
      <c r="G81" s="476"/>
    </row>
    <row r="82" spans="2:16" x14ac:dyDescent="0.25">
      <c r="B82" s="2">
        <v>8500478</v>
      </c>
      <c r="C82" s="213" t="str">
        <f>+VLOOKUP(B82,Base!$A$1:$E$2346,2,FALSE)</f>
        <v>Curva final de caneria(U-BEND,SS,W/FERL,3.0,6CC)</v>
      </c>
      <c r="D82" s="214">
        <f>+VLOOKUP(B82,Base!$A$1:$E$2645,3,FALSE)</f>
        <v>1</v>
      </c>
      <c r="E82" s="303">
        <f>+VLOOKUP(B82,Base!$A$1:$E$2346,5,FALSE)</f>
        <v>1080.1065303308822</v>
      </c>
      <c r="F82" s="30">
        <v>1</v>
      </c>
      <c r="G82" s="307">
        <v>677.26388888888891</v>
      </c>
      <c r="K82" s="2">
        <v>8500478</v>
      </c>
      <c r="L82" s="213" t="str">
        <f>+VLOOKUP(K82,Base!$A$1:$E$2346,2,FALSE)</f>
        <v>Curva final de caneria(U-BEND,SS,W/FERL,3.0,6CC)</v>
      </c>
      <c r="M82" s="214">
        <f>+VLOOKUP(K82,Base!$A$1:$E$2645,3,FALSE)</f>
        <v>1</v>
      </c>
      <c r="N82" s="303">
        <f>+VLOOKUP(K82,Base!$A$1:$E$2346,5,FALSE)</f>
        <v>1080.1065303308822</v>
      </c>
      <c r="O82" s="30">
        <v>1</v>
      </c>
      <c r="P82" s="307">
        <v>677.26388888888891</v>
      </c>
    </row>
    <row r="83" spans="2:16" x14ac:dyDescent="0.25">
      <c r="B83" s="2" t="s">
        <v>949</v>
      </c>
      <c r="C83" s="213" t="str">
        <f>+VLOOKUP(B83,Base!$A$1:$E$2346,2,FALSE)</f>
        <v>unión caños inox. Con abrazadera inox y cupla para 3 "</v>
      </c>
      <c r="D83" s="214">
        <f>+VLOOKUP(B83,Base!$A$1:$E$2645,3,FALSE)</f>
        <v>1</v>
      </c>
      <c r="E83" s="303">
        <f>+VLOOKUP(B83,Base!$A$1:$E$2346,5,FALSE)</f>
        <v>6.9013331976389178</v>
      </c>
      <c r="F83" s="30">
        <v>2</v>
      </c>
      <c r="G83" s="307">
        <v>196.72713734515671</v>
      </c>
      <c r="K83" s="2" t="s">
        <v>949</v>
      </c>
      <c r="L83" s="213" t="str">
        <f>+VLOOKUP(K83,Base!$A$1:$E$2346,2,FALSE)</f>
        <v>unión caños inox. Con abrazadera inox y cupla para 3 "</v>
      </c>
      <c r="M83" s="214">
        <f>+VLOOKUP(K83,Base!$A$1:$E$2645,3,FALSE)</f>
        <v>1</v>
      </c>
      <c r="N83" s="303">
        <f>+VLOOKUP(K83,Base!$A$1:$E$2346,5,FALSE)</f>
        <v>6.9013331976389178</v>
      </c>
      <c r="O83" s="30">
        <v>2</v>
      </c>
      <c r="P83" s="307">
        <v>196.72713734515671</v>
      </c>
    </row>
    <row r="84" spans="2:16" ht="15.75" thickBot="1" x14ac:dyDescent="0.3"/>
    <row r="85" spans="2:16" x14ac:dyDescent="0.25">
      <c r="B85" s="105" t="s">
        <v>1838</v>
      </c>
      <c r="C85" s="473" t="s">
        <v>1854</v>
      </c>
      <c r="D85" s="473"/>
      <c r="E85" s="473"/>
      <c r="F85" s="473"/>
      <c r="G85" s="474"/>
    </row>
    <row r="86" spans="2:16" ht="15.75" thickBot="1" x14ac:dyDescent="0.3">
      <c r="B86" s="106" t="s">
        <v>0</v>
      </c>
      <c r="C86" s="475" t="s">
        <v>1855</v>
      </c>
      <c r="D86" s="475"/>
      <c r="E86" s="475"/>
      <c r="F86" s="475"/>
      <c r="G86" s="476"/>
    </row>
    <row r="87" spans="2:16" x14ac:dyDescent="0.25">
      <c r="B87" s="5">
        <v>8500479</v>
      </c>
      <c r="C87" s="213" t="str">
        <f>+VLOOKUP(B87,Base!$A$1:$E$2346,2,FALSE)</f>
        <v>Curva final de caneria(U-BEND,SS,W/FERL,4.0,6CC)</v>
      </c>
      <c r="D87" s="214">
        <f>+VLOOKUP(B87,Base!$A$1:$E$2645,3,FALSE)</f>
        <v>1</v>
      </c>
      <c r="E87" s="303">
        <f>+VLOOKUP(B87,Base!$A$1:$E$2346,5,FALSE)</f>
        <v>643.37109375000011</v>
      </c>
      <c r="F87" s="30">
        <v>1</v>
      </c>
      <c r="G87" s="307">
        <v>654.17534722222229</v>
      </c>
      <c r="N87"/>
      <c r="O87"/>
      <c r="P87"/>
    </row>
    <row r="88" spans="2:16" x14ac:dyDescent="0.25">
      <c r="B88" s="5" t="s">
        <v>951</v>
      </c>
      <c r="C88" s="213" t="str">
        <f>+VLOOKUP(B88,Base!$A$1:$E$2346,2,FALSE)</f>
        <v>unión caños inox. Con abrazadera inox y cupla para 4 "</v>
      </c>
      <c r="D88" s="214">
        <f>+VLOOKUP(B88,Base!$A$1:$E$2645,3,FALSE)</f>
        <v>1</v>
      </c>
      <c r="E88" s="303">
        <f>+VLOOKUP(B88,Base!$A$1:$E$2346,5,FALSE)</f>
        <v>6.9013331976389178</v>
      </c>
      <c r="F88" s="30">
        <v>2</v>
      </c>
      <c r="G88" s="307">
        <v>196.72713734515671</v>
      </c>
      <c r="N88"/>
      <c r="O88"/>
      <c r="P88"/>
    </row>
    <row r="90" spans="2:16" ht="15.75" thickBot="1" x14ac:dyDescent="0.3"/>
    <row r="91" spans="2:16" x14ac:dyDescent="0.25">
      <c r="B91" s="65" t="s">
        <v>1838</v>
      </c>
      <c r="C91" s="477" t="s">
        <v>1856</v>
      </c>
      <c r="D91" s="477"/>
      <c r="E91" s="477"/>
      <c r="F91" s="477"/>
      <c r="G91" s="478"/>
    </row>
    <row r="92" spans="2:16" ht="15.75" thickBot="1" x14ac:dyDescent="0.3">
      <c r="B92" s="1" t="s">
        <v>0</v>
      </c>
      <c r="C92" s="463" t="s">
        <v>1857</v>
      </c>
      <c r="D92" s="463"/>
      <c r="E92" s="463"/>
      <c r="F92" s="463"/>
      <c r="G92" s="464"/>
    </row>
    <row r="93" spans="2:16" x14ac:dyDescent="0.25">
      <c r="B93" s="2">
        <v>8517441</v>
      </c>
      <c r="C93" s="213" t="str">
        <f>+VLOOKUP(B93,Base!$A$1:$E$2346,2,FALSE)</f>
        <v>Kit de T para lavado e injecto con tapones(KIT,TEE ASSY,3.00 IN)</v>
      </c>
      <c r="D93" s="214">
        <f>+VLOOKUP(B93,Base!$A$1:$E$2645,3,FALSE)</f>
        <v>1</v>
      </c>
      <c r="E93" s="303">
        <f>+VLOOKUP(B93,Base!$A$1:$E$2346,5,FALSE)</f>
        <v>1387.6281349167959</v>
      </c>
      <c r="F93" s="30">
        <v>1</v>
      </c>
      <c r="G93" s="307">
        <v>1268.8203124999998</v>
      </c>
      <c r="K93" s="2">
        <v>8517441</v>
      </c>
      <c r="L93" s="213" t="str">
        <f>+VLOOKUP(K93,Base!$A$1:$E$2346,2,FALSE)</f>
        <v>Kit de T para lavado e injecto con tapones(KIT,TEE ASSY,3.00 IN)</v>
      </c>
      <c r="M93" s="214">
        <f>+VLOOKUP(K93,Base!$A$1:$E$2645,3,FALSE)</f>
        <v>1</v>
      </c>
      <c r="N93" s="303">
        <f>+VLOOKUP(K93,Base!$A$1:$E$2346,5,FALSE)</f>
        <v>1387.6281349167959</v>
      </c>
      <c r="O93" s="30">
        <v>1</v>
      </c>
      <c r="P93" s="307">
        <v>1268.8203124999998</v>
      </c>
    </row>
    <row r="94" spans="2:16" ht="15.75" thickBot="1" x14ac:dyDescent="0.3"/>
    <row r="95" spans="2:16" x14ac:dyDescent="0.25">
      <c r="B95" s="65" t="s">
        <v>1838</v>
      </c>
      <c r="C95" s="477" t="s">
        <v>1858</v>
      </c>
      <c r="D95" s="477"/>
      <c r="E95" s="477"/>
      <c r="F95" s="477"/>
      <c r="G95" s="478"/>
    </row>
    <row r="96" spans="2:16" ht="15.75" thickBot="1" x14ac:dyDescent="0.3">
      <c r="B96" s="1" t="s">
        <v>0</v>
      </c>
      <c r="C96" s="463" t="s">
        <v>1859</v>
      </c>
      <c r="D96" s="463"/>
      <c r="E96" s="463"/>
      <c r="F96" s="463"/>
      <c r="G96" s="464"/>
    </row>
    <row r="97" spans="2:16" x14ac:dyDescent="0.25">
      <c r="B97" s="5">
        <v>8518159</v>
      </c>
      <c r="C97" s="213" t="str">
        <f>+VLOOKUP(B97,Base!$A$1:$E$2346,2,FALSE)</f>
        <v>Kit de T para lavado e injector con tapones (TEE ASSY,4.00 IN)</v>
      </c>
      <c r="D97" s="214">
        <f>+VLOOKUP(B97,Base!$A$1:$E$2645,3,FALSE)</f>
        <v>1</v>
      </c>
      <c r="E97" s="303">
        <f>+VLOOKUP(B97,Base!$A$1:$E$2346,5,FALSE)</f>
        <v>1202.5914938080496</v>
      </c>
      <c r="F97" s="30">
        <v>1</v>
      </c>
      <c r="G97" s="307">
        <v>1504.6032986111111</v>
      </c>
      <c r="K97" s="5">
        <v>8518159</v>
      </c>
      <c r="L97" s="213" t="str">
        <f>+VLOOKUP(K97,Base!$A$1:$E$2346,2,FALSE)</f>
        <v>Kit de T para lavado e injector con tapones (TEE ASSY,4.00 IN)</v>
      </c>
      <c r="M97" s="214">
        <f>+VLOOKUP(K97,Base!$A$1:$E$2645,3,FALSE)</f>
        <v>1</v>
      </c>
      <c r="N97" s="303">
        <f>+VLOOKUP(K97,Base!$A$1:$E$2346,5,FALSE)</f>
        <v>1202.5914938080496</v>
      </c>
      <c r="O97" s="30">
        <v>1</v>
      </c>
      <c r="P97" s="307">
        <v>1504.6032986111111</v>
      </c>
    </row>
  </sheetData>
  <mergeCells count="24">
    <mergeCell ref="C4:G4"/>
    <mergeCell ref="C5:G5"/>
    <mergeCell ref="C24:G24"/>
    <mergeCell ref="C25:G25"/>
    <mergeCell ref="C32:G32"/>
    <mergeCell ref="C31:G31"/>
    <mergeCell ref="C80:G80"/>
    <mergeCell ref="C81:G81"/>
    <mergeCell ref="C74:G74"/>
    <mergeCell ref="C75:G75"/>
    <mergeCell ref="C39:G39"/>
    <mergeCell ref="C40:G40"/>
    <mergeCell ref="C48:G48"/>
    <mergeCell ref="C49:G49"/>
    <mergeCell ref="C57:G57"/>
    <mergeCell ref="C58:G58"/>
    <mergeCell ref="C67:G67"/>
    <mergeCell ref="C66:G66"/>
    <mergeCell ref="C85:G85"/>
    <mergeCell ref="C86:G86"/>
    <mergeCell ref="C91:G91"/>
    <mergeCell ref="C92:G92"/>
    <mergeCell ref="C96:G96"/>
    <mergeCell ref="C95:G95"/>
  </mergeCells>
  <hyperlinks>
    <hyperlink ref="I2" location="presu!A1" display="Presupuesto" xr:uid="{3DE831B5-22D2-499A-95AD-C1271E542AE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Option Button 1">
              <controlPr defaultSize="0" autoFill="0" autoLine="0" autoPict="0" macro="[0]!UF85mover">
                <anchor moveWithCells="1">
                  <from>
                    <xdr:col>7</xdr:col>
                    <xdr:colOff>495300</xdr:colOff>
                    <xdr:row>4</xdr:row>
                    <xdr:rowOff>142875</xdr:rowOff>
                  </from>
                  <to>
                    <xdr:col>10</xdr:col>
                    <xdr:colOff>47625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Option Button 2">
              <controlPr defaultSize="0" autoFill="0" autoLine="0" autoPict="0" macro="[0]!UF85limpiar">
                <anchor moveWithCells="1">
                  <from>
                    <xdr:col>7</xdr:col>
                    <xdr:colOff>495300</xdr:colOff>
                    <xdr:row>7</xdr:row>
                    <xdr:rowOff>152400</xdr:rowOff>
                  </from>
                  <to>
                    <xdr:col>10</xdr:col>
                    <xdr:colOff>47625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Option Button 5">
              <controlPr defaultSize="0" autoFill="0" autoLine="0" autoPict="0" macro="[0]!UF55mover">
                <anchor moveWithCells="1">
                  <from>
                    <xdr:col>7</xdr:col>
                    <xdr:colOff>523875</xdr:colOff>
                    <xdr:row>23</xdr:row>
                    <xdr:rowOff>152400</xdr:rowOff>
                  </from>
                  <to>
                    <xdr:col>10</xdr:col>
                    <xdr:colOff>66675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Option Button 6">
              <controlPr defaultSize="0" autoFill="0" autoLine="0" autoPict="0" macro="[0]!UF55limpiar">
                <anchor moveWithCells="1">
                  <from>
                    <xdr:col>7</xdr:col>
                    <xdr:colOff>523875</xdr:colOff>
                    <xdr:row>26</xdr:row>
                    <xdr:rowOff>161925</xdr:rowOff>
                  </from>
                  <to>
                    <xdr:col>10</xdr:col>
                    <xdr:colOff>66675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7" name="Option Button 9">
              <controlPr defaultSize="0" autoFill="0" autoLine="0" autoPict="0" macro="[0]!UF100mover">
                <anchor moveWithCells="1">
                  <from>
                    <xdr:col>7</xdr:col>
                    <xdr:colOff>523875</xdr:colOff>
                    <xdr:row>31</xdr:row>
                    <xdr:rowOff>47625</xdr:rowOff>
                  </from>
                  <to>
                    <xdr:col>10</xdr:col>
                    <xdr:colOff>66675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8" name="Option Button 10">
              <controlPr defaultSize="0" autoFill="0" autoLine="0" autoPict="0" macro="[0]!UF100limpiar">
                <anchor moveWithCells="1">
                  <from>
                    <xdr:col>7</xdr:col>
                    <xdr:colOff>523875</xdr:colOff>
                    <xdr:row>34</xdr:row>
                    <xdr:rowOff>47625</xdr:rowOff>
                  </from>
                  <to>
                    <xdr:col>10</xdr:col>
                    <xdr:colOff>66675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9" name="Option Button 11">
              <controlPr defaultSize="0" autoFill="0" autoLine="0" autoPict="0" macro="[0]!BM1HPmover">
                <anchor moveWithCells="1">
                  <from>
                    <xdr:col>7</xdr:col>
                    <xdr:colOff>485775</xdr:colOff>
                    <xdr:row>39</xdr:row>
                    <xdr:rowOff>133350</xdr:rowOff>
                  </from>
                  <to>
                    <xdr:col>10</xdr:col>
                    <xdr:colOff>38100</xdr:colOff>
                    <xdr:row>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0" name="Option Button 12">
              <controlPr defaultSize="0" autoFill="0" autoLine="0" autoPict="0" macro="[0]!BM1hplimpiar">
                <anchor moveWithCells="1">
                  <from>
                    <xdr:col>7</xdr:col>
                    <xdr:colOff>485775</xdr:colOff>
                    <xdr:row>42</xdr:row>
                    <xdr:rowOff>142875</xdr:rowOff>
                  </from>
                  <to>
                    <xdr:col>10</xdr:col>
                    <xdr:colOff>38100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1" name="Option Button 13">
              <controlPr defaultSize="0" autoFill="0" autoLine="0" autoPict="0" macro="[0]!BT1hpmover">
                <anchor moveWithCells="1">
                  <from>
                    <xdr:col>7</xdr:col>
                    <xdr:colOff>485775</xdr:colOff>
                    <xdr:row>49</xdr:row>
                    <xdr:rowOff>133350</xdr:rowOff>
                  </from>
                  <to>
                    <xdr:col>10</xdr:col>
                    <xdr:colOff>38100</xdr:colOff>
                    <xdr:row>51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2" name="Option Button 14">
              <controlPr defaultSize="0" autoFill="0" autoLine="0" autoPict="0" macro="[0]!BT1hplimpiar">
                <anchor moveWithCells="1">
                  <from>
                    <xdr:col>7</xdr:col>
                    <xdr:colOff>485775</xdr:colOff>
                    <xdr:row>52</xdr:row>
                    <xdr:rowOff>161925</xdr:rowOff>
                  </from>
                  <to>
                    <xdr:col>10</xdr:col>
                    <xdr:colOff>38100</xdr:colOff>
                    <xdr:row>54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3" name="Option Button 17">
              <controlPr defaultSize="0" autoFill="0" autoLine="0" autoPict="0" macro="[0]!BT2HPmover">
                <anchor moveWithCells="1">
                  <from>
                    <xdr:col>7</xdr:col>
                    <xdr:colOff>485775</xdr:colOff>
                    <xdr:row>57</xdr:row>
                    <xdr:rowOff>133350</xdr:rowOff>
                  </from>
                  <to>
                    <xdr:col>10</xdr:col>
                    <xdr:colOff>38100</xdr:colOff>
                    <xdr:row>59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14" name="Option Button 18">
              <controlPr defaultSize="0" autoFill="0" autoLine="0" autoPict="0" macro="[0]!BT2HPlimpiar">
                <anchor moveWithCells="1">
                  <from>
                    <xdr:col>7</xdr:col>
                    <xdr:colOff>485775</xdr:colOff>
                    <xdr:row>60</xdr:row>
                    <xdr:rowOff>142875</xdr:rowOff>
                  </from>
                  <to>
                    <xdr:col>10</xdr:col>
                    <xdr:colOff>38100</xdr:colOff>
                    <xdr:row>62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5" name="Option Button 19">
              <controlPr defaultSize="0" autoFill="0" autoLine="0" autoPict="0" macro="[0]!BTGM05">
                <anchor moveWithCells="1">
                  <from>
                    <xdr:col>7</xdr:col>
                    <xdr:colOff>485775</xdr:colOff>
                    <xdr:row>66</xdr:row>
                    <xdr:rowOff>133350</xdr:rowOff>
                  </from>
                  <to>
                    <xdr:col>10</xdr:col>
                    <xdr:colOff>38100</xdr:colOff>
                    <xdr:row>68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6" name="Option Button 20">
              <controlPr defaultSize="0" autoFill="0" autoLine="0" autoPict="0" macro="[0]!BTGM05limpiar">
                <anchor moveWithCells="1">
                  <from>
                    <xdr:col>7</xdr:col>
                    <xdr:colOff>485775</xdr:colOff>
                    <xdr:row>68</xdr:row>
                    <xdr:rowOff>9525</xdr:rowOff>
                  </from>
                  <to>
                    <xdr:col>10</xdr:col>
                    <xdr:colOff>28575</xdr:colOff>
                    <xdr:row>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17" name="Option Button 21">
              <controlPr defaultSize="0" autoFill="0" autoLine="0" autoPict="0" macro="[0]!BTGM1mover">
                <anchor moveWithCells="1">
                  <from>
                    <xdr:col>7</xdr:col>
                    <xdr:colOff>485775</xdr:colOff>
                    <xdr:row>73</xdr:row>
                    <xdr:rowOff>133350</xdr:rowOff>
                  </from>
                  <to>
                    <xdr:col>10</xdr:col>
                    <xdr:colOff>38100</xdr:colOff>
                    <xdr:row>75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8" name="Option Button 22">
              <controlPr defaultSize="0" autoFill="0" autoLine="0" autoPict="0" macro="[0]!BTGM1limpiar">
                <anchor moveWithCells="1">
                  <from>
                    <xdr:col>7</xdr:col>
                    <xdr:colOff>457200</xdr:colOff>
                    <xdr:row>75</xdr:row>
                    <xdr:rowOff>66675</xdr:rowOff>
                  </from>
                  <to>
                    <xdr:col>10</xdr:col>
                    <xdr:colOff>9525</xdr:colOff>
                    <xdr:row>76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9" name="Option Button 23">
              <controlPr defaultSize="0" autoFill="0" autoLine="0" autoPict="0" macro="[0]!CF3mover">
                <anchor moveWithCells="1">
                  <from>
                    <xdr:col>7</xdr:col>
                    <xdr:colOff>466725</xdr:colOff>
                    <xdr:row>79</xdr:row>
                    <xdr:rowOff>85725</xdr:rowOff>
                  </from>
                  <to>
                    <xdr:col>10</xdr:col>
                    <xdr:colOff>9525</xdr:colOff>
                    <xdr:row>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20" name="Option Button 24">
              <controlPr defaultSize="0" autoFill="0" autoLine="0" autoPict="0" macro="[0]!CF3limpiar">
                <anchor moveWithCells="1">
                  <from>
                    <xdr:col>7</xdr:col>
                    <xdr:colOff>485775</xdr:colOff>
                    <xdr:row>81</xdr:row>
                    <xdr:rowOff>19050</xdr:rowOff>
                  </from>
                  <to>
                    <xdr:col>10</xdr:col>
                    <xdr:colOff>28575</xdr:colOff>
                    <xdr:row>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1" name="Option Button 25">
              <controlPr defaultSize="0" autoFill="0" autoLine="0" autoPict="0" macro="[0]!T3mover">
                <anchor moveWithCells="1">
                  <from>
                    <xdr:col>7</xdr:col>
                    <xdr:colOff>485775</xdr:colOff>
                    <xdr:row>89</xdr:row>
                    <xdr:rowOff>133350</xdr:rowOff>
                  </from>
                  <to>
                    <xdr:col>10</xdr:col>
                    <xdr:colOff>38100</xdr:colOff>
                    <xdr:row>91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2" name="Option Button 26">
              <controlPr defaultSize="0" autoFill="0" autoLine="0" autoPict="0" macro="[0]!T3limpiar">
                <anchor moveWithCells="1">
                  <from>
                    <xdr:col>7</xdr:col>
                    <xdr:colOff>485775</xdr:colOff>
                    <xdr:row>91</xdr:row>
                    <xdr:rowOff>28575</xdr:rowOff>
                  </from>
                  <to>
                    <xdr:col>10</xdr:col>
                    <xdr:colOff>38100</xdr:colOff>
                    <xdr:row>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3" name="Option Button 27">
              <controlPr defaultSize="0" autoFill="0" autoLine="0" autoPict="0" macro="[0]!T4mover">
                <anchor moveWithCells="1">
                  <from>
                    <xdr:col>7</xdr:col>
                    <xdr:colOff>476250</xdr:colOff>
                    <xdr:row>93</xdr:row>
                    <xdr:rowOff>142875</xdr:rowOff>
                  </from>
                  <to>
                    <xdr:col>10</xdr:col>
                    <xdr:colOff>28575</xdr:colOff>
                    <xdr:row>95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24" name="Option Button 28">
              <controlPr defaultSize="0" autoFill="0" autoLine="0" autoPict="0" macro="[0]!T4limpiar">
                <anchor moveWithCells="1">
                  <from>
                    <xdr:col>7</xdr:col>
                    <xdr:colOff>466725</xdr:colOff>
                    <xdr:row>95</xdr:row>
                    <xdr:rowOff>19050</xdr:rowOff>
                  </from>
                  <to>
                    <xdr:col>10</xdr:col>
                    <xdr:colOff>9525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25" name="Option Button 31">
              <controlPr defaultSize="0" autoFill="0" autoLine="0" autoPict="0" macro="[0]!CF4mover">
                <anchor moveWithCells="1">
                  <from>
                    <xdr:col>7</xdr:col>
                    <xdr:colOff>428625</xdr:colOff>
                    <xdr:row>84</xdr:row>
                    <xdr:rowOff>57150</xdr:rowOff>
                  </from>
                  <to>
                    <xdr:col>9</xdr:col>
                    <xdr:colOff>581025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6" name="Option Button 32">
              <controlPr defaultSize="0" autoFill="0" autoLine="0" autoPict="0" macro="[0]!CF4limpiar">
                <anchor moveWithCells="1">
                  <from>
                    <xdr:col>7</xdr:col>
                    <xdr:colOff>419100</xdr:colOff>
                    <xdr:row>86</xdr:row>
                    <xdr:rowOff>19050</xdr:rowOff>
                  </from>
                  <to>
                    <xdr:col>9</xdr:col>
                    <xdr:colOff>581025</xdr:colOff>
                    <xdr:row>86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27" name="Option Button 38">
              <controlPr defaultSize="0" autoFill="0" autoLine="0" autoPict="0" macro="[0]!llevarUFpresu">
                <anchor moveWithCells="1">
                  <from>
                    <xdr:col>10</xdr:col>
                    <xdr:colOff>552450</xdr:colOff>
                    <xdr:row>1</xdr:row>
                    <xdr:rowOff>152400</xdr:rowOff>
                  </from>
                  <to>
                    <xdr:col>11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Q70"/>
  <sheetViews>
    <sheetView zoomScale="91" workbookViewId="0">
      <selection activeCell="L7" sqref="L7:Q45"/>
    </sheetView>
  </sheetViews>
  <sheetFormatPr baseColWidth="10" defaultColWidth="8.7109375" defaultRowHeight="15" x14ac:dyDescent="0.25"/>
  <cols>
    <col min="2" max="2" width="20.5703125" bestFit="1" customWidth="1"/>
    <col min="3" max="3" width="46.140625" bestFit="1" customWidth="1"/>
    <col min="4" max="4" width="4.7109375" bestFit="1" customWidth="1"/>
    <col min="5" max="5" width="10.42578125" bestFit="1" customWidth="1"/>
    <col min="6" max="6" width="8.85546875" bestFit="1" customWidth="1"/>
    <col min="7" max="7" width="13.5703125" bestFit="1" customWidth="1"/>
    <col min="8" max="8" width="24.140625" bestFit="1" customWidth="1"/>
    <col min="9" max="9" width="2.140625" customWidth="1"/>
    <col min="12" max="12" width="9.85546875" bestFit="1" customWidth="1"/>
    <col min="13" max="13" width="49.85546875" bestFit="1" customWidth="1"/>
    <col min="14" max="14" width="1.85546875" bestFit="1" customWidth="1"/>
    <col min="15" max="15" width="11.85546875" bestFit="1" customWidth="1"/>
    <col min="16" max="16" width="2.85546875" bestFit="1" customWidth="1"/>
    <col min="17" max="17" width="11.85546875" style="56" bestFit="1" customWidth="1"/>
  </cols>
  <sheetData>
    <row r="2" spans="2:17" ht="21" x14ac:dyDescent="0.35">
      <c r="B2" t="str">
        <f>presu!B11</f>
        <v>Cantidad de unidades</v>
      </c>
      <c r="C2" s="56">
        <f>presu!C11</f>
        <v>1</v>
      </c>
      <c r="D2" t="str">
        <f>presu!D11</f>
        <v>unid</v>
      </c>
      <c r="H2" s="156" t="s">
        <v>1879</v>
      </c>
    </row>
    <row r="3" spans="2:17" x14ac:dyDescent="0.25">
      <c r="B3" t="str">
        <f>presu!B12</f>
        <v>distancia entre bajadas</v>
      </c>
      <c r="C3" s="56">
        <f>presu!C12</f>
        <v>1</v>
      </c>
      <c r="D3" t="str">
        <f>presu!D12</f>
        <v>metros</v>
      </c>
    </row>
    <row r="5" spans="2:17" x14ac:dyDescent="0.25">
      <c r="B5" s="91" t="s">
        <v>1841</v>
      </c>
      <c r="C5" s="90" t="s">
        <v>65</v>
      </c>
      <c r="D5" s="91" t="s">
        <v>66</v>
      </c>
      <c r="E5" s="90" t="s">
        <v>1842</v>
      </c>
      <c r="F5" s="91" t="s">
        <v>1843</v>
      </c>
      <c r="G5" s="90" t="s">
        <v>1844</v>
      </c>
    </row>
    <row r="6" spans="2:17" ht="15.75" thickBot="1" x14ac:dyDescent="0.3">
      <c r="B6" s="1" t="s">
        <v>0</v>
      </c>
      <c r="C6" s="463" t="s">
        <v>1861</v>
      </c>
      <c r="D6" s="463"/>
      <c r="E6" s="463"/>
      <c r="F6" s="463"/>
      <c r="G6" s="464"/>
    </row>
    <row r="7" spans="2:17" x14ac:dyDescent="0.25">
      <c r="B7" s="112" t="s">
        <v>715</v>
      </c>
      <c r="C7" s="213" t="str">
        <f>+VLOOKUP(B7,Base!$A$1:$E$2346,2,FALSE)</f>
        <v>Extractor GM sin brazo (DECRO ISOLATOR XP + VERIN A L')</v>
      </c>
      <c r="D7" s="214">
        <f>+VLOOKUP(B7,Base!$A$1:$E$3140,3,FALSE)</f>
        <v>1</v>
      </c>
      <c r="E7" s="213">
        <f>+VLOOKUP(B7,Base!$A$1:$E$2346,5,FALSE)</f>
        <v>1179.8118474264706</v>
      </c>
      <c r="F7" s="114">
        <f>+C2</f>
        <v>1</v>
      </c>
      <c r="G7" s="115">
        <f>E7/D7*F7</f>
        <v>1179.8118474264706</v>
      </c>
      <c r="Q7"/>
    </row>
    <row r="8" spans="2:17" x14ac:dyDescent="0.25">
      <c r="B8" s="113" t="s">
        <v>2217</v>
      </c>
      <c r="C8" s="213" t="str">
        <f>+VLOOKUP(B8,Base!$A$1:$E$2346,2,FALSE)</f>
        <v>IFT COMPLETE ISOLATOR XP,F/COW (VASO)</v>
      </c>
      <c r="D8" s="214">
        <f>+VLOOKUP(B8,Base!$A$1:$E$3140,3,FALSE)</f>
        <v>1</v>
      </c>
      <c r="E8" s="213">
        <f>+VLOOKUP(B8,Base!$A$1:$E$2346,5,FALSE)</f>
        <v>1214.5116176470585</v>
      </c>
      <c r="F8" s="116">
        <f>+C2</f>
        <v>1</v>
      </c>
      <c r="G8" s="117"/>
      <c r="Q8"/>
    </row>
    <row r="9" spans="2:17" x14ac:dyDescent="0.25">
      <c r="B9" s="113" t="s">
        <v>689</v>
      </c>
      <c r="C9" s="213" t="str">
        <f>+VLOOKUP(B9,Base!$A$1:$E$2346,2,FALSE)</f>
        <v>ISOLATOR 3,ACR RAM ASSY</v>
      </c>
      <c r="D9" s="214">
        <f>+VLOOKUP(B9,Base!$A$1:$E$3140,3,FALSE)</f>
        <v>1</v>
      </c>
      <c r="E9" s="213">
        <f>+VLOOKUP(B9,Base!$A$1:$E$2346,5,FALSE)</f>
        <v>371.96580882352947</v>
      </c>
      <c r="F9" s="116">
        <f>+C2</f>
        <v>1</v>
      </c>
      <c r="G9" s="117"/>
      <c r="H9" t="s">
        <v>1863</v>
      </c>
      <c r="Q9"/>
    </row>
    <row r="10" spans="2:17" x14ac:dyDescent="0.25">
      <c r="B10" s="2" t="s">
        <v>695</v>
      </c>
      <c r="C10" s="213" t="str">
        <f>+VLOOKUP(B10,Base!$A$1:$E$2346,2,FALSE)</f>
        <v>remote switch and led</v>
      </c>
      <c r="D10" s="214">
        <f>+VLOOKUP(B10,Base!$A$1:$E$3140,3,FALSE)</f>
        <v>1</v>
      </c>
      <c r="E10" s="213">
        <f>+VLOOKUP(B10,Base!$A$1:$E$2346,5,FALSE)</f>
        <v>179.39786377708978</v>
      </c>
      <c r="F10" s="116">
        <f>+C2</f>
        <v>1</v>
      </c>
      <c r="G10" s="118"/>
      <c r="H10" t="s">
        <v>1864</v>
      </c>
      <c r="Q10"/>
    </row>
    <row r="11" spans="2:17" x14ac:dyDescent="0.25">
      <c r="B11" s="2" t="s">
        <v>1245</v>
      </c>
      <c r="C11" s="213" t="str">
        <f>+VLOOKUP(B11,Base!$A$1:$E$2346,2,FALSE)</f>
        <v>Fuente 12Vcc 20A</v>
      </c>
      <c r="D11" s="214">
        <f>+VLOOKUP(B11,Base!$A$1:$E$3140,3,FALSE)</f>
        <v>1</v>
      </c>
      <c r="E11" s="213">
        <f>+VLOOKUP(B11,Base!$A$1:$E$2346,5,FALSE)</f>
        <v>65.179257977700871</v>
      </c>
      <c r="F11" s="116">
        <f>+IF(C2&lt;=20,1,2)</f>
        <v>1</v>
      </c>
      <c r="G11" s="118">
        <f>E11/D11*F11</f>
        <v>65.179257977700871</v>
      </c>
      <c r="H11" t="s">
        <v>1874</v>
      </c>
      <c r="Q11"/>
    </row>
    <row r="12" spans="2:17" x14ac:dyDescent="0.25">
      <c r="B12" s="95"/>
      <c r="C12" s="96"/>
      <c r="D12" s="95"/>
      <c r="E12" s="92"/>
      <c r="F12" s="151"/>
      <c r="G12" s="150"/>
    </row>
    <row r="13" spans="2:17" x14ac:dyDescent="0.25">
      <c r="B13" s="95"/>
      <c r="C13" s="96" t="s">
        <v>1877</v>
      </c>
      <c r="D13" s="95"/>
      <c r="E13" s="92"/>
      <c r="F13" s="151"/>
      <c r="G13" s="150"/>
    </row>
    <row r="14" spans="2:17" x14ac:dyDescent="0.25">
      <c r="C14" t="s">
        <v>1878</v>
      </c>
    </row>
    <row r="15" spans="2:17" ht="15.75" thickBot="1" x14ac:dyDescent="0.3">
      <c r="B15" s="1" t="s">
        <v>0</v>
      </c>
      <c r="C15" s="463" t="s">
        <v>1873</v>
      </c>
      <c r="D15" s="463"/>
      <c r="E15" s="463"/>
      <c r="F15" s="463"/>
      <c r="G15" s="464"/>
    </row>
    <row r="16" spans="2:17" x14ac:dyDescent="0.25">
      <c r="B16" s="121">
        <v>3562513</v>
      </c>
      <c r="C16" s="213" t="str">
        <f>+VLOOKUP(B16,Base!$A$1:$E$2346,2,FALSE)</f>
        <v>PKG,AMI5450,PVC CYLINDER</v>
      </c>
      <c r="D16" s="214">
        <f>+VLOOKUP(B16,Base!$A$1:$E$3140,3,FALSE)</f>
        <v>1</v>
      </c>
      <c r="E16" s="213">
        <f>+VLOOKUP(B16,Base!$A$1:$E$2346,5,FALSE)</f>
        <v>3020.6897571594423</v>
      </c>
      <c r="F16" s="133">
        <f>+C2</f>
        <v>1</v>
      </c>
      <c r="G16" s="123">
        <f>E16/D16*F16</f>
        <v>3020.6897571594423</v>
      </c>
      <c r="L16">
        <v>3562513</v>
      </c>
      <c r="M16" t="s">
        <v>2033</v>
      </c>
      <c r="N16">
        <v>1</v>
      </c>
      <c r="O16">
        <v>3020.6897571594423</v>
      </c>
      <c r="P16">
        <v>12</v>
      </c>
      <c r="Q16" s="56">
        <v>36248.277085913309</v>
      </c>
    </row>
    <row r="17" spans="2:17" x14ac:dyDescent="0.25">
      <c r="B17" s="139">
        <v>3562411</v>
      </c>
      <c r="C17" s="213" t="str">
        <f>+VLOOKUP(B17,Base!$A$1:$E$2346,2,FALSE)</f>
        <v>DETACHER ASSY,5450</v>
      </c>
      <c r="D17" s="214">
        <f>+VLOOKUP(B17,Base!$A$1:$E$3140,3,FALSE)</f>
        <v>1</v>
      </c>
      <c r="E17" s="213">
        <f>+VLOOKUP(B17,Base!$A$1:$E$2346,5,FALSE)</f>
        <v>1523.7736430921052</v>
      </c>
      <c r="F17" s="66">
        <f>+C2</f>
        <v>1</v>
      </c>
      <c r="G17" s="127"/>
      <c r="L17">
        <v>3562411</v>
      </c>
      <c r="M17" t="s">
        <v>2034</v>
      </c>
      <c r="N17">
        <v>1</v>
      </c>
      <c r="O17">
        <v>1523.7736430921052</v>
      </c>
      <c r="P17">
        <v>12</v>
      </c>
    </row>
    <row r="18" spans="2:17" x14ac:dyDescent="0.25">
      <c r="B18" s="139">
        <v>3562409</v>
      </c>
      <c r="C18" s="213" t="str">
        <f>+VLOOKUP(B18,Base!$A$1:$E$2346,2,FALSE)</f>
        <v>CYLINDER ASSY,XP,BLU,4WIRE,24V</v>
      </c>
      <c r="D18" s="214">
        <f>+VLOOKUP(B18,Base!$A$1:$E$3140,3,FALSE)</f>
        <v>1</v>
      </c>
      <c r="E18" s="213">
        <f>+VLOOKUP(B18,Base!$A$1:$E$2346,5,FALSE)</f>
        <v>485.89999770220572</v>
      </c>
      <c r="F18" s="66">
        <f>+C2</f>
        <v>1</v>
      </c>
      <c r="G18" s="127"/>
      <c r="L18">
        <v>3562409</v>
      </c>
      <c r="M18" t="s">
        <v>2035</v>
      </c>
      <c r="N18">
        <v>1</v>
      </c>
      <c r="O18">
        <v>485.89999770220572</v>
      </c>
      <c r="P18">
        <v>12</v>
      </c>
    </row>
    <row r="19" spans="2:17" x14ac:dyDescent="0.25">
      <c r="B19" s="139">
        <v>3562412</v>
      </c>
      <c r="C19" s="213" t="str">
        <f>+VLOOKUP(B19,Base!$A$1:$E$2346,2,FALSE)</f>
        <v>KIT,HDW,5450,CYL MT</v>
      </c>
      <c r="D19" s="214">
        <f>+VLOOKUP(B19,Base!$A$1:$E$3140,3,FALSE)</f>
        <v>1</v>
      </c>
      <c r="E19" s="213">
        <f>+VLOOKUP(B19,Base!$A$1:$E$2346,5,FALSE)</f>
        <v>179.82158692917955</v>
      </c>
      <c r="F19" s="66">
        <f>+C2</f>
        <v>1</v>
      </c>
      <c r="G19" s="127"/>
      <c r="L19">
        <v>3562412</v>
      </c>
      <c r="M19" t="s">
        <v>2036</v>
      </c>
      <c r="N19">
        <v>1</v>
      </c>
      <c r="O19">
        <v>179.82158692917955</v>
      </c>
      <c r="P19">
        <v>12</v>
      </c>
    </row>
    <row r="20" spans="2:17" x14ac:dyDescent="0.25">
      <c r="B20" s="139">
        <v>3558326</v>
      </c>
      <c r="C20" s="213" t="str">
        <f>+VLOOKUP(B20,Base!$A$1:$E$2346,2,FALSE)</f>
        <v>SHUTOFF ASSY,TRICLAMP,VAC</v>
      </c>
      <c r="D20" s="214">
        <f>+VLOOKUP(B20,Base!$A$1:$E$3140,3,FALSE)</f>
        <v>1</v>
      </c>
      <c r="E20" s="213">
        <f>+VLOOKUP(B20,Base!$A$1:$E$2346,5,FALSE)</f>
        <v>413.45601417376156</v>
      </c>
      <c r="F20" s="66">
        <f>+C2</f>
        <v>1</v>
      </c>
      <c r="G20" s="129"/>
      <c r="L20">
        <v>3558326</v>
      </c>
      <c r="M20" t="s">
        <v>141</v>
      </c>
      <c r="N20">
        <v>1</v>
      </c>
      <c r="O20">
        <v>413.45601417376156</v>
      </c>
      <c r="P20">
        <v>12</v>
      </c>
    </row>
    <row r="21" spans="2:17" ht="15.75" thickBot="1" x14ac:dyDescent="0.3">
      <c r="B21" s="152">
        <v>3562407</v>
      </c>
      <c r="C21" s="213" t="str">
        <f>+VLOOKUP(B21,Base!$A$1:$E$2346,2,FALSE)</f>
        <v>ENCLOSURE ASSY,VALVE,5/32"-VAC</v>
      </c>
      <c r="D21" s="214">
        <f>+VLOOKUP(B21,Base!$A$1:$E$3140,3,FALSE)</f>
        <v>1</v>
      </c>
      <c r="E21" s="213">
        <f>+VLOOKUP(B21,Base!$A$1:$E$2346,5,FALSE)</f>
        <v>680.36900590170285</v>
      </c>
      <c r="F21" s="66">
        <f>+C2</f>
        <v>1</v>
      </c>
      <c r="G21" s="130"/>
      <c r="L21">
        <v>3562407</v>
      </c>
      <c r="M21" t="s">
        <v>2037</v>
      </c>
      <c r="N21">
        <v>1</v>
      </c>
      <c r="O21">
        <v>680.36900590170285</v>
      </c>
      <c r="P21">
        <v>12</v>
      </c>
    </row>
    <row r="22" spans="2:17" x14ac:dyDescent="0.25">
      <c r="B22" s="2">
        <v>3562408</v>
      </c>
      <c r="C22" s="213" t="str">
        <f>+VLOOKUP(B22,Base!$A$1:$E$2346,2,FALSE)</f>
        <v>PACKED PARTS,PARA/HERR,5450</v>
      </c>
      <c r="D22" s="214">
        <f>+VLOOKUP(B22,Base!$A$1:$E$3140,3,FALSE)</f>
        <v>1</v>
      </c>
      <c r="E22" s="213">
        <f>+VLOOKUP(B22,Base!$A$1:$E$2346,5,FALSE)</f>
        <v>639.17007788312696</v>
      </c>
      <c r="F22" s="66">
        <v>1</v>
      </c>
      <c r="G22" s="131">
        <f t="shared" ref="G22:G35" si="0">E22/D22*F22</f>
        <v>639.17007788312696</v>
      </c>
      <c r="L22">
        <v>3562408</v>
      </c>
      <c r="M22" t="s">
        <v>2038</v>
      </c>
      <c r="N22">
        <v>1</v>
      </c>
      <c r="O22">
        <v>639.17007788312696</v>
      </c>
      <c r="P22">
        <v>1</v>
      </c>
      <c r="Q22" s="56">
        <v>639.17007788312696</v>
      </c>
    </row>
    <row r="23" spans="2:17" x14ac:dyDescent="0.25">
      <c r="B23" s="2">
        <v>3557976</v>
      </c>
      <c r="C23" s="213" t="str">
        <f>+VLOOKUP(B23,Base!$A$1:$E$2346,2,FALSE)</f>
        <v>POWER SUPPLY,24VDC,4.0A,DIN</v>
      </c>
      <c r="D23" s="214">
        <f>+VLOOKUP(B23,Base!$A$1:$E$3140,3,FALSE)</f>
        <v>1</v>
      </c>
      <c r="E23" s="213">
        <f>+VLOOKUP(B23,Base!$A$1:$E$2346,5,FALSE)</f>
        <v>1012.4049866969814</v>
      </c>
      <c r="F23" s="66">
        <f>+C2/4</f>
        <v>0.25</v>
      </c>
      <c r="G23" s="131">
        <f t="shared" si="0"/>
        <v>253.10124667424535</v>
      </c>
      <c r="L23">
        <v>3557976</v>
      </c>
      <c r="M23" t="s">
        <v>1599</v>
      </c>
      <c r="N23">
        <v>1</v>
      </c>
      <c r="O23">
        <v>946.17379861648601</v>
      </c>
      <c r="P23">
        <v>3</v>
      </c>
      <c r="Q23" s="56">
        <v>2838.5213958494578</v>
      </c>
    </row>
    <row r="24" spans="2:17" x14ac:dyDescent="0.25">
      <c r="B24" s="2">
        <v>3558683</v>
      </c>
      <c r="C24" s="213" t="str">
        <f>+VLOOKUP(B24,Base!$A$1:$E$2346,2,FALSE)</f>
        <v>PLATE ASSY,POWER SUPPLY</v>
      </c>
      <c r="D24" s="214">
        <f>+VLOOKUP(B24,Base!$A$1:$E$3140,3,FALSE)</f>
        <v>1</v>
      </c>
      <c r="E24" s="213">
        <f>+VLOOKUP(B24,Base!$A$1:$E$2346,5,FALSE)</f>
        <v>113.88374564628481</v>
      </c>
      <c r="F24" s="66">
        <f>+ROUNDUP((C2/8),0)</f>
        <v>1</v>
      </c>
      <c r="G24" s="131">
        <f t="shared" si="0"/>
        <v>113.88374564628481</v>
      </c>
      <c r="J24">
        <v>0</v>
      </c>
      <c r="L24">
        <v>3558683</v>
      </c>
      <c r="M24" t="s">
        <v>1606</v>
      </c>
      <c r="N24">
        <v>1</v>
      </c>
      <c r="O24">
        <v>106.41969935178018</v>
      </c>
      <c r="P24">
        <v>2</v>
      </c>
      <c r="Q24" s="56">
        <v>212.83939870356036</v>
      </c>
    </row>
    <row r="25" spans="2:17" x14ac:dyDescent="0.25">
      <c r="B25" s="2">
        <v>3558684</v>
      </c>
      <c r="C25" s="213" t="str">
        <f>+VLOOKUP(B25,Base!$A$1:$E$2346,2,FALSE)</f>
        <v>ENCLOSURE,HINGED,10X8X6,W/LABL</v>
      </c>
      <c r="D25" s="214">
        <f>+VLOOKUP(B25,Base!$A$1:$E$3140,3,FALSE)</f>
        <v>1</v>
      </c>
      <c r="E25" s="213">
        <f>+VLOOKUP(B25,Base!$A$1:$E$2346,5,FALSE)</f>
        <v>355.11259553986065</v>
      </c>
      <c r="F25" s="66">
        <v>1</v>
      </c>
      <c r="G25" s="131">
        <f t="shared" si="0"/>
        <v>355.11259553986065</v>
      </c>
      <c r="L25">
        <v>3558684</v>
      </c>
      <c r="M25" t="s">
        <v>1607</v>
      </c>
      <c r="N25">
        <v>1</v>
      </c>
      <c r="O25">
        <v>331.87301035216711</v>
      </c>
      <c r="P25">
        <v>1</v>
      </c>
      <c r="Q25" s="56">
        <v>331.87301035216711</v>
      </c>
    </row>
    <row r="26" spans="2:17" x14ac:dyDescent="0.25">
      <c r="B26" s="2">
        <v>3559265</v>
      </c>
      <c r="C26" s="213" t="str">
        <f>+VLOOKUP(B26,Base!$A$1:$E$2346,2,FALSE)</f>
        <v>CABLE,2-COND,16GA,500'</v>
      </c>
      <c r="D26" s="214">
        <f>+VLOOKUP(B26,Base!$A$1:$E$3140,3,FALSE)</f>
        <v>1</v>
      </c>
      <c r="E26" s="213">
        <f>+VLOOKUP(B26,Base!$A$1:$E$2346,5,FALSE)</f>
        <v>1073.2255560661763</v>
      </c>
      <c r="F26" s="66">
        <v>1</v>
      </c>
      <c r="G26" s="131">
        <f t="shared" si="0"/>
        <v>1073.2255560661763</v>
      </c>
      <c r="L26">
        <v>3559265</v>
      </c>
      <c r="M26" t="s">
        <v>1614</v>
      </c>
      <c r="N26">
        <v>1</v>
      </c>
      <c r="O26">
        <v>1003.0178891737617</v>
      </c>
      <c r="P26">
        <v>1</v>
      </c>
      <c r="Q26" s="56">
        <v>1003.0178891737617</v>
      </c>
    </row>
    <row r="27" spans="2:17" x14ac:dyDescent="0.25">
      <c r="B27" s="2">
        <v>3558754</v>
      </c>
      <c r="C27" s="213" t="str">
        <f>+VLOOKUP(B27,Base!$A$1:$E$2346,2,FALSE)</f>
        <v>CABLE,2-COND,18GA,BLU/WHT,500'</v>
      </c>
      <c r="D27" s="214">
        <f>+VLOOKUP(B27,Base!$A$1:$E$3140,3,FALSE)</f>
        <v>1</v>
      </c>
      <c r="E27" s="213">
        <f>+VLOOKUP(B27,Base!$A$1:$E$2346,5,FALSE)</f>
        <v>1090.7285816563467</v>
      </c>
      <c r="F27" s="66">
        <v>1</v>
      </c>
      <c r="G27" s="131">
        <f t="shared" si="0"/>
        <v>1090.7285816563467</v>
      </c>
      <c r="L27">
        <v>3558754</v>
      </c>
      <c r="M27" t="s">
        <v>1608</v>
      </c>
      <c r="N27">
        <v>1</v>
      </c>
      <c r="O27">
        <v>1019.3801216621515</v>
      </c>
      <c r="P27">
        <v>1</v>
      </c>
      <c r="Q27" s="56">
        <v>1019.3801216621515</v>
      </c>
    </row>
    <row r="28" spans="2:17" x14ac:dyDescent="0.25">
      <c r="B28" s="329">
        <v>1997529</v>
      </c>
      <c r="C28" s="330" t="str">
        <f>+VLOOKUP(B28,Base!$A$1:$E$2346,2,FALSE)</f>
        <v>CABLE, 2-COND,20GA,328FT</v>
      </c>
      <c r="D28" s="214">
        <f>+VLOOKUP(B28,Base!$A$1:$E$3140,3,FALSE)</f>
        <v>1</v>
      </c>
      <c r="E28" s="213">
        <f>+VLOOKUP(B28,Base!$A$1:$E$2346,5,FALSE)</f>
        <v>879.22554058630021</v>
      </c>
      <c r="F28" s="66">
        <v>1</v>
      </c>
      <c r="G28" s="131">
        <f t="shared" si="0"/>
        <v>879.22554058630021</v>
      </c>
      <c r="L28">
        <v>1997529</v>
      </c>
      <c r="M28" t="s">
        <v>91</v>
      </c>
      <c r="N28">
        <v>1</v>
      </c>
      <c r="O28">
        <v>821.69697416795657</v>
      </c>
      <c r="P28">
        <v>1</v>
      </c>
      <c r="Q28" s="56">
        <v>821.69697416795657</v>
      </c>
    </row>
    <row r="29" spans="2:17" x14ac:dyDescent="0.25">
      <c r="B29" s="2">
        <v>1997548</v>
      </c>
      <c r="C29" s="213" t="str">
        <f>+VLOOKUP(B29,Base!$A$1:$E$2346,2,FALSE)</f>
        <v>CABLE,4-COND,22GA,WYGBRN,328ft</v>
      </c>
      <c r="D29" s="214">
        <f>+VLOOKUP(B29,Base!$A$1:$E$3140,3,FALSE)</f>
        <v>1</v>
      </c>
      <c r="E29" s="213">
        <f>+VLOOKUP(B29,Base!$A$1:$E$2346,5,FALSE)</f>
        <v>1752.2582043343652</v>
      </c>
      <c r="F29" s="66">
        <v>1</v>
      </c>
      <c r="G29" s="132">
        <f t="shared" si="0"/>
        <v>1752.2582043343652</v>
      </c>
      <c r="L29">
        <v>1997548</v>
      </c>
      <c r="M29" t="s">
        <v>2039</v>
      </c>
      <c r="N29">
        <v>1</v>
      </c>
      <c r="O29">
        <v>1637.6247946497679</v>
      </c>
      <c r="P29">
        <v>1</v>
      </c>
      <c r="Q29" s="56">
        <v>1637.6247946497679</v>
      </c>
    </row>
    <row r="30" spans="2:17" x14ac:dyDescent="0.25">
      <c r="B30" s="2">
        <v>3558018</v>
      </c>
      <c r="C30" s="213" t="str">
        <f>+VLOOKUP(B30,Base!$A$1:$E$2346,2,FALSE)</f>
        <v>LUBRICANT,GREASE,14OZ</v>
      </c>
      <c r="D30" s="214">
        <f>+VLOOKUP(B30,Base!$A$1:$E$3140,3,FALSE)</f>
        <v>1</v>
      </c>
      <c r="E30" s="213">
        <f>+VLOOKUP(B30,Base!$A$1:$E$2346,5,FALSE)</f>
        <v>109.35316732778634</v>
      </c>
      <c r="F30" s="66">
        <v>1</v>
      </c>
      <c r="G30" s="132">
        <f t="shared" si="0"/>
        <v>109.35316732778634</v>
      </c>
      <c r="L30">
        <v>3558018</v>
      </c>
      <c r="M30" t="s">
        <v>134</v>
      </c>
      <c r="N30">
        <v>1</v>
      </c>
      <c r="O30">
        <v>102.21506191950462</v>
      </c>
      <c r="P30">
        <v>1</v>
      </c>
      <c r="Q30" s="56">
        <v>102.21506191950462</v>
      </c>
    </row>
    <row r="31" spans="2:17" x14ac:dyDescent="0.25">
      <c r="B31" s="2">
        <v>3556251</v>
      </c>
      <c r="C31" s="272" t="str">
        <f>+VLOOKUP(B31,Base!$A$1:$E$2346,2,FALSE)</f>
        <v>HOSE,NYL,NAT,5/32 ODX500FT</v>
      </c>
      <c r="D31" s="273">
        <f>+VLOOKUP(B31,Base!$A$1:$E$3140,3,FALSE)</f>
        <v>1</v>
      </c>
      <c r="E31" s="272">
        <f>+VLOOKUP(B31,Base!$A$1:$E$2346,5,FALSE)</f>
        <v>354.68887238777086</v>
      </c>
      <c r="F31" s="66">
        <v>1</v>
      </c>
      <c r="G31" s="132">
        <f t="shared" si="0"/>
        <v>354.68887238777086</v>
      </c>
      <c r="L31">
        <v>3556251</v>
      </c>
      <c r="M31" t="s">
        <v>109</v>
      </c>
      <c r="N31">
        <v>1</v>
      </c>
      <c r="O31">
        <v>331.48188128869964</v>
      </c>
      <c r="P31">
        <v>1</v>
      </c>
      <c r="Q31" s="56">
        <v>331.48188128869964</v>
      </c>
    </row>
    <row r="32" spans="2:17" x14ac:dyDescent="0.25">
      <c r="B32" s="2">
        <v>8582269</v>
      </c>
      <c r="C32" s="271" t="s">
        <v>2077</v>
      </c>
      <c r="D32" s="269">
        <f>+VLOOKUP(B32,Base!$A$1:$E$3140,3,FALSE)</f>
        <v>1</v>
      </c>
      <c r="E32" s="268">
        <f>+VLOOKUP(B32,Base!$A$1:$E$2346,5,FALSE)</f>
        <v>109.05982053018576</v>
      </c>
      <c r="F32" s="66">
        <f>+C2</f>
        <v>1</v>
      </c>
      <c r="G32" s="132">
        <f>E32/D32*F32</f>
        <v>109.05982053018576</v>
      </c>
      <c r="L32">
        <v>8582269</v>
      </c>
      <c r="M32" t="s">
        <v>2077</v>
      </c>
      <c r="N32">
        <v>1</v>
      </c>
      <c r="O32">
        <v>101.92171512190403</v>
      </c>
      <c r="P32">
        <v>12</v>
      </c>
      <c r="Q32" s="56">
        <v>1223.0605814628484</v>
      </c>
    </row>
    <row r="33" spans="2:17" x14ac:dyDescent="0.25">
      <c r="B33" s="2">
        <v>8584771</v>
      </c>
      <c r="C33" s="271" t="s">
        <v>1727</v>
      </c>
      <c r="D33" s="269">
        <f>+VLOOKUP(B33,Base!$A$1:$E$3140,3,FALSE)</f>
        <v>1</v>
      </c>
      <c r="E33" s="268">
        <f>+VLOOKUP(B33,Base!$A$1:$E$2346,5,FALSE)</f>
        <v>312.31655717879255</v>
      </c>
      <c r="F33" s="66">
        <f>+C2</f>
        <v>1</v>
      </c>
      <c r="G33" s="132">
        <f>E33/D33*F33</f>
        <v>312.31655717879255</v>
      </c>
      <c r="L33">
        <v>8584771</v>
      </c>
      <c r="M33" t="s">
        <v>1727</v>
      </c>
      <c r="N33">
        <v>1</v>
      </c>
      <c r="O33">
        <v>291.88006361261597</v>
      </c>
      <c r="P33">
        <v>12</v>
      </c>
      <c r="Q33" s="56">
        <v>3502.5607633513919</v>
      </c>
    </row>
    <row r="34" spans="2:17" x14ac:dyDescent="0.25">
      <c r="B34" s="2">
        <v>3559488</v>
      </c>
      <c r="C34" s="265" t="s">
        <v>2040</v>
      </c>
      <c r="D34" s="266">
        <v>1</v>
      </c>
      <c r="E34" s="265">
        <v>397.93</v>
      </c>
      <c r="F34" s="66">
        <v>1</v>
      </c>
      <c r="G34" s="132">
        <f t="shared" si="0"/>
        <v>397.93</v>
      </c>
      <c r="L34">
        <v>3559488</v>
      </c>
      <c r="M34" t="s">
        <v>2040</v>
      </c>
      <c r="N34">
        <v>1</v>
      </c>
      <c r="O34">
        <v>397.93</v>
      </c>
      <c r="P34">
        <v>1</v>
      </c>
      <c r="Q34" s="56">
        <v>397.93</v>
      </c>
    </row>
    <row r="35" spans="2:17" x14ac:dyDescent="0.25">
      <c r="B35" s="2">
        <v>3562520</v>
      </c>
      <c r="C35" s="265" t="s">
        <v>2041</v>
      </c>
      <c r="D35" s="266">
        <v>1</v>
      </c>
      <c r="E35" s="265">
        <v>500</v>
      </c>
      <c r="F35" s="66">
        <v>1</v>
      </c>
      <c r="G35" s="132">
        <f t="shared" si="0"/>
        <v>500</v>
      </c>
      <c r="L35">
        <v>3562520</v>
      </c>
      <c r="M35" t="s">
        <v>2041</v>
      </c>
      <c r="N35">
        <v>1</v>
      </c>
      <c r="O35">
        <v>500</v>
      </c>
      <c r="P35">
        <v>1</v>
      </c>
      <c r="Q35" s="56">
        <v>500</v>
      </c>
    </row>
    <row r="38" spans="2:17" x14ac:dyDescent="0.25">
      <c r="B38" s="112"/>
      <c r="C38" s="110" t="s">
        <v>1862</v>
      </c>
      <c r="D38" s="101">
        <v>1</v>
      </c>
      <c r="E38" s="111">
        <f>SUM(E39+E40+E41+E42+E43+E44+E45)</f>
        <v>73.84426521473641</v>
      </c>
      <c r="F38" s="114">
        <f>+C2</f>
        <v>1</v>
      </c>
      <c r="G38" s="119">
        <f>E38/D38*F38</f>
        <v>73.84426521473641</v>
      </c>
      <c r="H38" t="s">
        <v>1865</v>
      </c>
      <c r="Q38"/>
    </row>
    <row r="39" spans="2:17" x14ac:dyDescent="0.25">
      <c r="B39" s="113" t="s">
        <v>1538</v>
      </c>
      <c r="C39" s="213" t="str">
        <f>+VLOOKUP(B39,Base!$A$1:$E$2346,2,FALSE)</f>
        <v>Soporte caño galvanizado 1 1/2" c/buje</v>
      </c>
      <c r="D39" s="214">
        <f>+VLOOKUP(B39,Base!$A$1:$E$3140,3,FALSE)</f>
        <v>1</v>
      </c>
      <c r="E39" s="213">
        <f>+VLOOKUP(B39,Base!$A$1:$E$2346,5,FALSE)</f>
        <v>24.154666191736204</v>
      </c>
      <c r="F39" s="116">
        <f>+C2</f>
        <v>1</v>
      </c>
      <c r="G39" s="120"/>
      <c r="H39" t="s">
        <v>1866</v>
      </c>
      <c r="Q39"/>
    </row>
    <row r="40" spans="2:17" x14ac:dyDescent="0.25">
      <c r="B40" s="113" t="s">
        <v>1181</v>
      </c>
      <c r="C40" s="213" t="str">
        <f>+VLOOKUP(B40,Base!$A$1:$E$2346,2,FALSE)</f>
        <v>pasador en cruz para 1,5 "</v>
      </c>
      <c r="D40" s="214">
        <f>+VLOOKUP(B40,Base!$A$1:$E$3140,3,FALSE)</f>
        <v>1</v>
      </c>
      <c r="E40" s="213">
        <f>+VLOOKUP(B40,Base!$A$1:$E$2346,5,FALSE)</f>
        <v>4.6008887984259443</v>
      </c>
      <c r="F40" s="116">
        <f>+C2</f>
        <v>1</v>
      </c>
      <c r="G40" s="120"/>
      <c r="H40" t="s">
        <v>1867</v>
      </c>
      <c r="Q40"/>
    </row>
    <row r="41" spans="2:17" x14ac:dyDescent="0.25">
      <c r="B41" s="113" t="s">
        <v>1542</v>
      </c>
      <c r="C41" s="213" t="str">
        <f>+VLOOKUP(B41,Base!$A$1:$E$2346,2,FALSE)</f>
        <v>Caño soporte retirador inox. 2" - Zig-Zag</v>
      </c>
      <c r="D41" s="214">
        <f>+VLOOKUP(B41,Base!$A$1:$E$3140,3,FALSE)</f>
        <v>1</v>
      </c>
      <c r="E41" s="213">
        <f>+VLOOKUP(B41,Base!$A$1:$E$2346,5,FALSE)</f>
        <v>35.656888187801073</v>
      </c>
      <c r="F41" s="116">
        <f>+C2</f>
        <v>1</v>
      </c>
      <c r="G41" s="120"/>
      <c r="H41" t="s">
        <v>1868</v>
      </c>
      <c r="Q41"/>
    </row>
    <row r="42" spans="2:17" x14ac:dyDescent="0.25">
      <c r="B42" s="113" t="s">
        <v>1540</v>
      </c>
      <c r="C42" s="213" t="str">
        <f>+VLOOKUP(B42,Base!$A$1:$E$2346,2,FALSE)</f>
        <v>Arandela traba grillón</v>
      </c>
      <c r="D42" s="214">
        <f>+VLOOKUP(B42,Base!$A$1:$E$3140,3,FALSE)</f>
        <v>1</v>
      </c>
      <c r="E42" s="213">
        <f>+VLOOKUP(B42,Base!$A$1:$E$2346,5,FALSE)</f>
        <v>1.8403555193703776</v>
      </c>
      <c r="F42" s="116">
        <f>+C2</f>
        <v>1</v>
      </c>
      <c r="G42" s="120"/>
      <c r="H42" t="s">
        <v>1869</v>
      </c>
      <c r="Q42"/>
    </row>
    <row r="43" spans="2:17" x14ac:dyDescent="0.25">
      <c r="B43" s="113" t="s">
        <v>1544</v>
      </c>
      <c r="C43" s="213" t="str">
        <f>+VLOOKUP(B43,Base!$A$1:$E$2346,2,FALSE)</f>
        <v>Plegado apoyo cilindro GM</v>
      </c>
      <c r="D43" s="214">
        <f>+VLOOKUP(B43,Base!$A$1:$E$3140,3,FALSE)</f>
        <v>1</v>
      </c>
      <c r="E43" s="213">
        <f>+VLOOKUP(B43,Base!$A$1:$E$2346,5,FALSE)</f>
        <v>3.4506665988194589</v>
      </c>
      <c r="F43" s="116">
        <f>+C2</f>
        <v>1</v>
      </c>
      <c r="G43" s="120"/>
      <c r="H43" t="s">
        <v>1870</v>
      </c>
      <c r="Q43"/>
    </row>
    <row r="44" spans="2:17" x14ac:dyDescent="0.25">
      <c r="B44" s="113" t="s">
        <v>1183</v>
      </c>
      <c r="C44" s="213" t="str">
        <f>+VLOOKUP(B44,Base!$A$1:$E$2346,2,FALSE)</f>
        <v>abrazadera inoxidable 63/75 mm</v>
      </c>
      <c r="D44" s="214">
        <f>+VLOOKUP(B44,Base!$A$1:$E$3140,3,FALSE)</f>
        <v>1</v>
      </c>
      <c r="E44" s="213">
        <f>+VLOOKUP(B44,Base!$A$1:$E$2346,5,FALSE)</f>
        <v>2.3004443992129722</v>
      </c>
      <c r="F44" s="116">
        <v>2</v>
      </c>
      <c r="G44" s="120"/>
      <c r="H44" t="s">
        <v>1871</v>
      </c>
      <c r="Q44"/>
    </row>
    <row r="45" spans="2:17" x14ac:dyDescent="0.25">
      <c r="B45" s="113" t="s">
        <v>1548</v>
      </c>
      <c r="C45" s="213" t="str">
        <f>+VLOOKUP(B45,Base!$A$1:$E$2346,2,FALSE)</f>
        <v>Abrazadera inoxidable 50/63 mm</v>
      </c>
      <c r="D45" s="214">
        <f>+VLOOKUP(B45,Base!$A$1:$E$3140,3,FALSE)</f>
        <v>1</v>
      </c>
      <c r="E45" s="213">
        <f>+VLOOKUP(B45,Base!$A$1:$E$2346,5,FALSE)</f>
        <v>1.8403555193703776</v>
      </c>
      <c r="F45" s="116">
        <v>2</v>
      </c>
      <c r="G45" s="120"/>
      <c r="H45" t="s">
        <v>1872</v>
      </c>
      <c r="Q45"/>
    </row>
    <row r="47" spans="2:17" x14ac:dyDescent="0.25">
      <c r="B47" s="112"/>
      <c r="C47" s="110" t="s">
        <v>2253</v>
      </c>
      <c r="D47" s="101"/>
      <c r="E47" s="111"/>
      <c r="F47" s="114"/>
      <c r="G47" s="119">
        <f>SUM(G48:G70)</f>
        <v>10908.062962767199</v>
      </c>
    </row>
    <row r="48" spans="2:17" x14ac:dyDescent="0.25">
      <c r="B48" s="422">
        <v>8591439</v>
      </c>
      <c r="C48" s="422" t="s">
        <v>2218</v>
      </c>
      <c r="D48" s="423">
        <v>1</v>
      </c>
      <c r="E48" s="213">
        <f>+VLOOKUP(B48,Base!$A$1:$E$2346,5,FALSE)</f>
        <v>1474.8906733746132</v>
      </c>
      <c r="F48">
        <f>+C2/4</f>
        <v>0.25</v>
      </c>
      <c r="G48" s="427">
        <f>+F48*E48</f>
        <v>368.72266834365331</v>
      </c>
    </row>
    <row r="49" spans="2:7" x14ac:dyDescent="0.25">
      <c r="B49" s="422">
        <v>8592789</v>
      </c>
      <c r="C49" s="422" t="s">
        <v>2219</v>
      </c>
      <c r="D49" s="423">
        <v>1</v>
      </c>
      <c r="E49" s="213">
        <f>+VLOOKUP(B49,Base!$A$1:$E$2346,5,FALSE)</f>
        <v>447.57933436532511</v>
      </c>
      <c r="F49">
        <f>+C2</f>
        <v>1</v>
      </c>
      <c r="G49" s="427">
        <f t="shared" ref="G49:G70" si="1">+F49*E49</f>
        <v>447.57933436532511</v>
      </c>
    </row>
    <row r="50" spans="2:7" x14ac:dyDescent="0.25">
      <c r="B50" s="424">
        <v>8591563</v>
      </c>
      <c r="C50" s="424" t="s">
        <v>2221</v>
      </c>
      <c r="D50" s="425">
        <v>1</v>
      </c>
      <c r="E50" s="213">
        <f>+VLOOKUP(B50,Base!$A$1:$E$2346,5,FALSE)</f>
        <v>1629.5346362229102</v>
      </c>
      <c r="F50">
        <v>1</v>
      </c>
      <c r="G50" s="427">
        <f t="shared" si="1"/>
        <v>1629.5346362229102</v>
      </c>
    </row>
    <row r="51" spans="2:7" x14ac:dyDescent="0.25">
      <c r="B51" s="422">
        <v>8591435</v>
      </c>
      <c r="C51" s="422" t="s">
        <v>2222</v>
      </c>
      <c r="D51" s="423">
        <v>1</v>
      </c>
      <c r="E51" s="213">
        <f>+VLOOKUP(B51,Base!$A$1:$E$2346,5,FALSE)</f>
        <v>1303.5545665634675</v>
      </c>
      <c r="F51">
        <f>+C2/6</f>
        <v>0.16666666666666666</v>
      </c>
      <c r="G51" s="427">
        <f t="shared" si="1"/>
        <v>217.25909442724458</v>
      </c>
    </row>
    <row r="52" spans="2:7" x14ac:dyDescent="0.25">
      <c r="B52" s="422">
        <v>3562475</v>
      </c>
      <c r="C52" s="422" t="s">
        <v>2223</v>
      </c>
      <c r="D52" s="423">
        <v>1</v>
      </c>
      <c r="E52" s="213">
        <f>+VLOOKUP(B52,Base!$A$1:$E$2346,5,FALSE)</f>
        <v>166.86919504643967</v>
      </c>
      <c r="F52">
        <v>2</v>
      </c>
      <c r="G52" s="427">
        <f t="shared" si="1"/>
        <v>333.73839009287934</v>
      </c>
    </row>
    <row r="53" spans="2:7" x14ac:dyDescent="0.25">
      <c r="B53" s="422">
        <v>3558018</v>
      </c>
      <c r="C53" s="422" t="s">
        <v>2224</v>
      </c>
      <c r="D53" s="423">
        <v>1</v>
      </c>
      <c r="E53" s="213">
        <f>+VLOOKUP(B53,Base!$A$1:$E$2346,5,FALSE)</f>
        <v>109.35316732778634</v>
      </c>
      <c r="F53">
        <f>ROUND(C2/8,0)</f>
        <v>0</v>
      </c>
      <c r="G53" s="427">
        <f t="shared" si="1"/>
        <v>0</v>
      </c>
    </row>
    <row r="54" spans="2:7" x14ac:dyDescent="0.25">
      <c r="B54" s="422">
        <v>3562478</v>
      </c>
      <c r="C54" s="422" t="s">
        <v>2225</v>
      </c>
      <c r="D54" s="423">
        <v>1</v>
      </c>
      <c r="E54" s="213">
        <f>+VLOOKUP(B54,Base!$A$1:$E$2346,5,FALSE)</f>
        <v>3645.1044891640872</v>
      </c>
      <c r="F54">
        <v>1</v>
      </c>
      <c r="G54" s="427">
        <f t="shared" si="1"/>
        <v>3645.1044891640872</v>
      </c>
    </row>
    <row r="55" spans="2:7" x14ac:dyDescent="0.25">
      <c r="B55" s="422">
        <v>3556251</v>
      </c>
      <c r="C55" s="422" t="s">
        <v>2226</v>
      </c>
      <c r="D55" s="423">
        <v>1</v>
      </c>
      <c r="E55" s="213">
        <f>+VLOOKUP(B55,Base!$A$1:$E$2346,5,FALSE)</f>
        <v>354.68887238777086</v>
      </c>
      <c r="F55">
        <f>ROUND(C2/10,0)</f>
        <v>0</v>
      </c>
      <c r="G55" s="427">
        <f t="shared" si="1"/>
        <v>0</v>
      </c>
    </row>
    <row r="56" spans="2:7" ht="25.5" x14ac:dyDescent="0.25">
      <c r="B56" s="422">
        <v>3559257</v>
      </c>
      <c r="C56" s="422" t="s">
        <v>2227</v>
      </c>
      <c r="D56" s="423">
        <v>1</v>
      </c>
      <c r="E56" s="213">
        <f>+VLOOKUP(B56,Base!$A$1:$E$2346,5,FALSE)</f>
        <v>673.00274187306491</v>
      </c>
      <c r="F56">
        <f>+C2</f>
        <v>1</v>
      </c>
      <c r="G56" s="427">
        <f t="shared" si="1"/>
        <v>673.00274187306491</v>
      </c>
    </row>
    <row r="57" spans="2:7" x14ac:dyDescent="0.25">
      <c r="B57" s="422">
        <v>3558013</v>
      </c>
      <c r="C57" s="422" t="s">
        <v>2228</v>
      </c>
      <c r="D57" s="423">
        <v>1</v>
      </c>
      <c r="E57" s="213">
        <f>+VLOOKUP(B57,Base!$A$1:$E$2346,5,FALSE)</f>
        <v>291.99496904024772</v>
      </c>
      <c r="F57">
        <f>+C2</f>
        <v>1</v>
      </c>
      <c r="G57" s="427">
        <f t="shared" si="1"/>
        <v>291.99496904024772</v>
      </c>
    </row>
    <row r="58" spans="2:7" x14ac:dyDescent="0.25">
      <c r="B58" s="422">
        <v>8580119</v>
      </c>
      <c r="C58" s="422" t="s">
        <v>2229</v>
      </c>
      <c r="D58" s="423">
        <v>1</v>
      </c>
      <c r="E58" s="213">
        <f>+VLOOKUP(B58,Base!$A$1:$E$2346,5,FALSE)</f>
        <v>86.360294117647058</v>
      </c>
      <c r="F58">
        <f>+C2</f>
        <v>1</v>
      </c>
      <c r="G58" s="427">
        <f t="shared" si="1"/>
        <v>86.360294117647058</v>
      </c>
    </row>
    <row r="59" spans="2:7" x14ac:dyDescent="0.25">
      <c r="B59" s="422">
        <v>3556372</v>
      </c>
      <c r="C59" s="422" t="s">
        <v>2230</v>
      </c>
      <c r="D59" s="423">
        <v>1</v>
      </c>
      <c r="E59" s="213">
        <f>+VLOOKUP(B59,Base!$A$1:$E$2346,5,FALSE)</f>
        <v>6.6817881675696587</v>
      </c>
      <c r="F59">
        <f>+C2*2</f>
        <v>2</v>
      </c>
      <c r="G59" s="427">
        <f t="shared" si="1"/>
        <v>13.363576335139317</v>
      </c>
    </row>
    <row r="60" spans="2:7" ht="25.5" x14ac:dyDescent="0.25">
      <c r="B60" s="422">
        <v>8501422</v>
      </c>
      <c r="C60" s="422" t="s">
        <v>2231</v>
      </c>
      <c r="D60" s="423">
        <v>1</v>
      </c>
      <c r="E60" s="213">
        <f>+VLOOKUP(B60,Base!$A$1:$E$2346,5,FALSE)</f>
        <v>5.4595588235294112</v>
      </c>
      <c r="F60">
        <f>+C2*2</f>
        <v>2</v>
      </c>
      <c r="G60" s="427">
        <f t="shared" si="1"/>
        <v>10.919117647058822</v>
      </c>
    </row>
    <row r="61" spans="2:7" ht="25.5" x14ac:dyDescent="0.25">
      <c r="B61" s="422">
        <v>8514033</v>
      </c>
      <c r="C61" s="422" t="s">
        <v>2232</v>
      </c>
      <c r="D61" s="423">
        <v>1</v>
      </c>
      <c r="E61" s="213">
        <f>+VLOOKUP(B61,Base!$A$1:$E$2346,5,FALSE)</f>
        <v>11.101973684210527</v>
      </c>
      <c r="F61">
        <f>+C2*2</f>
        <v>2</v>
      </c>
      <c r="G61" s="427">
        <f t="shared" si="1"/>
        <v>22.203947368421055</v>
      </c>
    </row>
    <row r="62" spans="2:7" x14ac:dyDescent="0.25">
      <c r="B62" s="422">
        <v>1091008</v>
      </c>
      <c r="C62" s="422" t="s">
        <v>2233</v>
      </c>
      <c r="D62" s="423">
        <v>1</v>
      </c>
      <c r="E62" s="213">
        <f>+VLOOKUP(B62,Base!$A$1:$E$2346,5,FALSE)</f>
        <v>5.4856811145510838</v>
      </c>
      <c r="F62">
        <f>+C2*4</f>
        <v>4</v>
      </c>
      <c r="G62" s="427">
        <f t="shared" si="1"/>
        <v>21.942724458204335</v>
      </c>
    </row>
    <row r="63" spans="2:7" x14ac:dyDescent="0.25">
      <c r="B63" s="422">
        <v>1203352</v>
      </c>
      <c r="C63" s="422" t="s">
        <v>2234</v>
      </c>
      <c r="D63" s="423">
        <v>1</v>
      </c>
      <c r="E63" s="213">
        <f>+VLOOKUP(B63,Base!$A$1:$E$2346,5,FALSE)</f>
        <v>5.4856811145510838</v>
      </c>
      <c r="F63">
        <f>+C2*4</f>
        <v>4</v>
      </c>
      <c r="G63" s="427">
        <f t="shared" si="1"/>
        <v>21.942724458204335</v>
      </c>
    </row>
    <row r="64" spans="2:7" x14ac:dyDescent="0.25">
      <c r="B64" s="422">
        <v>8512906</v>
      </c>
      <c r="C64" s="422" t="s">
        <v>2235</v>
      </c>
      <c r="D64" s="423">
        <v>1</v>
      </c>
      <c r="E64" s="213">
        <f>+VLOOKUP(B64,Base!$A$1:$E$2346,5,FALSE)</f>
        <v>18.643818691950461</v>
      </c>
      <c r="F64">
        <f>+C2*5</f>
        <v>5</v>
      </c>
      <c r="G64" s="427">
        <f t="shared" si="1"/>
        <v>93.219093459752301</v>
      </c>
    </row>
    <row r="65" spans="2:12" x14ac:dyDescent="0.25">
      <c r="B65" s="422">
        <v>8507100</v>
      </c>
      <c r="C65" s="422" t="s">
        <v>2236</v>
      </c>
      <c r="D65" s="423">
        <v>1</v>
      </c>
      <c r="E65" s="213">
        <f>+VLOOKUP(B65,Base!$A$1:$E$2346,5,FALSE)</f>
        <v>13.660757731401384</v>
      </c>
      <c r="F65">
        <f>+C2</f>
        <v>1</v>
      </c>
      <c r="G65" s="427">
        <f t="shared" si="1"/>
        <v>13.660757731401384</v>
      </c>
    </row>
    <row r="66" spans="2:12" x14ac:dyDescent="0.25">
      <c r="B66" s="422">
        <v>8591560</v>
      </c>
      <c r="C66" s="422" t="s">
        <v>2237</v>
      </c>
      <c r="D66" s="423">
        <v>1</v>
      </c>
      <c r="E66" s="213">
        <f>+VLOOKUP(B66,Base!$A$1:$E$2346,5,FALSE)</f>
        <v>693.96478328173396</v>
      </c>
      <c r="F66">
        <f>+C2/2</f>
        <v>0.5</v>
      </c>
      <c r="G66" s="427">
        <f t="shared" si="1"/>
        <v>346.98239164086698</v>
      </c>
    </row>
    <row r="67" spans="2:12" x14ac:dyDescent="0.25">
      <c r="B67" s="422">
        <v>3556099</v>
      </c>
      <c r="C67" s="422" t="s">
        <v>2238</v>
      </c>
      <c r="D67" s="423">
        <v>1</v>
      </c>
      <c r="E67" s="213">
        <f>+VLOOKUP(B67,Base!$A$1:$E$2346,5,FALSE)</f>
        <v>995.19530790441161</v>
      </c>
      <c r="F67">
        <v>1</v>
      </c>
      <c r="G67" s="427">
        <f t="shared" si="1"/>
        <v>995.19530790441161</v>
      </c>
    </row>
    <row r="68" spans="2:12" x14ac:dyDescent="0.25">
      <c r="B68" s="422">
        <v>3559405</v>
      </c>
      <c r="C68" s="422" t="s">
        <v>2239</v>
      </c>
      <c r="D68" s="423">
        <v>1</v>
      </c>
      <c r="E68" s="213">
        <f>+VLOOKUP(B68,Base!$A$1:$E$2346,5,FALSE)</f>
        <v>853.13759420955853</v>
      </c>
      <c r="F68">
        <v>1</v>
      </c>
      <c r="G68" s="427">
        <f t="shared" si="1"/>
        <v>853.13759420955853</v>
      </c>
    </row>
    <row r="69" spans="2:12" x14ac:dyDescent="0.25">
      <c r="B69" s="422">
        <v>8592165</v>
      </c>
      <c r="C69" s="422" t="s">
        <v>2240</v>
      </c>
      <c r="D69" s="423">
        <v>1</v>
      </c>
      <c r="E69" s="213">
        <f>+VLOOKUP(B69,Base!$A$1:$E$2346,5,FALSE)</f>
        <v>404.26857585139317</v>
      </c>
      <c r="F69">
        <v>1</v>
      </c>
      <c r="G69" s="427">
        <f t="shared" si="1"/>
        <v>404.26857585139317</v>
      </c>
    </row>
    <row r="70" spans="2:12" x14ac:dyDescent="0.25">
      <c r="B70" s="422">
        <v>8592166</v>
      </c>
      <c r="C70" s="422" t="s">
        <v>2241</v>
      </c>
      <c r="D70" s="423">
        <v>1</v>
      </c>
      <c r="E70" s="213">
        <f>+VLOOKUP(B70,Base!$A$1:$E$2346,5,FALSE)</f>
        <v>417.93053405572761</v>
      </c>
      <c r="F70">
        <v>1</v>
      </c>
      <c r="G70" s="427">
        <f t="shared" si="1"/>
        <v>417.93053405572761</v>
      </c>
      <c r="L70" t="s">
        <v>1578</v>
      </c>
    </row>
  </sheetData>
  <mergeCells count="2">
    <mergeCell ref="C6:G6"/>
    <mergeCell ref="C15:G15"/>
  </mergeCells>
  <hyperlinks>
    <hyperlink ref="H2" location="presu!A1" display="Presupuesto" xr:uid="{28AF9726-4EC7-499C-96B0-C5E118975A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Option Button 1">
              <controlPr defaultSize="0" autoFill="0" autoLine="0" autoPict="0" macro="[0]!moverxp">
                <anchor moveWithCells="1">
                  <from>
                    <xdr:col>9</xdr:col>
                    <xdr:colOff>19050</xdr:colOff>
                    <xdr:row>5</xdr:row>
                    <xdr:rowOff>152400</xdr:rowOff>
                  </from>
                  <to>
                    <xdr:col>11</xdr:col>
                    <xdr:colOff>171450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Option Button 2">
              <controlPr defaultSize="0" autoFill="0" autoLine="0" autoPict="0" macro="[0]!limpiarxp">
                <anchor moveWithCells="1">
                  <from>
                    <xdr:col>9</xdr:col>
                    <xdr:colOff>19050</xdr:colOff>
                    <xdr:row>8</xdr:row>
                    <xdr:rowOff>161925</xdr:rowOff>
                  </from>
                  <to>
                    <xdr:col>11</xdr:col>
                    <xdr:colOff>171450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5" name="Option Button 9">
              <controlPr defaultSize="0" autoFill="0" autoLine="0" autoPict="0" macro="[0]!moverbrazo">
                <anchor moveWithCells="1">
                  <from>
                    <xdr:col>9</xdr:col>
                    <xdr:colOff>19050</xdr:colOff>
                    <xdr:row>37</xdr:row>
                    <xdr:rowOff>152400</xdr:rowOff>
                  </from>
                  <to>
                    <xdr:col>11</xdr:col>
                    <xdr:colOff>171450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6" name="Option Button 10">
              <controlPr defaultSize="0" autoFill="0" autoLine="0" autoPict="0" macro="[0]!limpiarbrazo">
                <anchor moveWithCells="1">
                  <from>
                    <xdr:col>9</xdr:col>
                    <xdr:colOff>19050</xdr:colOff>
                    <xdr:row>40</xdr:row>
                    <xdr:rowOff>161925</xdr:rowOff>
                  </from>
                  <to>
                    <xdr:col>11</xdr:col>
                    <xdr:colOff>171450</xdr:colOff>
                    <xdr:row>42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7" name="Option Button 11">
              <controlPr defaultSize="0" autoFill="0" autoLine="0" autoPict="0" macro="[0]!llevarextrapresu">
                <anchor moveWithCells="1">
                  <from>
                    <xdr:col>11</xdr:col>
                    <xdr:colOff>371475</xdr:colOff>
                    <xdr:row>2</xdr:row>
                    <xdr:rowOff>152400</xdr:rowOff>
                  </from>
                  <to>
                    <xdr:col>12</xdr:col>
                    <xdr:colOff>1066800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8" name="Option Button 12">
              <controlPr defaultSize="0" autoFill="0" autoLine="0" autoPict="0" macro="[0]!limpiarextra">
                <anchor moveWithCells="1">
                  <from>
                    <xdr:col>7</xdr:col>
                    <xdr:colOff>276225</xdr:colOff>
                    <xdr:row>2</xdr:row>
                    <xdr:rowOff>123825</xdr:rowOff>
                  </from>
                  <to>
                    <xdr:col>7</xdr:col>
                    <xdr:colOff>1666875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Option Button 5">
              <controlPr defaultSize="0" autoFill="0" autoLine="0" autoPict="0" macro="[0]!moverami">
                <anchor moveWithCells="1">
                  <from>
                    <xdr:col>9</xdr:col>
                    <xdr:colOff>19050</xdr:colOff>
                    <xdr:row>15</xdr:row>
                    <xdr:rowOff>152400</xdr:rowOff>
                  </from>
                  <to>
                    <xdr:col>11</xdr:col>
                    <xdr:colOff>171450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Option Button 6">
              <controlPr defaultSize="0" autoFill="0" autoLine="0" autoPict="0" macro="[0]!limpiarami">
                <anchor moveWithCells="1">
                  <from>
                    <xdr:col>9</xdr:col>
                    <xdr:colOff>19050</xdr:colOff>
                    <xdr:row>18</xdr:row>
                    <xdr:rowOff>161925</xdr:rowOff>
                  </from>
                  <to>
                    <xdr:col>11</xdr:col>
                    <xdr:colOff>171450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AEB68-0BF8-42D2-9A90-71D8807A38F5}">
  <sheetPr codeName="Sheet11"/>
  <dimension ref="B1:P58"/>
  <sheetViews>
    <sheetView workbookViewId="0">
      <selection activeCell="K7" sqref="K7:P58"/>
    </sheetView>
  </sheetViews>
  <sheetFormatPr baseColWidth="10" defaultColWidth="8.7109375" defaultRowHeight="15" x14ac:dyDescent="0.25"/>
  <cols>
    <col min="2" max="2" width="10.42578125" bestFit="1" customWidth="1"/>
    <col min="3" max="3" width="32.85546875" bestFit="1" customWidth="1"/>
    <col min="4" max="4" width="10.5703125" bestFit="1" customWidth="1"/>
    <col min="5" max="5" width="11.140625" bestFit="1" customWidth="1"/>
    <col min="6" max="6" width="8.85546875" bestFit="1" customWidth="1"/>
    <col min="7" max="7" width="13.5703125" bestFit="1" customWidth="1"/>
    <col min="9" max="9" width="4.5703125" customWidth="1"/>
    <col min="11" max="11" width="7.85546875" bestFit="1" customWidth="1"/>
    <col min="12" max="12" width="31.7109375" bestFit="1" customWidth="1"/>
    <col min="13" max="13" width="3.85546875" bestFit="1" customWidth="1"/>
    <col min="14" max="14" width="7.85546875" bestFit="1" customWidth="1"/>
    <col min="15" max="15" width="5.140625" bestFit="1" customWidth="1"/>
    <col min="16" max="16" width="10.7109375" style="87" bestFit="1" customWidth="1"/>
  </cols>
  <sheetData>
    <row r="1" spans="2:16" x14ac:dyDescent="0.25">
      <c r="M1" s="87"/>
      <c r="P1"/>
    </row>
    <row r="2" spans="2:16" ht="21" x14ac:dyDescent="0.35">
      <c r="I2" s="156" t="s">
        <v>1879</v>
      </c>
    </row>
    <row r="5" spans="2:16" x14ac:dyDescent="0.25">
      <c r="B5" s="134" t="s">
        <v>1841</v>
      </c>
      <c r="C5" s="134" t="s">
        <v>65</v>
      </c>
      <c r="D5" s="134" t="s">
        <v>66</v>
      </c>
      <c r="E5" s="134" t="s">
        <v>1842</v>
      </c>
      <c r="F5" s="134" t="s">
        <v>1843</v>
      </c>
      <c r="G5" s="134" t="s">
        <v>1844</v>
      </c>
    </row>
    <row r="6" spans="2:16" ht="15.75" x14ac:dyDescent="0.25">
      <c r="C6" t="s">
        <v>1881</v>
      </c>
      <c r="H6" s="78" t="s">
        <v>1827</v>
      </c>
      <c r="K6" t="s">
        <v>1834</v>
      </c>
      <c r="L6" t="s">
        <v>1829</v>
      </c>
      <c r="M6" t="s">
        <v>1830</v>
      </c>
      <c r="N6" t="s">
        <v>1831</v>
      </c>
      <c r="O6" t="s">
        <v>1832</v>
      </c>
      <c r="P6" s="87" t="s">
        <v>1833</v>
      </c>
    </row>
    <row r="7" spans="2:16" x14ac:dyDescent="0.25">
      <c r="B7" s="157">
        <v>3560511</v>
      </c>
      <c r="C7" s="157" t="s">
        <v>1880</v>
      </c>
      <c r="D7" s="32">
        <v>1</v>
      </c>
      <c r="E7" s="213">
        <f>+VLOOKUP(B7,Base!$A$1:$E$2346,5,FALSE)</f>
        <v>15654.41925986842</v>
      </c>
      <c r="F7" s="159">
        <v>1</v>
      </c>
      <c r="G7" s="213">
        <f t="shared" ref="G7:G12" si="0">+E7*F7</f>
        <v>15654.41925986842</v>
      </c>
      <c r="H7" s="79"/>
      <c r="K7" t="str">
        <f t="shared" ref="K7:P7" si="1">+IF($H7&lt;&gt;0,B7,"")</f>
        <v/>
      </c>
      <c r="L7" t="str">
        <f t="shared" si="1"/>
        <v/>
      </c>
      <c r="M7" t="str">
        <f t="shared" si="1"/>
        <v/>
      </c>
      <c r="N7" s="87" t="str">
        <f t="shared" si="1"/>
        <v/>
      </c>
      <c r="O7" s="87" t="str">
        <f t="shared" si="1"/>
        <v/>
      </c>
      <c r="P7" s="87" t="str">
        <f t="shared" si="1"/>
        <v/>
      </c>
    </row>
    <row r="8" spans="2:16" x14ac:dyDescent="0.25">
      <c r="B8" s="264">
        <v>3562182</v>
      </c>
      <c r="C8" s="264" t="s">
        <v>2071</v>
      </c>
      <c r="D8" s="32">
        <v>1</v>
      </c>
      <c r="E8" s="213">
        <f>+VLOOKUP(B8,Base!$A$1:$E$2346,5,FALSE)</f>
        <v>25461.947932227165</v>
      </c>
      <c r="F8" s="159">
        <v>1</v>
      </c>
      <c r="G8" s="213">
        <f t="shared" si="0"/>
        <v>25461.947932227165</v>
      </c>
      <c r="H8" s="79"/>
      <c r="K8" t="str">
        <f t="shared" ref="K8:K13" si="2">+IF($H8&lt;&gt;0,B8,"")</f>
        <v/>
      </c>
      <c r="L8" t="str">
        <f t="shared" ref="L8:L13" si="3">+IF($H8&lt;&gt;0,C8,"")</f>
        <v/>
      </c>
      <c r="M8" t="str">
        <f t="shared" ref="M8:M13" si="4">+IF($H8&lt;&gt;0,D8,"")</f>
        <v/>
      </c>
      <c r="N8" s="87" t="str">
        <f t="shared" ref="N8:N13" si="5">+IF($H8&lt;&gt;0,E8,"")</f>
        <v/>
      </c>
      <c r="O8" s="87" t="str">
        <f t="shared" ref="O8:O13" si="6">+IF($H8&lt;&gt;0,F8,"")</f>
        <v/>
      </c>
      <c r="P8" s="87" t="str">
        <f t="shared" ref="P8:P13" si="7">+IF($H8&lt;&gt;0,G8,"")</f>
        <v/>
      </c>
    </row>
    <row r="9" spans="2:16" x14ac:dyDescent="0.25">
      <c r="B9" s="264">
        <v>3562183</v>
      </c>
      <c r="C9" s="264" t="s">
        <v>2072</v>
      </c>
      <c r="D9" s="32">
        <v>1</v>
      </c>
      <c r="E9" s="213">
        <f>+VLOOKUP(B9,Base!$A$1:$E$2346,5,FALSE)</f>
        <v>22706.639244630416</v>
      </c>
      <c r="F9" s="159">
        <v>1</v>
      </c>
      <c r="G9" s="213">
        <f t="shared" si="0"/>
        <v>22706.639244630416</v>
      </c>
      <c r="H9" s="79"/>
      <c r="K9" t="str">
        <f t="shared" si="2"/>
        <v/>
      </c>
      <c r="L9" t="str">
        <f t="shared" si="3"/>
        <v/>
      </c>
      <c r="M9" t="str">
        <f t="shared" si="4"/>
        <v/>
      </c>
      <c r="N9" s="87" t="str">
        <f t="shared" si="5"/>
        <v/>
      </c>
      <c r="O9" s="87" t="str">
        <f t="shared" si="6"/>
        <v/>
      </c>
      <c r="P9" s="87" t="str">
        <f t="shared" si="7"/>
        <v/>
      </c>
    </row>
    <row r="10" spans="2:16" x14ac:dyDescent="0.25">
      <c r="B10" s="264">
        <v>3562184</v>
      </c>
      <c r="C10" s="264" t="s">
        <v>2073</v>
      </c>
      <c r="D10" s="32">
        <v>1</v>
      </c>
      <c r="E10" s="213">
        <f>+VLOOKUP(B10,Base!$A$1:$E$2346,5,FALSE)</f>
        <v>21156.594766108748</v>
      </c>
      <c r="F10" s="159">
        <v>1</v>
      </c>
      <c r="G10" s="213">
        <f t="shared" si="0"/>
        <v>21156.594766108748</v>
      </c>
      <c r="H10" s="79"/>
      <c r="K10" t="str">
        <f t="shared" si="2"/>
        <v/>
      </c>
      <c r="L10" t="str">
        <f t="shared" si="3"/>
        <v/>
      </c>
      <c r="M10" t="str">
        <f t="shared" si="4"/>
        <v/>
      </c>
      <c r="N10" s="87" t="str">
        <f t="shared" si="5"/>
        <v/>
      </c>
      <c r="O10" s="87" t="str">
        <f t="shared" si="6"/>
        <v/>
      </c>
      <c r="P10" s="87" t="str">
        <f t="shared" si="7"/>
        <v/>
      </c>
    </row>
    <row r="11" spans="2:16" x14ac:dyDescent="0.25">
      <c r="B11" s="264">
        <v>3562185</v>
      </c>
      <c r="C11" s="264" t="s">
        <v>2074</v>
      </c>
      <c r="D11" s="32">
        <v>1</v>
      </c>
      <c r="E11" s="213">
        <f>+VLOOKUP(B11,Base!$A$1:$E$2346,5,FALSE)</f>
        <v>19020.867109133123</v>
      </c>
      <c r="F11" s="159">
        <v>1</v>
      </c>
      <c r="G11" s="213">
        <f t="shared" si="0"/>
        <v>19020.867109133123</v>
      </c>
      <c r="H11" s="79">
        <v>1</v>
      </c>
      <c r="K11">
        <f t="shared" si="2"/>
        <v>3562185</v>
      </c>
      <c r="L11" t="str">
        <f t="shared" si="3"/>
        <v>SD BUNDLE HERD  201-500</v>
      </c>
      <c r="M11">
        <f t="shared" si="4"/>
        <v>1</v>
      </c>
      <c r="N11" s="87">
        <f t="shared" si="5"/>
        <v>19020.867109133123</v>
      </c>
      <c r="O11" s="87">
        <f t="shared" si="6"/>
        <v>1</v>
      </c>
      <c r="P11" s="87">
        <f t="shared" si="7"/>
        <v>19020.867109133123</v>
      </c>
    </row>
    <row r="12" spans="2:16" x14ac:dyDescent="0.25">
      <c r="B12" s="264">
        <v>3562186</v>
      </c>
      <c r="C12" s="264" t="s">
        <v>2075</v>
      </c>
      <c r="D12" s="32">
        <v>1</v>
      </c>
      <c r="E12" s="213">
        <f>+VLOOKUP(B12,Base!$A$1:$E$2346,5,FALSE)</f>
        <v>17393.802799196979</v>
      </c>
      <c r="F12" s="159">
        <v>1</v>
      </c>
      <c r="G12" s="213">
        <f t="shared" si="0"/>
        <v>17393.802799196979</v>
      </c>
      <c r="H12" s="79"/>
      <c r="K12" t="str">
        <f t="shared" si="2"/>
        <v/>
      </c>
      <c r="L12" t="str">
        <f t="shared" si="3"/>
        <v/>
      </c>
      <c r="M12" t="str">
        <f t="shared" si="4"/>
        <v/>
      </c>
      <c r="N12" s="87" t="str">
        <f t="shared" si="5"/>
        <v/>
      </c>
      <c r="O12" s="87" t="str">
        <f t="shared" si="6"/>
        <v/>
      </c>
      <c r="P12" s="87" t="str">
        <f t="shared" si="7"/>
        <v/>
      </c>
    </row>
    <row r="13" spans="2:16" x14ac:dyDescent="0.25">
      <c r="B13" s="32"/>
      <c r="C13" s="32"/>
      <c r="D13" s="32"/>
      <c r="E13" s="32"/>
      <c r="F13" s="159"/>
      <c r="G13" s="109"/>
      <c r="H13" s="79"/>
      <c r="K13" t="str">
        <f t="shared" si="2"/>
        <v/>
      </c>
      <c r="L13" t="str">
        <f t="shared" si="3"/>
        <v/>
      </c>
      <c r="M13" t="str">
        <f t="shared" si="4"/>
        <v/>
      </c>
      <c r="N13" s="87" t="str">
        <f t="shared" si="5"/>
        <v/>
      </c>
      <c r="O13" s="87" t="str">
        <f t="shared" si="6"/>
        <v/>
      </c>
      <c r="P13" s="87" t="str">
        <f t="shared" si="7"/>
        <v/>
      </c>
    </row>
    <row r="14" spans="2:16" x14ac:dyDescent="0.25">
      <c r="B14" s="32">
        <v>11</v>
      </c>
      <c r="C14" s="32">
        <v>111</v>
      </c>
      <c r="D14" s="32">
        <v>111</v>
      </c>
      <c r="E14" s="32">
        <v>111</v>
      </c>
      <c r="F14" s="159">
        <v>11</v>
      </c>
      <c r="G14" s="109">
        <f>E14/D14*F14</f>
        <v>11</v>
      </c>
    </row>
    <row r="16" spans="2:16" ht="15.75" thickBot="1" x14ac:dyDescent="0.3"/>
    <row r="17" spans="2:16" x14ac:dyDescent="0.25">
      <c r="B17" s="65" t="s">
        <v>1838</v>
      </c>
      <c r="C17" s="477" t="s">
        <v>1839</v>
      </c>
      <c r="D17" s="477"/>
      <c r="E17" s="477"/>
      <c r="F17" s="477"/>
      <c r="G17" s="478"/>
    </row>
    <row r="18" spans="2:16" ht="15.75" thickBot="1" x14ac:dyDescent="0.3">
      <c r="B18" s="1" t="s">
        <v>0</v>
      </c>
      <c r="C18" s="463" t="s">
        <v>1875</v>
      </c>
      <c r="D18" s="463"/>
      <c r="E18" s="463"/>
      <c r="F18" s="463"/>
      <c r="G18" s="464"/>
    </row>
    <row r="19" spans="2:16" x14ac:dyDescent="0.25">
      <c r="B19" s="135">
        <v>3560722</v>
      </c>
      <c r="C19" s="136" t="s">
        <v>2042</v>
      </c>
      <c r="D19" s="137">
        <v>1</v>
      </c>
      <c r="E19" s="128">
        <v>8941.36</v>
      </c>
      <c r="F19" s="137">
        <v>1</v>
      </c>
      <c r="G19" s="138">
        <f>E19/D19*F19</f>
        <v>8941.36</v>
      </c>
      <c r="K19">
        <v>3560722</v>
      </c>
      <c r="L19" t="s">
        <v>2042</v>
      </c>
      <c r="M19">
        <v>1</v>
      </c>
      <c r="N19">
        <v>8941.36</v>
      </c>
      <c r="O19">
        <v>1</v>
      </c>
      <c r="P19">
        <v>8941.36</v>
      </c>
    </row>
    <row r="20" spans="2:16" x14ac:dyDescent="0.25">
      <c r="B20" s="139">
        <v>3559219</v>
      </c>
      <c r="C20" s="124" t="s">
        <v>2043</v>
      </c>
      <c r="D20" s="140">
        <v>1</v>
      </c>
      <c r="E20" s="125">
        <v>0</v>
      </c>
      <c r="F20" s="126">
        <v>2</v>
      </c>
      <c r="G20" s="127">
        <f>E20/D20*F20</f>
        <v>0</v>
      </c>
      <c r="K20">
        <v>3559219</v>
      </c>
      <c r="L20" t="s">
        <v>2043</v>
      </c>
      <c r="M20">
        <v>1</v>
      </c>
      <c r="N20">
        <v>0</v>
      </c>
      <c r="O20">
        <v>2</v>
      </c>
      <c r="P20">
        <v>0</v>
      </c>
    </row>
    <row r="21" spans="2:16" x14ac:dyDescent="0.25">
      <c r="B21" s="139">
        <v>3559221</v>
      </c>
      <c r="C21" s="124" t="s">
        <v>1612</v>
      </c>
      <c r="D21" s="140">
        <v>1</v>
      </c>
      <c r="E21" s="125">
        <v>0</v>
      </c>
      <c r="F21" s="126">
        <v>1</v>
      </c>
      <c r="G21" s="127">
        <f t="shared" ref="G21:G27" si="8">E21/D21*F21</f>
        <v>0</v>
      </c>
      <c r="K21">
        <v>3559221</v>
      </c>
      <c r="L21" t="s">
        <v>1612</v>
      </c>
      <c r="M21">
        <v>1</v>
      </c>
      <c r="N21">
        <v>0</v>
      </c>
      <c r="O21">
        <v>1</v>
      </c>
      <c r="P21">
        <v>0</v>
      </c>
    </row>
    <row r="22" spans="2:16" x14ac:dyDescent="0.25">
      <c r="B22" s="139">
        <v>8581481</v>
      </c>
      <c r="C22" s="124" t="s">
        <v>2044</v>
      </c>
      <c r="D22" s="140">
        <v>1</v>
      </c>
      <c r="E22" s="125">
        <v>0</v>
      </c>
      <c r="F22" s="126">
        <v>4</v>
      </c>
      <c r="G22" s="127">
        <f t="shared" si="8"/>
        <v>0</v>
      </c>
      <c r="K22">
        <v>8581481</v>
      </c>
      <c r="L22" t="s">
        <v>2044</v>
      </c>
      <c r="M22">
        <v>1</v>
      </c>
      <c r="N22">
        <v>0</v>
      </c>
      <c r="O22">
        <v>4</v>
      </c>
      <c r="P22">
        <v>0</v>
      </c>
    </row>
    <row r="23" spans="2:16" x14ac:dyDescent="0.25">
      <c r="B23" s="139">
        <v>3559220</v>
      </c>
      <c r="C23" s="124" t="s">
        <v>2045</v>
      </c>
      <c r="D23" s="140">
        <v>1</v>
      </c>
      <c r="E23" s="125">
        <v>0</v>
      </c>
      <c r="F23" s="126">
        <v>4</v>
      </c>
      <c r="G23" s="127">
        <f t="shared" si="8"/>
        <v>0</v>
      </c>
      <c r="K23">
        <v>3559220</v>
      </c>
      <c r="L23" t="s">
        <v>2045</v>
      </c>
      <c r="M23">
        <v>1</v>
      </c>
      <c r="N23">
        <v>0</v>
      </c>
      <c r="O23">
        <v>4</v>
      </c>
      <c r="P23">
        <v>0</v>
      </c>
    </row>
    <row r="24" spans="2:16" x14ac:dyDescent="0.25">
      <c r="B24" s="139">
        <v>3559227</v>
      </c>
      <c r="C24" s="124" t="s">
        <v>2046</v>
      </c>
      <c r="D24" s="140">
        <v>1</v>
      </c>
      <c r="E24" s="125">
        <v>0</v>
      </c>
      <c r="F24" s="126">
        <v>2</v>
      </c>
      <c r="G24" s="127">
        <f t="shared" si="8"/>
        <v>0</v>
      </c>
      <c r="K24">
        <v>3559227</v>
      </c>
      <c r="L24" t="s">
        <v>2046</v>
      </c>
      <c r="M24">
        <v>1</v>
      </c>
      <c r="N24">
        <v>0</v>
      </c>
      <c r="O24">
        <v>2</v>
      </c>
      <c r="P24">
        <v>0</v>
      </c>
    </row>
    <row r="25" spans="2:16" x14ac:dyDescent="0.25">
      <c r="B25" s="2">
        <v>3558754</v>
      </c>
      <c r="C25" s="107" t="s">
        <v>1608</v>
      </c>
      <c r="D25" s="141">
        <v>1</v>
      </c>
      <c r="E25" s="108">
        <v>261.93</v>
      </c>
      <c r="F25" s="30">
        <v>1</v>
      </c>
      <c r="G25" s="109">
        <f t="shared" si="8"/>
        <v>261.93</v>
      </c>
      <c r="K25">
        <v>3558754</v>
      </c>
      <c r="L25" t="s">
        <v>1608</v>
      </c>
      <c r="M25">
        <v>1</v>
      </c>
      <c r="N25">
        <v>261.93</v>
      </c>
      <c r="O25">
        <v>1</v>
      </c>
      <c r="P25">
        <v>261.93</v>
      </c>
    </row>
    <row r="26" spans="2:16" x14ac:dyDescent="0.25">
      <c r="B26" s="2">
        <v>3559265</v>
      </c>
      <c r="C26" s="107" t="s">
        <v>1614</v>
      </c>
      <c r="D26" s="141">
        <v>1</v>
      </c>
      <c r="E26" s="108">
        <v>243.01</v>
      </c>
      <c r="F26" s="30">
        <v>1</v>
      </c>
      <c r="G26" s="109">
        <f t="shared" si="8"/>
        <v>243.01</v>
      </c>
      <c r="K26">
        <v>3559265</v>
      </c>
      <c r="L26" t="s">
        <v>1614</v>
      </c>
      <c r="M26">
        <v>1</v>
      </c>
      <c r="N26">
        <v>243.01</v>
      </c>
      <c r="O26">
        <v>1</v>
      </c>
      <c r="P26">
        <v>243.01</v>
      </c>
    </row>
    <row r="27" spans="2:16" x14ac:dyDescent="0.25">
      <c r="B27" s="2">
        <v>3558092</v>
      </c>
      <c r="C27" s="107" t="s">
        <v>1601</v>
      </c>
      <c r="D27" s="141">
        <v>1</v>
      </c>
      <c r="E27" s="108">
        <v>2.75</v>
      </c>
      <c r="F27" s="30">
        <v>0</v>
      </c>
      <c r="G27" s="109">
        <f t="shared" si="8"/>
        <v>0</v>
      </c>
      <c r="K27">
        <v>3558092</v>
      </c>
      <c r="L27" t="s">
        <v>1601</v>
      </c>
      <c r="M27">
        <v>1</v>
      </c>
      <c r="N27">
        <v>2.75</v>
      </c>
      <c r="O27">
        <v>0</v>
      </c>
      <c r="P27">
        <v>0</v>
      </c>
    </row>
    <row r="28" spans="2:16" x14ac:dyDescent="0.25">
      <c r="B28" s="95"/>
      <c r="C28" s="96"/>
      <c r="D28" s="95"/>
      <c r="E28" s="92"/>
      <c r="F28" s="97"/>
      <c r="G28" s="92"/>
    </row>
    <row r="29" spans="2:16" ht="15.75" thickBot="1" x14ac:dyDescent="0.3">
      <c r="B29" s="64"/>
      <c r="C29" s="64"/>
      <c r="D29" s="64"/>
      <c r="E29" s="64"/>
      <c r="F29" s="64"/>
      <c r="G29" s="64"/>
    </row>
    <row r="30" spans="2:16" x14ac:dyDescent="0.25">
      <c r="B30" s="65" t="s">
        <v>1838</v>
      </c>
      <c r="C30" s="477" t="s">
        <v>1839</v>
      </c>
      <c r="D30" s="477"/>
      <c r="E30" s="477"/>
      <c r="F30" s="477"/>
      <c r="G30" s="478"/>
    </row>
    <row r="31" spans="2:16" ht="15.75" thickBot="1" x14ac:dyDescent="0.3">
      <c r="B31" s="1" t="s">
        <v>0</v>
      </c>
      <c r="C31" s="463" t="s">
        <v>1876</v>
      </c>
      <c r="D31" s="463"/>
      <c r="E31" s="463"/>
      <c r="F31" s="463"/>
      <c r="G31" s="464"/>
    </row>
    <row r="32" spans="2:16" x14ac:dyDescent="0.25">
      <c r="B32" s="121">
        <v>3560719</v>
      </c>
      <c r="C32" s="142" t="s">
        <v>2202</v>
      </c>
      <c r="D32" s="143">
        <v>1</v>
      </c>
      <c r="E32" s="144">
        <v>8368.7000000000007</v>
      </c>
      <c r="F32" s="122">
        <v>1</v>
      </c>
      <c r="G32" s="123">
        <f>E32/D32*F32</f>
        <v>8368.7000000000007</v>
      </c>
      <c r="P32"/>
    </row>
    <row r="33" spans="2:16" x14ac:dyDescent="0.25">
      <c r="B33" s="139">
        <v>8507192</v>
      </c>
      <c r="C33" s="145" t="s">
        <v>2203</v>
      </c>
      <c r="D33" s="146">
        <v>1</v>
      </c>
      <c r="E33" s="147">
        <v>0</v>
      </c>
      <c r="F33" s="126">
        <v>1</v>
      </c>
      <c r="G33" s="127">
        <f>E33/D33*F33</f>
        <v>0</v>
      </c>
      <c r="P33"/>
    </row>
    <row r="34" spans="2:16" x14ac:dyDescent="0.25">
      <c r="B34" s="139">
        <v>3559219</v>
      </c>
      <c r="C34" s="145" t="s">
        <v>2043</v>
      </c>
      <c r="D34" s="146">
        <v>1</v>
      </c>
      <c r="E34" s="147">
        <v>0</v>
      </c>
      <c r="F34" s="126">
        <v>1</v>
      </c>
      <c r="G34" s="127">
        <f t="shared" ref="G34:G43" si="9">E34/D34*F34</f>
        <v>0</v>
      </c>
      <c r="P34"/>
    </row>
    <row r="35" spans="2:16" x14ac:dyDescent="0.25">
      <c r="B35" s="139">
        <v>8581481</v>
      </c>
      <c r="C35" s="145" t="s">
        <v>2044</v>
      </c>
      <c r="D35" s="146">
        <v>1</v>
      </c>
      <c r="E35" s="147">
        <v>0</v>
      </c>
      <c r="F35" s="126">
        <v>2</v>
      </c>
      <c r="G35" s="127">
        <f t="shared" si="9"/>
        <v>0</v>
      </c>
      <c r="P35"/>
    </row>
    <row r="36" spans="2:16" x14ac:dyDescent="0.25">
      <c r="B36" s="139">
        <v>3559220</v>
      </c>
      <c r="C36" s="145" t="s">
        <v>2045</v>
      </c>
      <c r="D36" s="146">
        <v>1</v>
      </c>
      <c r="E36" s="147">
        <v>0</v>
      </c>
      <c r="F36" s="126">
        <v>2</v>
      </c>
      <c r="G36" s="127">
        <f t="shared" si="9"/>
        <v>0</v>
      </c>
      <c r="P36"/>
    </row>
    <row r="37" spans="2:16" x14ac:dyDescent="0.25">
      <c r="B37" s="139">
        <v>3559223</v>
      </c>
      <c r="C37" s="145" t="s">
        <v>2204</v>
      </c>
      <c r="D37" s="146">
        <v>1</v>
      </c>
      <c r="E37" s="147">
        <v>0</v>
      </c>
      <c r="F37" s="126">
        <v>1</v>
      </c>
      <c r="G37" s="127">
        <f t="shared" si="9"/>
        <v>0</v>
      </c>
      <c r="P37"/>
    </row>
    <row r="38" spans="2:16" x14ac:dyDescent="0.25">
      <c r="B38" s="2">
        <v>3559221</v>
      </c>
      <c r="C38" s="16" t="s">
        <v>1612</v>
      </c>
      <c r="D38" s="148">
        <v>1</v>
      </c>
      <c r="E38" s="149">
        <v>448.87</v>
      </c>
      <c r="F38" s="30">
        <v>1</v>
      </c>
      <c r="G38" s="109">
        <f t="shared" si="9"/>
        <v>448.87</v>
      </c>
      <c r="P38"/>
    </row>
    <row r="39" spans="2:16" x14ac:dyDescent="0.25">
      <c r="B39" s="2">
        <v>3554115</v>
      </c>
      <c r="C39" s="16" t="s">
        <v>93</v>
      </c>
      <c r="D39" s="141">
        <v>1</v>
      </c>
      <c r="E39" s="149">
        <v>26.54</v>
      </c>
      <c r="F39" s="30">
        <v>1</v>
      </c>
      <c r="G39" s="109">
        <f t="shared" si="9"/>
        <v>26.54</v>
      </c>
      <c r="P39"/>
    </row>
    <row r="40" spans="2:16" x14ac:dyDescent="0.25">
      <c r="B40" s="2">
        <v>8519183</v>
      </c>
      <c r="C40" s="16" t="s">
        <v>437</v>
      </c>
      <c r="D40" s="141">
        <v>1</v>
      </c>
      <c r="E40" s="149">
        <v>0.78</v>
      </c>
      <c r="F40" s="30">
        <v>1</v>
      </c>
      <c r="G40" s="109">
        <f t="shared" si="9"/>
        <v>0.78</v>
      </c>
      <c r="P40"/>
    </row>
    <row r="41" spans="2:16" x14ac:dyDescent="0.25">
      <c r="B41" s="2">
        <v>3558754</v>
      </c>
      <c r="C41" s="16" t="s">
        <v>1608</v>
      </c>
      <c r="D41" s="141">
        <v>1</v>
      </c>
      <c r="E41" s="149">
        <v>261.93</v>
      </c>
      <c r="F41" s="30">
        <v>1</v>
      </c>
      <c r="G41" s="109">
        <f t="shared" si="9"/>
        <v>261.93</v>
      </c>
      <c r="P41"/>
    </row>
    <row r="42" spans="2:16" x14ac:dyDescent="0.25">
      <c r="B42" s="2">
        <v>3559265</v>
      </c>
      <c r="C42" s="16" t="s">
        <v>1614</v>
      </c>
      <c r="D42" s="141">
        <v>1</v>
      </c>
      <c r="E42" s="149">
        <v>243.01</v>
      </c>
      <c r="F42" s="30">
        <v>1</v>
      </c>
      <c r="G42" s="109">
        <f t="shared" si="9"/>
        <v>243.01</v>
      </c>
      <c r="P42"/>
    </row>
    <row r="43" spans="2:16" x14ac:dyDescent="0.25">
      <c r="B43" s="2">
        <v>3558092</v>
      </c>
      <c r="C43" s="16" t="s">
        <v>1601</v>
      </c>
      <c r="D43" s="141">
        <v>1</v>
      </c>
      <c r="E43" s="149">
        <v>2.75</v>
      </c>
      <c r="F43" s="30">
        <v>1</v>
      </c>
      <c r="G43" s="109">
        <f t="shared" si="9"/>
        <v>2.75</v>
      </c>
      <c r="P43"/>
    </row>
    <row r="44" spans="2:16" ht="15.75" thickBot="1" x14ac:dyDescent="0.3">
      <c r="B44" s="95"/>
      <c r="C44" s="96"/>
      <c r="D44" s="95"/>
      <c r="E44" s="92"/>
      <c r="F44" s="97"/>
      <c r="G44" s="92"/>
    </row>
    <row r="45" spans="2:16" x14ac:dyDescent="0.25">
      <c r="B45" s="65" t="s">
        <v>1838</v>
      </c>
      <c r="C45" s="477" t="s">
        <v>1839</v>
      </c>
      <c r="D45" s="477"/>
      <c r="E45" s="477"/>
      <c r="F45" s="477"/>
      <c r="G45" s="478"/>
    </row>
    <row r="46" spans="2:16" ht="15.75" thickBot="1" x14ac:dyDescent="0.3">
      <c r="B46" s="158" t="s">
        <v>0</v>
      </c>
      <c r="C46" s="463" t="s">
        <v>1882</v>
      </c>
      <c r="D46" s="463"/>
      <c r="E46" s="463"/>
      <c r="F46" s="463"/>
      <c r="G46" s="464"/>
    </row>
    <row r="47" spans="2:16" x14ac:dyDescent="0.25">
      <c r="B47" s="31">
        <v>3560720</v>
      </c>
      <c r="C47" s="142" t="s">
        <v>2205</v>
      </c>
      <c r="D47" s="143">
        <v>1</v>
      </c>
      <c r="E47" s="144">
        <v>11580.33</v>
      </c>
      <c r="F47" s="122">
        <v>1</v>
      </c>
      <c r="G47" s="123">
        <f>E47/D47*F47</f>
        <v>11580.33</v>
      </c>
      <c r="P47"/>
    </row>
    <row r="48" spans="2:16" x14ac:dyDescent="0.25">
      <c r="B48" s="139">
        <v>8507192</v>
      </c>
      <c r="C48" s="145" t="s">
        <v>2203</v>
      </c>
      <c r="D48" s="146">
        <v>1</v>
      </c>
      <c r="E48" s="147">
        <v>0</v>
      </c>
      <c r="F48" s="126">
        <v>1</v>
      </c>
      <c r="G48" s="127">
        <f>E48/D48*F48</f>
        <v>0</v>
      </c>
      <c r="P48"/>
    </row>
    <row r="49" spans="2:16" x14ac:dyDescent="0.25">
      <c r="B49" s="139">
        <v>3559219</v>
      </c>
      <c r="C49" s="145" t="s">
        <v>2043</v>
      </c>
      <c r="D49" s="146">
        <v>1</v>
      </c>
      <c r="E49" s="147">
        <v>0</v>
      </c>
      <c r="F49" s="126">
        <v>1</v>
      </c>
      <c r="G49" s="127">
        <f t="shared" ref="G49:G58" si="10">E49/D49*F49</f>
        <v>0</v>
      </c>
      <c r="P49"/>
    </row>
    <row r="50" spans="2:16" x14ac:dyDescent="0.25">
      <c r="B50" s="139">
        <v>8581481</v>
      </c>
      <c r="C50" s="145" t="s">
        <v>2044</v>
      </c>
      <c r="D50" s="146">
        <v>1</v>
      </c>
      <c r="E50" s="147">
        <v>0</v>
      </c>
      <c r="F50" s="126">
        <v>2</v>
      </c>
      <c r="G50" s="127">
        <f t="shared" si="10"/>
        <v>0</v>
      </c>
      <c r="P50"/>
    </row>
    <row r="51" spans="2:16" x14ac:dyDescent="0.25">
      <c r="B51" s="139">
        <v>3559220</v>
      </c>
      <c r="C51" s="145" t="s">
        <v>2045</v>
      </c>
      <c r="D51" s="146">
        <v>1</v>
      </c>
      <c r="E51" s="147">
        <v>0</v>
      </c>
      <c r="F51" s="126">
        <v>2</v>
      </c>
      <c r="G51" s="127">
        <f t="shared" si="10"/>
        <v>0</v>
      </c>
      <c r="P51"/>
    </row>
    <row r="52" spans="2:16" x14ac:dyDescent="0.25">
      <c r="B52" s="139">
        <v>3559223</v>
      </c>
      <c r="C52" s="145" t="s">
        <v>2204</v>
      </c>
      <c r="D52" s="146">
        <v>1</v>
      </c>
      <c r="E52" s="147">
        <v>0</v>
      </c>
      <c r="F52" s="126">
        <v>1</v>
      </c>
      <c r="G52" s="127">
        <f t="shared" si="10"/>
        <v>0</v>
      </c>
      <c r="P52"/>
    </row>
    <row r="53" spans="2:16" x14ac:dyDescent="0.25">
      <c r="B53" s="2">
        <v>3559221</v>
      </c>
      <c r="C53" s="16" t="s">
        <v>1612</v>
      </c>
      <c r="D53" s="148">
        <v>1</v>
      </c>
      <c r="E53" s="149">
        <v>448.87</v>
      </c>
      <c r="F53" s="30">
        <v>1</v>
      </c>
      <c r="G53" s="109">
        <f t="shared" si="10"/>
        <v>448.87</v>
      </c>
      <c r="P53"/>
    </row>
    <row r="54" spans="2:16" x14ac:dyDescent="0.25">
      <c r="B54" s="2">
        <v>3554115</v>
      </c>
      <c r="C54" s="16" t="s">
        <v>93</v>
      </c>
      <c r="D54" s="141">
        <v>1</v>
      </c>
      <c r="E54" s="149">
        <v>26.54</v>
      </c>
      <c r="F54" s="30">
        <v>1</v>
      </c>
      <c r="G54" s="109">
        <f t="shared" si="10"/>
        <v>26.54</v>
      </c>
      <c r="P54"/>
    </row>
    <row r="55" spans="2:16" x14ac:dyDescent="0.25">
      <c r="B55" s="2">
        <v>8519183</v>
      </c>
      <c r="C55" s="16" t="s">
        <v>437</v>
      </c>
      <c r="D55" s="141">
        <v>1</v>
      </c>
      <c r="E55" s="149">
        <v>0.78</v>
      </c>
      <c r="F55" s="30">
        <v>1</v>
      </c>
      <c r="G55" s="109">
        <f t="shared" si="10"/>
        <v>0.78</v>
      </c>
      <c r="P55"/>
    </row>
    <row r="56" spans="2:16" x14ac:dyDescent="0.25">
      <c r="B56" s="2">
        <v>3558754</v>
      </c>
      <c r="C56" s="16" t="s">
        <v>1608</v>
      </c>
      <c r="D56" s="141">
        <v>1</v>
      </c>
      <c r="E56" s="149">
        <v>261.93</v>
      </c>
      <c r="F56" s="30">
        <v>1</v>
      </c>
      <c r="G56" s="109">
        <f t="shared" si="10"/>
        <v>261.93</v>
      </c>
      <c r="P56"/>
    </row>
    <row r="57" spans="2:16" x14ac:dyDescent="0.25">
      <c r="B57" s="2">
        <v>3559265</v>
      </c>
      <c r="C57" s="16" t="s">
        <v>1614</v>
      </c>
      <c r="D57" s="141">
        <v>1</v>
      </c>
      <c r="E57" s="149">
        <v>243.01</v>
      </c>
      <c r="F57" s="30">
        <v>1</v>
      </c>
      <c r="G57" s="109">
        <f t="shared" si="10"/>
        <v>243.01</v>
      </c>
      <c r="P57"/>
    </row>
    <row r="58" spans="2:16" x14ac:dyDescent="0.25">
      <c r="B58" s="2">
        <v>3558092</v>
      </c>
      <c r="C58" s="16" t="s">
        <v>1601</v>
      </c>
      <c r="D58" s="141">
        <v>1</v>
      </c>
      <c r="E58" s="149">
        <v>2.75</v>
      </c>
      <c r="F58" s="30">
        <v>1</v>
      </c>
      <c r="G58" s="109">
        <f t="shared" si="10"/>
        <v>2.75</v>
      </c>
      <c r="P58"/>
    </row>
  </sheetData>
  <protectedRanges>
    <protectedRange sqref="B7:C7" name="Range1"/>
    <protectedRange sqref="B8:B12" name="Range1_9"/>
    <protectedRange sqref="C8:C12" name="Range1_9_1"/>
  </protectedRanges>
  <mergeCells count="6">
    <mergeCell ref="C46:G46"/>
    <mergeCell ref="C17:G17"/>
    <mergeCell ref="C18:G18"/>
    <mergeCell ref="C30:G30"/>
    <mergeCell ref="C31:G31"/>
    <mergeCell ref="C45:G45"/>
  </mergeCells>
  <conditionalFormatting sqref="B8:B12">
    <cfRule type="duplicateValues" dxfId="23" priority="1"/>
  </conditionalFormatting>
  <hyperlinks>
    <hyperlink ref="I2" location="presu!A1" display="Presupuesto" xr:uid="{2D9D0D34-4EB3-4411-95C0-6A4445CB283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Option Button 1">
              <controlPr defaultSize="0" autoFill="0" autoLine="0" autoPict="0" macro="[0]!moveriso">
                <anchor moveWithCells="1">
                  <from>
                    <xdr:col>8</xdr:col>
                    <xdr:colOff>104775</xdr:colOff>
                    <xdr:row>18</xdr:row>
                    <xdr:rowOff>152400</xdr:rowOff>
                  </from>
                  <to>
                    <xdr:col>11</xdr:col>
                    <xdr:colOff>9525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Option Button 2">
              <controlPr defaultSize="0" autoFill="0" autoLine="0" autoPict="0" macro="[0]!limpiariso">
                <anchor moveWithCells="1">
                  <from>
                    <xdr:col>8</xdr:col>
                    <xdr:colOff>104775</xdr:colOff>
                    <xdr:row>21</xdr:row>
                    <xdr:rowOff>161925</xdr:rowOff>
                  </from>
                  <to>
                    <xdr:col>11</xdr:col>
                    <xdr:colOff>9525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Option Button 3">
              <controlPr defaultSize="0" autoFill="0" autoLine="0" autoPict="0" macro="[0]!moversingle">
                <anchor moveWithCells="1">
                  <from>
                    <xdr:col>8</xdr:col>
                    <xdr:colOff>104775</xdr:colOff>
                    <xdr:row>31</xdr:row>
                    <xdr:rowOff>152400</xdr:rowOff>
                  </from>
                  <to>
                    <xdr:col>11</xdr:col>
                    <xdr:colOff>9525</xdr:colOff>
                    <xdr:row>33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Option Button 4">
              <controlPr defaultSize="0" autoFill="0" autoLine="0" autoPict="0" macro="[0]!limpiarsingle">
                <anchor moveWithCells="1">
                  <from>
                    <xdr:col>8</xdr:col>
                    <xdr:colOff>104775</xdr:colOff>
                    <xdr:row>34</xdr:row>
                    <xdr:rowOff>161925</xdr:rowOff>
                  </from>
                  <to>
                    <xdr:col>11</xdr:col>
                    <xdr:colOff>9525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7" name="Option Button 7">
              <controlPr defaultSize="0" autoFill="0" autoLine="0" autoPict="0" macro="[0]!moverdual">
                <anchor moveWithCells="1">
                  <from>
                    <xdr:col>8</xdr:col>
                    <xdr:colOff>104775</xdr:colOff>
                    <xdr:row>46</xdr:row>
                    <xdr:rowOff>152400</xdr:rowOff>
                  </from>
                  <to>
                    <xdr:col>11</xdr:col>
                    <xdr:colOff>9525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Option Button 8">
              <controlPr defaultSize="0" autoFill="0" autoLine="0" autoPict="0" macro="[0]!limpiardual">
                <anchor moveWithCells="1">
                  <from>
                    <xdr:col>8</xdr:col>
                    <xdr:colOff>104775</xdr:colOff>
                    <xdr:row>49</xdr:row>
                    <xdr:rowOff>161925</xdr:rowOff>
                  </from>
                  <to>
                    <xdr:col>11</xdr:col>
                    <xdr:colOff>9525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9" name="Option Button 11">
              <controlPr defaultSize="0" autoFill="0" autoLine="0" autoPict="0" macro="[0]!llevarisopresu">
                <anchor moveWithCells="1">
                  <from>
                    <xdr:col>11</xdr:col>
                    <xdr:colOff>142875</xdr:colOff>
                    <xdr:row>2</xdr:row>
                    <xdr:rowOff>171450</xdr:rowOff>
                  </from>
                  <to>
                    <xdr:col>11</xdr:col>
                    <xdr:colOff>1533525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0" name="Option Button 12">
              <controlPr defaultSize="0" autoFill="0" autoLine="0" autoPict="0" macro="[0]!limpiartodoiso">
                <anchor moveWithCells="1">
                  <from>
                    <xdr:col>7</xdr:col>
                    <xdr:colOff>504825</xdr:colOff>
                    <xdr:row>3</xdr:row>
                    <xdr:rowOff>0</xdr:rowOff>
                  </from>
                  <to>
                    <xdr:col>10</xdr:col>
                    <xdr:colOff>352425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1" name="Option Button 14">
              <controlPr defaultSize="0" autoFill="0" autoLine="0" autoPict="0" macro="[0]!limpiarsdcontrol">
                <anchor moveWithCells="1">
                  <from>
                    <xdr:col>8</xdr:col>
                    <xdr:colOff>180975</xdr:colOff>
                    <xdr:row>7</xdr:row>
                    <xdr:rowOff>123825</xdr:rowOff>
                  </from>
                  <to>
                    <xdr:col>11</xdr:col>
                    <xdr:colOff>85725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6244-26DF-47CD-8AE0-27CD8E6301EA}">
  <sheetPr codeName="Sheet14"/>
  <dimension ref="A2:Q420"/>
  <sheetViews>
    <sheetView workbookViewId="0">
      <selection activeCell="L7" sqref="L7:Q36"/>
    </sheetView>
  </sheetViews>
  <sheetFormatPr baseColWidth="10" defaultColWidth="8.7109375" defaultRowHeight="15" x14ac:dyDescent="0.25"/>
  <cols>
    <col min="2" max="2" width="12.85546875" bestFit="1" customWidth="1"/>
    <col min="3" max="3" width="43.7109375" bestFit="1" customWidth="1"/>
    <col min="4" max="7" width="8.85546875" customWidth="1"/>
    <col min="12" max="12" width="11" bestFit="1" customWidth="1"/>
    <col min="13" max="13" width="37.85546875" bestFit="1" customWidth="1"/>
    <col min="14" max="14" width="1.85546875" bestFit="1" customWidth="1"/>
    <col min="15" max="15" width="9.85546875" bestFit="1" customWidth="1"/>
    <col min="16" max="16" width="4.42578125" bestFit="1" customWidth="1"/>
    <col min="17" max="17" width="9.85546875" bestFit="1" customWidth="1"/>
  </cols>
  <sheetData>
    <row r="2" spans="2:17" ht="21" x14ac:dyDescent="0.35">
      <c r="G2" s="156" t="s">
        <v>1879</v>
      </c>
    </row>
    <row r="4" spans="2:17" ht="15.75" thickBot="1" x14ac:dyDescent="0.3"/>
    <row r="5" spans="2:17" x14ac:dyDescent="0.25">
      <c r="B5" s="465" t="s">
        <v>2119</v>
      </c>
      <c r="C5" s="466"/>
      <c r="D5" s="466"/>
      <c r="E5" s="466"/>
      <c r="F5" s="466"/>
      <c r="G5" s="467"/>
      <c r="O5" s="56"/>
      <c r="P5" s="56"/>
      <c r="Q5" s="56"/>
    </row>
    <row r="6" spans="2:17" ht="16.5" thickBot="1" x14ac:dyDescent="0.3">
      <c r="B6" s="487"/>
      <c r="C6" s="488"/>
      <c r="D6" s="488"/>
      <c r="E6" s="488"/>
      <c r="F6" s="488"/>
      <c r="G6" s="489"/>
      <c r="H6" s="78" t="s">
        <v>1827</v>
      </c>
      <c r="L6" t="s">
        <v>1834</v>
      </c>
      <c r="M6" t="s">
        <v>1829</v>
      </c>
      <c r="N6" t="s">
        <v>1830</v>
      </c>
      <c r="O6" s="56" t="s">
        <v>1831</v>
      </c>
      <c r="P6" s="56" t="s">
        <v>1832</v>
      </c>
      <c r="Q6" s="56" t="s">
        <v>1833</v>
      </c>
    </row>
    <row r="7" spans="2:17" x14ac:dyDescent="0.25">
      <c r="B7" s="331" t="s">
        <v>2095</v>
      </c>
      <c r="C7" s="332" t="str">
        <f>+VLOOKUP(B7,Base!$A$1:$E$2346,2,FALSE)</f>
        <v>MR-S1 Stainless Basis (1 feed solid included)</v>
      </c>
      <c r="D7" s="333">
        <f>+VLOOKUP(B7,Base!$A$1:$E$2645,3,FALSE)</f>
        <v>1</v>
      </c>
      <c r="E7" s="334" t="e">
        <f>+VLOOKUP(B7,Base!$A$1:$E$2346,5,FALSE)</f>
        <v>#N/A</v>
      </c>
      <c r="F7" s="335">
        <v>1</v>
      </c>
      <c r="G7" s="336" t="e">
        <f>E7/D7*F7</f>
        <v>#N/A</v>
      </c>
      <c r="H7" s="337">
        <v>1</v>
      </c>
      <c r="L7" t="str">
        <f t="shared" ref="L7:O8" si="0">+IF($H7&lt;&gt;0,B7,"")</f>
        <v>010100100A</v>
      </c>
      <c r="M7" t="str">
        <f t="shared" si="0"/>
        <v>MR-S1 Stainless Basis (1 feed solid included)</v>
      </c>
      <c r="N7">
        <f t="shared" si="0"/>
        <v>1</v>
      </c>
      <c r="O7" s="56" t="e">
        <f t="shared" si="0"/>
        <v>#N/A</v>
      </c>
      <c r="P7" s="56">
        <f>IF(H7&lt;1,"",H7)</f>
        <v>1</v>
      </c>
      <c r="Q7" s="56" t="e">
        <f>IF(H7&lt;1,"",+P7*O7)</f>
        <v>#N/A</v>
      </c>
    </row>
    <row r="8" spans="2:17" ht="15.75" thickBot="1" x14ac:dyDescent="0.3">
      <c r="B8" s="338" t="s">
        <v>2096</v>
      </c>
      <c r="C8" s="339" t="str">
        <f>+VLOOKUP(B8,Base!$A$1:$E$2346,2,FALSE)</f>
        <v>MR-D1 Stainless Basis (1 feed solid included)</v>
      </c>
      <c r="D8" s="340">
        <f>+VLOOKUP(B8,Base!$A$1:$E$2845,3,FALSE)</f>
        <v>1</v>
      </c>
      <c r="E8" s="341" t="e">
        <f>+VLOOKUP(B8,Base!$A$1:$E$2346,5,FALSE)</f>
        <v>#N/A</v>
      </c>
      <c r="F8" s="342">
        <v>1</v>
      </c>
      <c r="G8" s="343" t="e">
        <f>E8/D8*F8</f>
        <v>#N/A</v>
      </c>
      <c r="H8" s="345"/>
      <c r="L8" t="str">
        <f t="shared" si="0"/>
        <v/>
      </c>
      <c r="M8" t="str">
        <f t="shared" si="0"/>
        <v/>
      </c>
      <c r="N8" t="str">
        <f t="shared" si="0"/>
        <v/>
      </c>
      <c r="O8" s="56" t="str">
        <f t="shared" si="0"/>
        <v/>
      </c>
      <c r="P8" s="56" t="str">
        <f>IF(H8&lt;1,"",H8)</f>
        <v/>
      </c>
      <c r="Q8" s="56" t="str">
        <f>IF(H8&lt;1,"",+P8*O8)</f>
        <v/>
      </c>
    </row>
    <row r="9" spans="2:17" x14ac:dyDescent="0.25">
      <c r="B9" s="80"/>
      <c r="C9" s="346"/>
      <c r="D9" s="347"/>
      <c r="E9" s="348"/>
      <c r="F9" s="97"/>
      <c r="G9" s="348"/>
      <c r="H9" s="80"/>
      <c r="O9" s="56"/>
      <c r="P9" s="56"/>
      <c r="Q9" s="56"/>
    </row>
    <row r="10" spans="2:17" x14ac:dyDescent="0.25">
      <c r="B10" s="80"/>
      <c r="C10" s="346"/>
      <c r="D10" s="347"/>
      <c r="E10" s="348"/>
      <c r="F10" s="97"/>
      <c r="G10" s="348"/>
      <c r="H10" s="80"/>
      <c r="O10" s="56"/>
      <c r="P10" s="56"/>
      <c r="Q10" s="56"/>
    </row>
    <row r="11" spans="2:17" x14ac:dyDescent="0.25">
      <c r="B11" s="80"/>
      <c r="C11" s="346"/>
      <c r="D11" s="347"/>
      <c r="E11" s="348"/>
      <c r="F11" s="97"/>
      <c r="G11" s="348"/>
      <c r="H11" s="80"/>
      <c r="O11" s="56"/>
      <c r="P11" s="56"/>
      <c r="Q11" s="56"/>
    </row>
    <row r="12" spans="2:17" ht="15.75" thickBot="1" x14ac:dyDescent="0.3">
      <c r="B12" s="80"/>
      <c r="C12" s="346"/>
      <c r="D12" s="347"/>
      <c r="E12" s="348"/>
      <c r="F12" s="97"/>
      <c r="G12" s="348"/>
      <c r="H12" s="80"/>
      <c r="O12" s="56"/>
      <c r="P12" s="56"/>
      <c r="Q12" s="56"/>
    </row>
    <row r="13" spans="2:17" x14ac:dyDescent="0.25">
      <c r="B13" s="331" t="s">
        <v>2097</v>
      </c>
      <c r="C13" s="332" t="str">
        <f>+VLOOKUP(B13,Base!$A$1:$E$2346,2,FALSE)</f>
        <v xml:space="preserve">Extra feed type Robot/aliment supplementaire  </v>
      </c>
      <c r="D13" s="333">
        <f>+VLOOKUP(B13,Base!$A$1:$E$2645,3,FALSE)</f>
        <v>1</v>
      </c>
      <c r="E13" s="334" t="e">
        <f>+VLOOKUP(B13,Base!$A$1:$E$2346,5,FALSE)</f>
        <v>#N/A</v>
      </c>
      <c r="F13" s="335">
        <v>1</v>
      </c>
      <c r="G13" s="336" t="e">
        <f>E13/D13*F13</f>
        <v>#N/A</v>
      </c>
      <c r="H13" s="79"/>
      <c r="L13" t="str">
        <f t="shared" ref="L13:L36" si="1">+IF($H13&lt;&gt;0,B13,"")</f>
        <v/>
      </c>
      <c r="M13" t="str">
        <f t="shared" ref="M13:M36" si="2">+IF($H13&lt;&gt;0,C13,"")</f>
        <v/>
      </c>
      <c r="N13" t="str">
        <f t="shared" ref="N13:N36" si="3">+IF($H13&lt;&gt;0,D13,"")</f>
        <v/>
      </c>
      <c r="O13" s="56" t="str">
        <f t="shared" ref="O13:O36" si="4">+IF($H13&lt;&gt;0,E13,"")</f>
        <v/>
      </c>
      <c r="P13" s="56" t="str">
        <f t="shared" ref="P13:P39" si="5">IF(H13&lt;1,"",H13)</f>
        <v/>
      </c>
      <c r="Q13" s="56" t="str">
        <f t="shared" ref="Q13:Q36" si="6">IF(H13&lt;1,"",+P13*O13)</f>
        <v/>
      </c>
    </row>
    <row r="14" spans="2:17" x14ac:dyDescent="0.25">
      <c r="B14" s="344" t="s">
        <v>2098</v>
      </c>
      <c r="C14" s="272" t="str">
        <f>+VLOOKUP(B14,Base!$A$1:$E$2346,2,FALSE)</f>
        <v xml:space="preserve">Liquid feed pump / aliment liquide </v>
      </c>
      <c r="D14" s="214">
        <f>+VLOOKUP(B14,Base!$A$1:$E$2645,3,FALSE)</f>
        <v>1</v>
      </c>
      <c r="E14" s="313" t="e">
        <f>+VLOOKUP(B14,Base!$A$1:$E$2346,5,FALSE)</f>
        <v>#N/A</v>
      </c>
      <c r="F14" s="30">
        <v>1</v>
      </c>
      <c r="G14" s="315" t="e">
        <f>E14/D14*F14</f>
        <v>#N/A</v>
      </c>
      <c r="H14" s="79">
        <v>1</v>
      </c>
      <c r="L14" t="str">
        <f t="shared" si="1"/>
        <v>060400300A</v>
      </c>
      <c r="M14" t="str">
        <f t="shared" si="2"/>
        <v xml:space="preserve">Liquid feed pump / aliment liquide </v>
      </c>
      <c r="N14">
        <f t="shared" si="3"/>
        <v>1</v>
      </c>
      <c r="O14" s="56" t="e">
        <f t="shared" si="4"/>
        <v>#N/A</v>
      </c>
      <c r="P14" s="56">
        <f t="shared" si="5"/>
        <v>1</v>
      </c>
      <c r="Q14" s="56" t="e">
        <f t="shared" si="6"/>
        <v>#N/A</v>
      </c>
    </row>
    <row r="15" spans="2:17" x14ac:dyDescent="0.25">
      <c r="B15" s="344" t="s">
        <v>2099</v>
      </c>
      <c r="C15" s="272" t="str">
        <f>+VLOOKUP(B15,Base!$A$1:$E$2346,2,FALSE)</f>
        <v>1 Bucket milk separation unit/ separation lait dans 1 direction  (par robot )</v>
      </c>
      <c r="D15" s="214">
        <f>+VLOOKUP(B15,Base!$A$1:$E$2645,3,FALSE)</f>
        <v>1</v>
      </c>
      <c r="E15" s="313" t="e">
        <f>+VLOOKUP(B15,Base!$A$1:$E$2346,5,FALSE)</f>
        <v>#N/A</v>
      </c>
      <c r="F15" s="30">
        <v>1</v>
      </c>
      <c r="G15" s="315" t="e">
        <f t="shared" ref="G15:G36" si="7">E15/D15*F15</f>
        <v>#N/A</v>
      </c>
      <c r="H15" s="79"/>
      <c r="L15" t="str">
        <f t="shared" si="1"/>
        <v/>
      </c>
      <c r="M15" t="str">
        <f t="shared" si="2"/>
        <v/>
      </c>
      <c r="N15" t="str">
        <f t="shared" si="3"/>
        <v/>
      </c>
      <c r="O15" s="56" t="str">
        <f t="shared" si="4"/>
        <v/>
      </c>
      <c r="P15" s="56" t="str">
        <f t="shared" si="5"/>
        <v/>
      </c>
      <c r="Q15" s="56" t="str">
        <f t="shared" si="6"/>
        <v/>
      </c>
    </row>
    <row r="16" spans="2:17" x14ac:dyDescent="0.25">
      <c r="B16" s="344" t="s">
        <v>2100</v>
      </c>
      <c r="C16" s="272" t="str">
        <f>+VLOOKUP(B16,Base!$A$1:$E$2346,2,FALSE)</f>
        <v>4 Bucket milk separation unit/separation lait dans 4 directions  (par stalle))</v>
      </c>
      <c r="D16" s="214">
        <f>+VLOOKUP(B16,Base!$A$1:$E$2645,3,FALSE)</f>
        <v>1</v>
      </c>
      <c r="E16" s="313" t="e">
        <f>+VLOOKUP(B16,Base!$A$1:$E$2346,5,FALSE)</f>
        <v>#N/A</v>
      </c>
      <c r="F16" s="30">
        <v>1</v>
      </c>
      <c r="G16" s="315" t="e">
        <f t="shared" si="7"/>
        <v>#N/A</v>
      </c>
      <c r="H16" s="79">
        <v>0</v>
      </c>
      <c r="L16" t="str">
        <f t="shared" si="1"/>
        <v/>
      </c>
      <c r="M16" t="str">
        <f t="shared" si="2"/>
        <v/>
      </c>
      <c r="N16" t="str">
        <f t="shared" si="3"/>
        <v/>
      </c>
      <c r="O16" s="56" t="str">
        <f t="shared" si="4"/>
        <v/>
      </c>
      <c r="P16" s="56" t="str">
        <f t="shared" si="5"/>
        <v/>
      </c>
      <c r="Q16" s="56" t="str">
        <f t="shared" si="6"/>
        <v/>
      </c>
    </row>
    <row r="17" spans="2:17" x14ac:dyDescent="0.25">
      <c r="B17" s="344" t="s">
        <v>2101</v>
      </c>
      <c r="C17" s="272" t="str">
        <f>+VLOOKUP(B17,Base!$A$1:$E$2346,2,FALSE)</f>
        <v>4 Bucket milk separation unit "de luxe"/separation du lait de luxe (tout inox)</v>
      </c>
      <c r="D17" s="214">
        <f>+VLOOKUP(B17,Base!$A$1:$E$2645,3,FALSE)</f>
        <v>1</v>
      </c>
      <c r="E17" s="313" t="e">
        <f>+VLOOKUP(B17,Base!$A$1:$E$2346,5,FALSE)</f>
        <v>#N/A</v>
      </c>
      <c r="F17" s="30">
        <v>1</v>
      </c>
      <c r="G17" s="315" t="e">
        <f t="shared" si="7"/>
        <v>#N/A</v>
      </c>
      <c r="H17" s="79">
        <v>0</v>
      </c>
      <c r="L17" t="str">
        <f t="shared" si="1"/>
        <v/>
      </c>
      <c r="M17" t="str">
        <f t="shared" si="2"/>
        <v/>
      </c>
      <c r="N17" t="str">
        <f t="shared" si="3"/>
        <v/>
      </c>
      <c r="O17" s="56" t="str">
        <f t="shared" si="4"/>
        <v/>
      </c>
      <c r="P17" s="56" t="str">
        <f t="shared" si="5"/>
        <v/>
      </c>
      <c r="Q17" s="56" t="str">
        <f t="shared" si="6"/>
        <v/>
      </c>
    </row>
    <row r="18" spans="2:17" x14ac:dyDescent="0.25">
      <c r="B18" s="344" t="s">
        <v>2102</v>
      </c>
      <c r="C18" s="272" t="str">
        <f>+VLOOKUP(B18,Base!$A$1:$E$2346,2,FALSE)</f>
        <v>out-of Robot feed station including 1 feed/station d'alim supple 1alim.</v>
      </c>
      <c r="D18" s="214">
        <f>+VLOOKUP(B18,Base!$A$1:$E$2645,3,FALSE)</f>
        <v>1</v>
      </c>
      <c r="E18" s="313" t="e">
        <f>+VLOOKUP(B18,Base!$A$1:$E$2346,5,FALSE)</f>
        <v>#N/A</v>
      </c>
      <c r="F18" s="30">
        <v>1</v>
      </c>
      <c r="G18" s="315" t="e">
        <f t="shared" si="7"/>
        <v>#N/A</v>
      </c>
      <c r="H18" s="79">
        <v>0</v>
      </c>
      <c r="L18" t="str">
        <f t="shared" si="1"/>
        <v/>
      </c>
      <c r="M18" t="str">
        <f t="shared" si="2"/>
        <v/>
      </c>
      <c r="N18" t="str">
        <f t="shared" si="3"/>
        <v/>
      </c>
      <c r="O18" s="56" t="str">
        <f t="shared" si="4"/>
        <v/>
      </c>
      <c r="P18" s="56" t="str">
        <f t="shared" si="5"/>
        <v/>
      </c>
      <c r="Q18" s="56" t="str">
        <f t="shared" si="6"/>
        <v/>
      </c>
    </row>
    <row r="19" spans="2:17" x14ac:dyDescent="0.25">
      <c r="B19" s="344" t="s">
        <v>2103</v>
      </c>
      <c r="C19" s="272" t="str">
        <f>+VLOOKUP(B19,Base!$A$1:$E$2346,2,FALSE)</f>
        <v>Extra feed type feed station/ aliment supplementaire par box</v>
      </c>
      <c r="D19" s="214">
        <f>+VLOOKUP(B19,Base!$A$1:$E$2645,3,FALSE)</f>
        <v>1</v>
      </c>
      <c r="E19" s="313" t="e">
        <f>+VLOOKUP(B19,Base!$A$1:$E$2346,5,FALSE)</f>
        <v>#N/A</v>
      </c>
      <c r="F19" s="30">
        <v>1</v>
      </c>
      <c r="G19" s="315" t="e">
        <f t="shared" si="7"/>
        <v>#N/A</v>
      </c>
      <c r="H19" s="79"/>
      <c r="L19" t="str">
        <f t="shared" si="1"/>
        <v/>
      </c>
      <c r="M19" t="str">
        <f t="shared" si="2"/>
        <v/>
      </c>
      <c r="N19" t="str">
        <f t="shared" si="3"/>
        <v/>
      </c>
      <c r="O19" s="56" t="str">
        <f t="shared" si="4"/>
        <v/>
      </c>
      <c r="P19" s="56" t="str">
        <f t="shared" si="5"/>
        <v/>
      </c>
      <c r="Q19" s="56" t="str">
        <f t="shared" si="6"/>
        <v/>
      </c>
    </row>
    <row r="20" spans="2:17" x14ac:dyDescent="0.25">
      <c r="B20" s="344" t="s">
        <v>2098</v>
      </c>
      <c r="C20" s="272" t="str">
        <f>+VLOOKUP(B20,Base!$A$1:$E$2346,2,FALSE)</f>
        <v xml:space="preserve">Liquid feed pump / aliment liquide </v>
      </c>
      <c r="D20" s="214">
        <f>+VLOOKUP(B20,Base!$A$1:$E$2645,3,FALSE)</f>
        <v>1</v>
      </c>
      <c r="E20" s="313" t="e">
        <f>+VLOOKUP(B20,Base!$A$1:$E$2346,5,FALSE)</f>
        <v>#N/A</v>
      </c>
      <c r="F20" s="30">
        <v>1</v>
      </c>
      <c r="G20" s="315" t="e">
        <f t="shared" si="7"/>
        <v>#N/A</v>
      </c>
      <c r="H20" s="79">
        <v>0</v>
      </c>
      <c r="L20" t="str">
        <f t="shared" si="1"/>
        <v/>
      </c>
      <c r="M20" t="str">
        <f t="shared" si="2"/>
        <v/>
      </c>
      <c r="N20" t="str">
        <f t="shared" si="3"/>
        <v/>
      </c>
      <c r="O20" s="56" t="str">
        <f t="shared" si="4"/>
        <v/>
      </c>
      <c r="P20" s="56" t="str">
        <f t="shared" si="5"/>
        <v/>
      </c>
      <c r="Q20" s="56" t="str">
        <f t="shared" si="6"/>
        <v/>
      </c>
    </row>
    <row r="21" spans="2:17" x14ac:dyDescent="0.25">
      <c r="B21" s="344" t="s">
        <v>2103</v>
      </c>
      <c r="C21" s="272" t="str">
        <f>+VLOOKUP(B21,Base!$A$1:$E$2346,2,FALSE)</f>
        <v>Extra feed type feed station/ aliment supplementaire par box</v>
      </c>
      <c r="D21" s="214">
        <f>+VLOOKUP(B21,Base!$A$1:$E$2645,3,FALSE)</f>
        <v>1</v>
      </c>
      <c r="E21" s="313" t="e">
        <f>+VLOOKUP(B21,Base!$A$1:$E$2346,5,FALSE)</f>
        <v>#N/A</v>
      </c>
      <c r="F21" s="30">
        <v>1</v>
      </c>
      <c r="G21" s="315" t="e">
        <f t="shared" si="7"/>
        <v>#N/A</v>
      </c>
      <c r="H21" s="79">
        <v>0</v>
      </c>
      <c r="L21" t="str">
        <f t="shared" si="1"/>
        <v/>
      </c>
      <c r="M21" t="str">
        <f t="shared" si="2"/>
        <v/>
      </c>
      <c r="N21" t="str">
        <f t="shared" si="3"/>
        <v/>
      </c>
      <c r="O21" s="56" t="str">
        <f t="shared" si="4"/>
        <v/>
      </c>
      <c r="P21" s="56" t="str">
        <f t="shared" si="5"/>
        <v/>
      </c>
      <c r="Q21" s="56" t="str">
        <f t="shared" si="6"/>
        <v/>
      </c>
    </row>
    <row r="22" spans="2:17" x14ac:dyDescent="0.25">
      <c r="B22" s="344" t="s">
        <v>2104</v>
      </c>
      <c r="C22" s="272" t="str">
        <f>+VLOOKUP(B22,Base!$A$1:$E$2346,2,FALSE)</f>
        <v>SA twin filter MR S1</v>
      </c>
      <c r="D22" s="214">
        <f>+VLOOKUP(B22,Base!$A$1:$E$2645,3,FALSE)</f>
        <v>1</v>
      </c>
      <c r="E22" s="313" t="e">
        <f>+VLOOKUP(B22,Base!$A$1:$E$2346,5,FALSE)</f>
        <v>#N/A</v>
      </c>
      <c r="F22" s="30">
        <v>1</v>
      </c>
      <c r="G22" s="315" t="e">
        <f t="shared" si="7"/>
        <v>#N/A</v>
      </c>
      <c r="H22" s="79">
        <v>0</v>
      </c>
      <c r="L22" t="str">
        <f t="shared" si="1"/>
        <v/>
      </c>
      <c r="M22" t="str">
        <f t="shared" si="2"/>
        <v/>
      </c>
      <c r="N22" t="str">
        <f t="shared" si="3"/>
        <v/>
      </c>
      <c r="O22" s="56" t="str">
        <f t="shared" si="4"/>
        <v/>
      </c>
      <c r="P22" s="56" t="str">
        <f t="shared" si="5"/>
        <v/>
      </c>
      <c r="Q22" s="56" t="str">
        <f t="shared" si="6"/>
        <v/>
      </c>
    </row>
    <row r="23" spans="2:17" x14ac:dyDescent="0.25">
      <c r="B23" s="344" t="s">
        <v>2105</v>
      </c>
      <c r="C23" s="272" t="str">
        <f>+VLOOKUP(B23,Base!$A$1:$E$2346,2,FALSE)</f>
        <v>SA twin filter MR d1</v>
      </c>
      <c r="D23" s="214">
        <f>+VLOOKUP(B23,Base!$A$1:$E$2645,3,FALSE)</f>
        <v>1</v>
      </c>
      <c r="E23" s="313" t="e">
        <f>+VLOOKUP(B23,Base!$A$1:$E$2346,5,FALSE)</f>
        <v>#N/A</v>
      </c>
      <c r="F23" s="30">
        <v>1</v>
      </c>
      <c r="G23" s="315" t="e">
        <f t="shared" si="7"/>
        <v>#N/A</v>
      </c>
      <c r="H23" s="79">
        <v>0</v>
      </c>
      <c r="L23" t="str">
        <f t="shared" si="1"/>
        <v/>
      </c>
      <c r="M23" t="str">
        <f t="shared" si="2"/>
        <v/>
      </c>
      <c r="N23" t="str">
        <f t="shared" si="3"/>
        <v/>
      </c>
      <c r="O23" s="56" t="str">
        <f t="shared" si="4"/>
        <v/>
      </c>
      <c r="P23" s="56" t="str">
        <f t="shared" si="5"/>
        <v/>
      </c>
      <c r="Q23" s="56" t="str">
        <f t="shared" si="6"/>
        <v/>
      </c>
    </row>
    <row r="24" spans="2:17" x14ac:dyDescent="0.25">
      <c r="B24" s="344" t="s">
        <v>2106</v>
      </c>
      <c r="C24" s="272" t="str">
        <f>+VLOOKUP(B24,Base!$A$1:$E$2346,2,FALSE)</f>
        <v>one-way gate at exit milking robot/porte anti retour sortie robot</v>
      </c>
      <c r="D24" s="214">
        <f>+VLOOKUP(B24,Base!$A$1:$E$2645,3,FALSE)</f>
        <v>1</v>
      </c>
      <c r="E24" s="313" t="e">
        <f>+VLOOKUP(B24,Base!$A$1:$E$2346,5,FALSE)</f>
        <v>#N/A</v>
      </c>
      <c r="F24" s="30">
        <v>1</v>
      </c>
      <c r="G24" s="315" t="e">
        <f t="shared" si="7"/>
        <v>#N/A</v>
      </c>
      <c r="H24" s="79">
        <v>2</v>
      </c>
      <c r="L24" t="str">
        <f t="shared" si="1"/>
        <v>050200220A</v>
      </c>
      <c r="M24" t="str">
        <f t="shared" si="2"/>
        <v>one-way gate at exit milking robot/porte anti retour sortie robot</v>
      </c>
      <c r="N24">
        <f t="shared" si="3"/>
        <v>1</v>
      </c>
      <c r="O24" s="56" t="e">
        <f t="shared" si="4"/>
        <v>#N/A</v>
      </c>
      <c r="P24" s="56">
        <f t="shared" si="5"/>
        <v>2</v>
      </c>
      <c r="Q24" s="56" t="e">
        <f t="shared" si="6"/>
        <v>#N/A</v>
      </c>
    </row>
    <row r="25" spans="2:17" x14ac:dyDescent="0.25">
      <c r="B25" s="344" t="s">
        <v>2107</v>
      </c>
      <c r="C25" s="272" t="str">
        <f>+VLOOKUP(B25,Base!$A$1:$E$2346,2,FALSE)</f>
        <v>2-way grazing gate Base Lift/porte pature 2 directions gauche</v>
      </c>
      <c r="D25" s="214">
        <f>+VLOOKUP(B25,Base!$A$1:$E$2645,3,FALSE)</f>
        <v>1</v>
      </c>
      <c r="E25" s="313" t="e">
        <f>+VLOOKUP(B25,Base!$A$1:$E$2346,5,FALSE)</f>
        <v>#N/A</v>
      </c>
      <c r="F25" s="30">
        <v>1</v>
      </c>
      <c r="G25" s="315" t="e">
        <f t="shared" si="7"/>
        <v>#N/A</v>
      </c>
      <c r="H25" s="79">
        <v>0</v>
      </c>
      <c r="L25" t="str">
        <f t="shared" si="1"/>
        <v/>
      </c>
      <c r="M25" t="str">
        <f t="shared" si="2"/>
        <v/>
      </c>
      <c r="N25" t="str">
        <f t="shared" si="3"/>
        <v/>
      </c>
      <c r="O25" s="56" t="str">
        <f t="shared" si="4"/>
        <v/>
      </c>
      <c r="P25" s="56" t="str">
        <f t="shared" si="5"/>
        <v/>
      </c>
      <c r="Q25" s="56" t="str">
        <f t="shared" si="6"/>
        <v/>
      </c>
    </row>
    <row r="26" spans="2:17" x14ac:dyDescent="0.25">
      <c r="B26" s="344" t="s">
        <v>2108</v>
      </c>
      <c r="C26" s="272" t="str">
        <f>+VLOOKUP(B26,Base!$A$1:$E$2346,2,FALSE)</f>
        <v>2-way grazing gate Base right/ porte pature 2 directions doite</v>
      </c>
      <c r="D26" s="214">
        <f>+VLOOKUP(B26,Base!$A$1:$E$2645,3,FALSE)</f>
        <v>1</v>
      </c>
      <c r="E26" s="313" t="e">
        <f>+VLOOKUP(B26,Base!$A$1:$E$2346,5,FALSE)</f>
        <v>#N/A</v>
      </c>
      <c r="F26" s="30">
        <v>1</v>
      </c>
      <c r="G26" s="315" t="e">
        <f t="shared" si="7"/>
        <v>#N/A</v>
      </c>
      <c r="H26" s="79">
        <v>0</v>
      </c>
      <c r="L26" t="str">
        <f t="shared" si="1"/>
        <v/>
      </c>
      <c r="M26" t="str">
        <f t="shared" si="2"/>
        <v/>
      </c>
      <c r="N26" t="str">
        <f t="shared" si="3"/>
        <v/>
      </c>
      <c r="O26" s="56" t="str">
        <f t="shared" si="4"/>
        <v/>
      </c>
      <c r="P26" s="56" t="str">
        <f t="shared" si="5"/>
        <v/>
      </c>
      <c r="Q26" s="56" t="str">
        <f t="shared" si="6"/>
        <v/>
      </c>
    </row>
    <row r="27" spans="2:17" x14ac:dyDescent="0.25">
      <c r="B27" s="344" t="s">
        <v>2109</v>
      </c>
      <c r="C27" s="272" t="str">
        <f>+VLOOKUP(B27,Base!$A$1:$E$2346,2,FALSE)</f>
        <v xml:space="preserve">Selection sensor (straw pack sensor) / detecteur de selection </v>
      </c>
      <c r="D27" s="214">
        <f>+VLOOKUP(B27,Base!$A$1:$E$2645,3,FALSE)</f>
        <v>1</v>
      </c>
      <c r="E27" s="313" t="e">
        <f>+VLOOKUP(B27,Base!$A$1:$E$2346,5,FALSE)</f>
        <v>#N/A</v>
      </c>
      <c r="F27" s="30">
        <v>1</v>
      </c>
      <c r="G27" s="315" t="e">
        <f t="shared" si="7"/>
        <v>#N/A</v>
      </c>
      <c r="H27" s="79">
        <v>0</v>
      </c>
      <c r="L27" t="str">
        <f t="shared" si="1"/>
        <v/>
      </c>
      <c r="M27" t="str">
        <f t="shared" si="2"/>
        <v/>
      </c>
      <c r="N27" t="str">
        <f t="shared" si="3"/>
        <v/>
      </c>
      <c r="O27" s="56" t="str">
        <f t="shared" si="4"/>
        <v/>
      </c>
      <c r="P27" s="56" t="str">
        <f t="shared" si="5"/>
        <v/>
      </c>
      <c r="Q27" s="56" t="str">
        <f t="shared" si="6"/>
        <v/>
      </c>
    </row>
    <row r="28" spans="2:17" x14ac:dyDescent="0.25">
      <c r="B28" s="344" t="s">
        <v>2110</v>
      </c>
      <c r="C28" s="272" t="str">
        <f>+VLOOKUP(B28,Base!$A$1:$E$2346,2,FALSE)</f>
        <v>Extraselection door at exit milkingrobot/ porte de selection sortie robot (2 way sort gate robot)</v>
      </c>
      <c r="D28" s="214">
        <f>+VLOOKUP(B28,Base!$A$1:$E$2645,3,FALSE)</f>
        <v>1</v>
      </c>
      <c r="E28" s="313" t="e">
        <f>+VLOOKUP(B28,Base!$A$1:$E$2346,5,FALSE)</f>
        <v>#N/A</v>
      </c>
      <c r="F28" s="30">
        <v>1</v>
      </c>
      <c r="G28" s="315" t="e">
        <f t="shared" si="7"/>
        <v>#N/A</v>
      </c>
      <c r="H28" s="79">
        <v>2</v>
      </c>
      <c r="L28" t="str">
        <f t="shared" si="1"/>
        <v>050200230B</v>
      </c>
      <c r="M28" t="str">
        <f t="shared" si="2"/>
        <v>Extraselection door at exit milkingrobot/ porte de selection sortie robot (2 way sort gate robot)</v>
      </c>
      <c r="N28">
        <f t="shared" si="3"/>
        <v>1</v>
      </c>
      <c r="O28" s="56" t="e">
        <f t="shared" si="4"/>
        <v>#N/A</v>
      </c>
      <c r="P28" s="56">
        <f t="shared" si="5"/>
        <v>2</v>
      </c>
      <c r="Q28" s="56" t="e">
        <f t="shared" si="6"/>
        <v>#N/A</v>
      </c>
    </row>
    <row r="29" spans="2:17" x14ac:dyDescent="0.25">
      <c r="B29" s="344" t="s">
        <v>2111</v>
      </c>
      <c r="C29" s="272" t="str">
        <f>+VLOOKUP(B29,Base!$A$1:$E$2346,2,FALSE)</f>
        <v>Sampling shuttle (rack 60 X 32,5 - Spoon 30cc)</v>
      </c>
      <c r="D29" s="214">
        <f>+VLOOKUP(B29,Base!$A$1:$E$2645,3,FALSE)</f>
        <v>1</v>
      </c>
      <c r="E29" s="313" t="e">
        <f>+VLOOKUP(B29,Base!$A$1:$E$2346,5,FALSE)</f>
        <v>#N/A</v>
      </c>
      <c r="F29" s="30">
        <v>1</v>
      </c>
      <c r="G29" s="315" t="e">
        <f t="shared" si="7"/>
        <v>#N/A</v>
      </c>
      <c r="H29" s="79">
        <v>1</v>
      </c>
      <c r="L29" t="str">
        <f t="shared" si="1"/>
        <v>050200113A</v>
      </c>
      <c r="M29" t="str">
        <f t="shared" si="2"/>
        <v>Sampling shuttle (rack 60 X 32,5 - Spoon 30cc)</v>
      </c>
      <c r="N29">
        <f t="shared" si="3"/>
        <v>1</v>
      </c>
      <c r="O29" s="56" t="e">
        <f t="shared" si="4"/>
        <v>#N/A</v>
      </c>
      <c r="P29" s="56">
        <f t="shared" si="5"/>
        <v>1</v>
      </c>
      <c r="Q29" s="56" t="e">
        <f t="shared" si="6"/>
        <v>#N/A</v>
      </c>
    </row>
    <row r="30" spans="2:17" x14ac:dyDescent="0.25">
      <c r="B30" s="344" t="s">
        <v>2112</v>
      </c>
      <c r="C30" s="272" t="str">
        <f>+VLOOKUP(B30,Base!$A$1:$E$2346,2,FALSE)</f>
        <v>Sampling shuttle DE</v>
      </c>
      <c r="D30" s="214">
        <f>+VLOOKUP(B30,Base!$A$1:$E$2645,3,FALSE)</f>
        <v>1</v>
      </c>
      <c r="E30" s="313" t="e">
        <f>+VLOOKUP(B30,Base!$A$1:$E$2346,5,FALSE)</f>
        <v>#N/A</v>
      </c>
      <c r="F30" s="30">
        <v>1</v>
      </c>
      <c r="G30" s="315" t="e">
        <f t="shared" si="7"/>
        <v>#N/A</v>
      </c>
      <c r="H30" s="79">
        <v>0</v>
      </c>
      <c r="L30" t="str">
        <f t="shared" si="1"/>
        <v/>
      </c>
      <c r="M30" t="str">
        <f t="shared" si="2"/>
        <v/>
      </c>
      <c r="N30" t="str">
        <f t="shared" si="3"/>
        <v/>
      </c>
      <c r="O30" s="56" t="str">
        <f t="shared" si="4"/>
        <v/>
      </c>
      <c r="P30" s="56" t="str">
        <f t="shared" si="5"/>
        <v/>
      </c>
      <c r="Q30" s="56" t="str">
        <f t="shared" si="6"/>
        <v/>
      </c>
    </row>
    <row r="31" spans="2:17" x14ac:dyDescent="0.25">
      <c r="B31" s="344" t="s">
        <v>2113</v>
      </c>
      <c r="C31" s="272" t="str">
        <f>+VLOOKUP(B31,Base!$A$1:$E$2346,2,FALSE)</f>
        <v xml:space="preserve">Farmer starter set EU/kit de demarrage farmer </v>
      </c>
      <c r="D31" s="214">
        <f>+VLOOKUP(B31,Base!$A$1:$E$2645,3,FALSE)</f>
        <v>1</v>
      </c>
      <c r="E31" s="313" t="e">
        <f>+VLOOKUP(B31,Base!$A$1:$E$2346,5,FALSE)</f>
        <v>#N/A</v>
      </c>
      <c r="F31" s="30">
        <v>1</v>
      </c>
      <c r="G31" s="315" t="e">
        <f t="shared" si="7"/>
        <v>#N/A</v>
      </c>
      <c r="H31" s="79">
        <v>1</v>
      </c>
      <c r="L31" t="str">
        <f t="shared" si="1"/>
        <v>040400210A</v>
      </c>
      <c r="M31" t="str">
        <f t="shared" si="2"/>
        <v xml:space="preserve">Farmer starter set EU/kit de demarrage farmer </v>
      </c>
      <c r="N31">
        <f t="shared" si="3"/>
        <v>1</v>
      </c>
      <c r="O31" s="56" t="e">
        <f t="shared" si="4"/>
        <v>#N/A</v>
      </c>
      <c r="P31" s="56">
        <f t="shared" si="5"/>
        <v>1</v>
      </c>
      <c r="Q31" s="56" t="e">
        <f t="shared" si="6"/>
        <v>#N/A</v>
      </c>
    </row>
    <row r="32" spans="2:17" x14ac:dyDescent="0.25">
      <c r="B32" s="344" t="s">
        <v>2114</v>
      </c>
      <c r="C32" s="272" t="str">
        <f>+VLOOKUP(B32,Base!$A$1:$E$2346,2,FALSE)</f>
        <v>Stainless-steel entrance and exit gates/portes d'entree et sortie inox</v>
      </c>
      <c r="D32" s="214">
        <f>+VLOOKUP(B32,Base!$A$1:$E$2645,3,FALSE)</f>
        <v>1</v>
      </c>
      <c r="E32" s="313" t="e">
        <f>+VLOOKUP(B32,Base!$A$1:$E$2346,5,FALSE)</f>
        <v>#N/A</v>
      </c>
      <c r="F32" s="30">
        <v>1</v>
      </c>
      <c r="G32" s="315" t="e">
        <f t="shared" si="7"/>
        <v>#N/A</v>
      </c>
      <c r="H32" s="79">
        <v>0</v>
      </c>
      <c r="L32" t="str">
        <f t="shared" si="1"/>
        <v/>
      </c>
      <c r="M32" t="str">
        <f t="shared" si="2"/>
        <v/>
      </c>
      <c r="N32" t="str">
        <f t="shared" si="3"/>
        <v/>
      </c>
      <c r="O32" s="56" t="str">
        <f t="shared" si="4"/>
        <v/>
      </c>
      <c r="P32" s="56" t="str">
        <f t="shared" si="5"/>
        <v/>
      </c>
      <c r="Q32" s="56" t="str">
        <f t="shared" si="6"/>
        <v/>
      </c>
    </row>
    <row r="33" spans="2:17" x14ac:dyDescent="0.25">
      <c r="B33" s="344" t="s">
        <v>2115</v>
      </c>
      <c r="C33" s="272" t="str">
        <f>+VLOOKUP(B33,Base!$A$1:$E$2346,2,FALSE)</f>
        <v>Infra Red Heater EU120V/ chauffage infra rouge EU 120V</v>
      </c>
      <c r="D33" s="214">
        <f>+VLOOKUP(B33,Base!$A$1:$E$2645,3,FALSE)</f>
        <v>1</v>
      </c>
      <c r="E33" s="313" t="e">
        <f>+VLOOKUP(B33,Base!$A$1:$E$2346,5,FALSE)</f>
        <v>#N/A</v>
      </c>
      <c r="F33" s="30">
        <v>1</v>
      </c>
      <c r="G33" s="315" t="e">
        <f t="shared" si="7"/>
        <v>#N/A</v>
      </c>
      <c r="H33" s="79">
        <v>0</v>
      </c>
      <c r="L33" t="str">
        <f t="shared" si="1"/>
        <v/>
      </c>
      <c r="M33" t="str">
        <f t="shared" si="2"/>
        <v/>
      </c>
      <c r="N33" t="str">
        <f t="shared" si="3"/>
        <v/>
      </c>
      <c r="O33" s="56" t="str">
        <f t="shared" si="4"/>
        <v/>
      </c>
      <c r="P33" s="56" t="str">
        <f t="shared" si="5"/>
        <v/>
      </c>
      <c r="Q33" s="56" t="str">
        <f t="shared" si="6"/>
        <v/>
      </c>
    </row>
    <row r="34" spans="2:17" x14ac:dyDescent="0.25">
      <c r="B34" s="344" t="s">
        <v>2116</v>
      </c>
      <c r="C34" s="272" t="str">
        <f>+VLOOKUP(B34,Base!$A$1:$E$2346,2,FALSE)</f>
        <v>Milk Truck driver control box/camion ramassage contrôle box FR</v>
      </c>
      <c r="D34" s="214">
        <f>+VLOOKUP(B34,Base!$A$1:$E$2645,3,FALSE)</f>
        <v>1</v>
      </c>
      <c r="E34" s="313" t="e">
        <f>+VLOOKUP(B34,Base!$A$1:$E$2346,5,FALSE)</f>
        <v>#N/A</v>
      </c>
      <c r="F34" s="30">
        <v>1</v>
      </c>
      <c r="G34" s="315" t="e">
        <f t="shared" si="7"/>
        <v>#N/A</v>
      </c>
      <c r="H34" s="79">
        <v>1</v>
      </c>
      <c r="L34" t="str">
        <f t="shared" si="1"/>
        <v>050200300A</v>
      </c>
      <c r="M34" t="str">
        <f t="shared" si="2"/>
        <v>Milk Truck driver control box/camion ramassage contrôle box FR</v>
      </c>
      <c r="N34">
        <f t="shared" si="3"/>
        <v>1</v>
      </c>
      <c r="O34" s="56" t="e">
        <f t="shared" si="4"/>
        <v>#N/A</v>
      </c>
      <c r="P34" s="56">
        <f t="shared" si="5"/>
        <v>1</v>
      </c>
      <c r="Q34" s="56" t="e">
        <f t="shared" si="6"/>
        <v>#N/A</v>
      </c>
    </row>
    <row r="35" spans="2:17" x14ac:dyDescent="0.25">
      <c r="B35" s="344" t="s">
        <v>2117</v>
      </c>
      <c r="C35" s="272" t="str">
        <f>+VLOOKUP(B35,Base!$A$1:$E$2346,2,FALSE)</f>
        <v>Milk Truck driver control box/camion ramassage contrôle box CSA</v>
      </c>
      <c r="D35" s="214">
        <f>+VLOOKUP(B35,Base!$A$1:$E$2645,3,FALSE)</f>
        <v>1</v>
      </c>
      <c r="E35" s="313" t="e">
        <f>+VLOOKUP(B35,Base!$A$1:$E$2346,5,FALSE)</f>
        <v>#N/A</v>
      </c>
      <c r="F35" s="30">
        <v>1</v>
      </c>
      <c r="G35" s="315" t="e">
        <f t="shared" si="7"/>
        <v>#N/A</v>
      </c>
      <c r="H35" s="79">
        <v>0</v>
      </c>
      <c r="L35" t="str">
        <f t="shared" si="1"/>
        <v/>
      </c>
      <c r="M35" t="str">
        <f t="shared" si="2"/>
        <v/>
      </c>
      <c r="N35" t="str">
        <f t="shared" si="3"/>
        <v/>
      </c>
      <c r="O35" s="56" t="str">
        <f t="shared" si="4"/>
        <v/>
      </c>
      <c r="P35" s="56" t="str">
        <f t="shared" si="5"/>
        <v/>
      </c>
      <c r="Q35" s="56" t="str">
        <f t="shared" si="6"/>
        <v/>
      </c>
    </row>
    <row r="36" spans="2:17" ht="15.75" thickBot="1" x14ac:dyDescent="0.3">
      <c r="B36" s="349" t="s">
        <v>2118</v>
      </c>
      <c r="C36" s="339" t="str">
        <f>+VLOOKUP(B36,Base!$A$1:$E$2346,2,FALSE)</f>
        <v>Cell counter</v>
      </c>
      <c r="D36" s="350">
        <f>+VLOOKUP(B36,Base!$A$1:$E$2645,3,FALSE)</f>
        <v>1</v>
      </c>
      <c r="E36" s="351" t="e">
        <f>+VLOOKUP(B36,Base!$A$1:$E$2346,5,FALSE)</f>
        <v>#N/A</v>
      </c>
      <c r="F36" s="342">
        <v>1</v>
      </c>
      <c r="G36" s="343" t="e">
        <f t="shared" si="7"/>
        <v>#N/A</v>
      </c>
      <c r="H36" s="79">
        <v>1</v>
      </c>
      <c r="L36" t="str">
        <f t="shared" si="1"/>
        <v>070700500A</v>
      </c>
      <c r="M36" t="str">
        <f t="shared" si="2"/>
        <v>Cell counter</v>
      </c>
      <c r="N36">
        <f t="shared" si="3"/>
        <v>1</v>
      </c>
      <c r="O36" s="56" t="e">
        <f t="shared" si="4"/>
        <v>#N/A</v>
      </c>
      <c r="P36" s="56">
        <f t="shared" si="5"/>
        <v>1</v>
      </c>
      <c r="Q36" s="56" t="e">
        <f t="shared" si="6"/>
        <v>#N/A</v>
      </c>
    </row>
    <row r="37" spans="2:17" x14ac:dyDescent="0.25">
      <c r="H37" s="80"/>
      <c r="P37" s="56" t="str">
        <f t="shared" si="5"/>
        <v/>
      </c>
    </row>
    <row r="38" spans="2:17" x14ac:dyDescent="0.25">
      <c r="H38" s="80"/>
      <c r="P38" s="56" t="str">
        <f t="shared" si="5"/>
        <v/>
      </c>
    </row>
    <row r="39" spans="2:17" x14ac:dyDescent="0.25">
      <c r="H39" s="80"/>
      <c r="P39" s="56" t="str">
        <f t="shared" si="5"/>
        <v/>
      </c>
    </row>
    <row r="391" spans="1:6" x14ac:dyDescent="0.25">
      <c r="A391" t="s">
        <v>2095</v>
      </c>
      <c r="B391" t="s">
        <v>2178</v>
      </c>
      <c r="C391">
        <v>1</v>
      </c>
      <c r="D391">
        <v>156264.70588235298</v>
      </c>
      <c r="E391">
        <v>1</v>
      </c>
      <c r="F391">
        <v>156264.70588235298</v>
      </c>
    </row>
    <row r="392" spans="1:6" x14ac:dyDescent="0.25">
      <c r="A392" t="s">
        <v>2094</v>
      </c>
      <c r="B392" t="s">
        <v>2094</v>
      </c>
      <c r="C392" t="s">
        <v>2094</v>
      </c>
      <c r="D392" t="s">
        <v>2094</v>
      </c>
      <c r="E392" t="s">
        <v>2094</v>
      </c>
      <c r="F392" t="s">
        <v>2094</v>
      </c>
    </row>
    <row r="397" spans="1:6" x14ac:dyDescent="0.25">
      <c r="A397" t="s">
        <v>2094</v>
      </c>
      <c r="B397" t="s">
        <v>2094</v>
      </c>
      <c r="C397" t="s">
        <v>2094</v>
      </c>
      <c r="D397" t="s">
        <v>2094</v>
      </c>
      <c r="E397" t="s">
        <v>2094</v>
      </c>
      <c r="F397" t="s">
        <v>2094</v>
      </c>
    </row>
    <row r="398" spans="1:6" x14ac:dyDescent="0.25">
      <c r="A398" t="s">
        <v>2098</v>
      </c>
      <c r="B398" t="s">
        <v>2181</v>
      </c>
      <c r="C398">
        <v>1</v>
      </c>
      <c r="D398">
        <v>1460.1137664473683</v>
      </c>
      <c r="E398">
        <v>1</v>
      </c>
      <c r="F398">
        <v>1460.1137664473683</v>
      </c>
    </row>
    <row r="399" spans="1:6" x14ac:dyDescent="0.25">
      <c r="A399" t="s">
        <v>2094</v>
      </c>
      <c r="B399" t="s">
        <v>2094</v>
      </c>
      <c r="C399" t="s">
        <v>2094</v>
      </c>
      <c r="D399" t="s">
        <v>2094</v>
      </c>
      <c r="E399" t="s">
        <v>2094</v>
      </c>
      <c r="F399" t="s">
        <v>2094</v>
      </c>
    </row>
    <row r="400" spans="1:6" x14ac:dyDescent="0.25">
      <c r="A400" t="s">
        <v>2094</v>
      </c>
      <c r="B400" t="s">
        <v>2094</v>
      </c>
      <c r="C400" t="s">
        <v>2094</v>
      </c>
      <c r="D400" t="s">
        <v>2094</v>
      </c>
      <c r="E400" t="s">
        <v>2094</v>
      </c>
      <c r="F400" t="s">
        <v>2094</v>
      </c>
    </row>
    <row r="401" spans="1:6" x14ac:dyDescent="0.25">
      <c r="A401" t="s">
        <v>2094</v>
      </c>
      <c r="B401" t="s">
        <v>2094</v>
      </c>
      <c r="C401" t="s">
        <v>2094</v>
      </c>
      <c r="D401" t="s">
        <v>2094</v>
      </c>
      <c r="E401" t="s">
        <v>2094</v>
      </c>
      <c r="F401" t="s">
        <v>2094</v>
      </c>
    </row>
    <row r="402" spans="1:6" x14ac:dyDescent="0.25">
      <c r="A402" t="s">
        <v>2094</v>
      </c>
      <c r="B402" t="s">
        <v>2094</v>
      </c>
      <c r="C402" t="s">
        <v>2094</v>
      </c>
      <c r="D402" t="s">
        <v>2094</v>
      </c>
      <c r="E402" t="s">
        <v>2094</v>
      </c>
      <c r="F402" t="s">
        <v>2094</v>
      </c>
    </row>
    <row r="403" spans="1:6" x14ac:dyDescent="0.25">
      <c r="A403" t="s">
        <v>2094</v>
      </c>
      <c r="B403" t="s">
        <v>2094</v>
      </c>
      <c r="C403" t="s">
        <v>2094</v>
      </c>
      <c r="D403" t="s">
        <v>2094</v>
      </c>
      <c r="E403" t="s">
        <v>2094</v>
      </c>
      <c r="F403" t="s">
        <v>2094</v>
      </c>
    </row>
    <row r="404" spans="1:6" x14ac:dyDescent="0.25">
      <c r="A404" t="s">
        <v>2094</v>
      </c>
      <c r="B404" t="s">
        <v>2094</v>
      </c>
      <c r="C404" t="s">
        <v>2094</v>
      </c>
      <c r="D404" t="s">
        <v>2094</v>
      </c>
      <c r="E404" t="s">
        <v>2094</v>
      </c>
      <c r="F404" t="s">
        <v>2094</v>
      </c>
    </row>
    <row r="405" spans="1:6" x14ac:dyDescent="0.25">
      <c r="A405" t="s">
        <v>2094</v>
      </c>
      <c r="B405" t="s">
        <v>2094</v>
      </c>
      <c r="C405" t="s">
        <v>2094</v>
      </c>
      <c r="D405" t="s">
        <v>2094</v>
      </c>
      <c r="E405" t="s">
        <v>2094</v>
      </c>
      <c r="F405" t="s">
        <v>2094</v>
      </c>
    </row>
    <row r="406" spans="1:6" x14ac:dyDescent="0.25">
      <c r="A406" t="s">
        <v>2094</v>
      </c>
      <c r="B406" t="s">
        <v>2094</v>
      </c>
      <c r="C406" t="s">
        <v>2094</v>
      </c>
      <c r="D406" t="s">
        <v>2094</v>
      </c>
      <c r="E406" t="s">
        <v>2094</v>
      </c>
      <c r="F406" t="s">
        <v>2094</v>
      </c>
    </row>
    <row r="407" spans="1:6" x14ac:dyDescent="0.25">
      <c r="A407" t="s">
        <v>2094</v>
      </c>
      <c r="B407" t="s">
        <v>2094</v>
      </c>
      <c r="C407" t="s">
        <v>2094</v>
      </c>
      <c r="D407" t="s">
        <v>2094</v>
      </c>
      <c r="E407" t="s">
        <v>2094</v>
      </c>
      <c r="F407" t="s">
        <v>2094</v>
      </c>
    </row>
    <row r="408" spans="1:6" x14ac:dyDescent="0.25">
      <c r="A408" t="s">
        <v>2106</v>
      </c>
      <c r="B408" t="s">
        <v>2189</v>
      </c>
      <c r="C408">
        <v>1</v>
      </c>
      <c r="D408">
        <v>852.89185087719295</v>
      </c>
      <c r="E408">
        <v>2</v>
      </c>
      <c r="F408">
        <v>1705.7837017543859</v>
      </c>
    </row>
    <row r="409" spans="1:6" x14ac:dyDescent="0.25">
      <c r="A409" t="s">
        <v>2094</v>
      </c>
      <c r="B409" t="s">
        <v>2094</v>
      </c>
      <c r="C409" t="s">
        <v>2094</v>
      </c>
      <c r="D409" t="s">
        <v>2094</v>
      </c>
      <c r="E409" t="s">
        <v>2094</v>
      </c>
      <c r="F409" t="s">
        <v>2094</v>
      </c>
    </row>
    <row r="410" spans="1:6" x14ac:dyDescent="0.25">
      <c r="A410" t="s">
        <v>2094</v>
      </c>
      <c r="B410" t="s">
        <v>2094</v>
      </c>
      <c r="C410" t="s">
        <v>2094</v>
      </c>
      <c r="D410" t="s">
        <v>2094</v>
      </c>
      <c r="E410" t="s">
        <v>2094</v>
      </c>
      <c r="F410" t="s">
        <v>2094</v>
      </c>
    </row>
    <row r="411" spans="1:6" x14ac:dyDescent="0.25">
      <c r="A411" t="s">
        <v>2094</v>
      </c>
      <c r="B411" t="s">
        <v>2094</v>
      </c>
      <c r="C411" t="s">
        <v>2094</v>
      </c>
      <c r="D411" t="s">
        <v>2094</v>
      </c>
      <c r="E411" t="s">
        <v>2094</v>
      </c>
      <c r="F411" t="s">
        <v>2094</v>
      </c>
    </row>
    <row r="412" spans="1:6" x14ac:dyDescent="0.25">
      <c r="A412" t="s">
        <v>2110</v>
      </c>
      <c r="B412" t="s">
        <v>2193</v>
      </c>
      <c r="C412">
        <v>1</v>
      </c>
      <c r="D412">
        <v>2595.7578070175437</v>
      </c>
      <c r="E412">
        <v>2</v>
      </c>
      <c r="F412">
        <v>5191.5156140350873</v>
      </c>
    </row>
    <row r="413" spans="1:6" x14ac:dyDescent="0.25">
      <c r="A413" t="s">
        <v>2111</v>
      </c>
      <c r="B413" t="s">
        <v>2194</v>
      </c>
      <c r="C413">
        <v>1</v>
      </c>
      <c r="D413">
        <v>11008.794270833332</v>
      </c>
      <c r="E413">
        <v>1</v>
      </c>
      <c r="F413">
        <v>11008.794270833332</v>
      </c>
    </row>
    <row r="414" spans="1:6" x14ac:dyDescent="0.25">
      <c r="A414" t="s">
        <v>2094</v>
      </c>
      <c r="B414" t="s">
        <v>2094</v>
      </c>
      <c r="C414" t="s">
        <v>2094</v>
      </c>
      <c r="D414" t="s">
        <v>2094</v>
      </c>
      <c r="E414" t="s">
        <v>2094</v>
      </c>
      <c r="F414" t="s">
        <v>2094</v>
      </c>
    </row>
    <row r="415" spans="1:6" x14ac:dyDescent="0.25">
      <c r="A415" t="s">
        <v>2113</v>
      </c>
      <c r="B415" t="s">
        <v>2196</v>
      </c>
      <c r="C415">
        <v>1</v>
      </c>
      <c r="D415">
        <v>1158.8204495614034</v>
      </c>
      <c r="E415">
        <v>1</v>
      </c>
      <c r="F415">
        <v>1158.8204495614034</v>
      </c>
    </row>
    <row r="416" spans="1:6" x14ac:dyDescent="0.25">
      <c r="A416" t="s">
        <v>2094</v>
      </c>
      <c r="B416" t="s">
        <v>2094</v>
      </c>
      <c r="C416" t="s">
        <v>2094</v>
      </c>
      <c r="D416" t="s">
        <v>2094</v>
      </c>
      <c r="E416" t="s">
        <v>2094</v>
      </c>
      <c r="F416" t="s">
        <v>2094</v>
      </c>
    </row>
    <row r="417" spans="1:6" x14ac:dyDescent="0.25">
      <c r="A417" t="s">
        <v>2094</v>
      </c>
      <c r="B417" t="s">
        <v>2094</v>
      </c>
      <c r="C417" t="s">
        <v>2094</v>
      </c>
      <c r="D417" t="s">
        <v>2094</v>
      </c>
      <c r="E417" t="s">
        <v>2094</v>
      </c>
      <c r="F417" t="s">
        <v>2094</v>
      </c>
    </row>
    <row r="418" spans="1:6" x14ac:dyDescent="0.25">
      <c r="A418" t="s">
        <v>2116</v>
      </c>
      <c r="B418" t="s">
        <v>2199</v>
      </c>
      <c r="C418">
        <v>1</v>
      </c>
      <c r="D418">
        <v>1828.6186694078947</v>
      </c>
      <c r="E418">
        <v>1</v>
      </c>
      <c r="F418">
        <v>1828.6186694078947</v>
      </c>
    </row>
    <row r="419" spans="1:6" x14ac:dyDescent="0.25">
      <c r="A419" t="s">
        <v>2094</v>
      </c>
      <c r="B419" t="s">
        <v>2094</v>
      </c>
      <c r="C419" t="s">
        <v>2094</v>
      </c>
      <c r="D419" t="s">
        <v>2094</v>
      </c>
      <c r="E419" t="s">
        <v>2094</v>
      </c>
      <c r="F419" t="s">
        <v>2094</v>
      </c>
    </row>
    <row r="420" spans="1:6" x14ac:dyDescent="0.25">
      <c r="A420" t="s">
        <v>2094</v>
      </c>
      <c r="B420" t="s">
        <v>2094</v>
      </c>
      <c r="C420" t="s">
        <v>2094</v>
      </c>
      <c r="D420" t="s">
        <v>2094</v>
      </c>
      <c r="E420" t="s">
        <v>2094</v>
      </c>
      <c r="F420" t="s">
        <v>2094</v>
      </c>
    </row>
  </sheetData>
  <mergeCells count="1">
    <mergeCell ref="B5:G6"/>
  </mergeCells>
  <conditionalFormatting sqref="B7:B36">
    <cfRule type="duplicateValues" dxfId="22" priority="1"/>
  </conditionalFormatting>
  <hyperlinks>
    <hyperlink ref="G2" location="presu!A1" display="Presupuesto" xr:uid="{6435EB2E-EA21-4988-94CF-369AEDDA6DE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Option Button 1">
              <controlPr defaultSize="0" autoFill="0" autoLine="0" autoPict="0" macro="[0]!llevarrobotpresu">
                <anchor moveWithCells="1">
                  <from>
                    <xdr:col>12</xdr:col>
                    <xdr:colOff>285750</xdr:colOff>
                    <xdr:row>3</xdr:row>
                    <xdr:rowOff>9525</xdr:rowOff>
                  </from>
                  <to>
                    <xdr:col>12</xdr:col>
                    <xdr:colOff>1666875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58BD7-4F5F-4D3B-B569-8B80F5258A3A}">
  <sheetPr codeName="Sheet16"/>
  <dimension ref="A1:Q511"/>
  <sheetViews>
    <sheetView zoomScale="83" zoomScaleNormal="85" workbookViewId="0">
      <selection activeCell="K6" sqref="K6:Q95"/>
    </sheetView>
  </sheetViews>
  <sheetFormatPr baseColWidth="10" defaultColWidth="8.7109375" defaultRowHeight="15" x14ac:dyDescent="0.25"/>
  <cols>
    <col min="2" max="2" width="19.140625" bestFit="1" customWidth="1"/>
    <col min="3" max="3" width="56" bestFit="1" customWidth="1"/>
    <col min="4" max="4" width="10.5703125" bestFit="1" customWidth="1"/>
    <col min="5" max="5" width="10.42578125" style="56" bestFit="1" customWidth="1"/>
    <col min="6" max="6" width="10.42578125" bestFit="1" customWidth="1"/>
    <col min="7" max="7" width="9.42578125" style="56" bestFit="1" customWidth="1"/>
    <col min="11" max="11" width="10.85546875" bestFit="1" customWidth="1"/>
    <col min="12" max="12" width="19.85546875" customWidth="1"/>
    <col min="13" max="13" width="12.42578125" customWidth="1"/>
    <col min="14" max="14" width="9.5703125" style="56" bestFit="1" customWidth="1"/>
    <col min="15" max="15" width="5.42578125" style="56" bestFit="1" customWidth="1"/>
    <col min="16" max="16" width="9.5703125" style="56" bestFit="1" customWidth="1"/>
  </cols>
  <sheetData>
    <row r="1" spans="2:16" x14ac:dyDescent="0.25">
      <c r="C1" t="s">
        <v>4</v>
      </c>
      <c r="D1" s="56">
        <f>presu!C11</f>
        <v>1</v>
      </c>
      <c r="E1"/>
    </row>
    <row r="2" spans="2:16" ht="21" x14ac:dyDescent="0.35">
      <c r="C2" t="s">
        <v>5</v>
      </c>
      <c r="D2" s="56">
        <f>presu!C12</f>
        <v>1</v>
      </c>
      <c r="E2"/>
      <c r="I2" s="156" t="s">
        <v>1879</v>
      </c>
    </row>
    <row r="3" spans="2:16" ht="15.75" thickBot="1" x14ac:dyDescent="0.3">
      <c r="B3" s="91" t="s">
        <v>1841</v>
      </c>
      <c r="C3" s="90" t="s">
        <v>65</v>
      </c>
      <c r="D3" s="91" t="s">
        <v>66</v>
      </c>
      <c r="E3" s="308" t="s">
        <v>1842</v>
      </c>
      <c r="F3" s="91" t="s">
        <v>1843</v>
      </c>
      <c r="G3" s="308" t="s">
        <v>1844</v>
      </c>
    </row>
    <row r="4" spans="2:16" x14ac:dyDescent="0.25">
      <c r="B4" s="377" t="s">
        <v>1838</v>
      </c>
      <c r="C4" s="477" t="s">
        <v>1839</v>
      </c>
      <c r="D4" s="477"/>
      <c r="E4" s="477"/>
      <c r="F4" s="477"/>
      <c r="G4" s="478"/>
    </row>
    <row r="5" spans="2:16" ht="15.75" thickBot="1" x14ac:dyDescent="0.3">
      <c r="B5" s="378" t="s">
        <v>0</v>
      </c>
      <c r="C5" s="463" t="s">
        <v>2136</v>
      </c>
      <c r="D5" s="463"/>
      <c r="E5" s="463"/>
      <c r="F5" s="463"/>
      <c r="G5" s="464"/>
      <c r="N5"/>
      <c r="O5"/>
      <c r="P5"/>
    </row>
    <row r="6" spans="2:16" x14ac:dyDescent="0.25">
      <c r="B6" s="2">
        <v>8510210</v>
      </c>
      <c r="C6" s="107" t="s">
        <v>338</v>
      </c>
      <c r="D6" s="359">
        <v>1</v>
      </c>
      <c r="E6" s="303">
        <f>+VLOOKUP(B6,Base!$A$1:$E$2346,5,FALSE)</f>
        <v>96.973165549307964</v>
      </c>
      <c r="F6" s="368">
        <f>ROUND(D1/3,0)</f>
        <v>0</v>
      </c>
      <c r="G6" s="373">
        <f t="shared" ref="G6:G8" si="0">F6*E6</f>
        <v>0</v>
      </c>
      <c r="K6">
        <v>8510210</v>
      </c>
      <c r="L6" t="s">
        <v>338</v>
      </c>
      <c r="M6">
        <v>1</v>
      </c>
      <c r="N6">
        <v>90.634573961937704</v>
      </c>
      <c r="O6">
        <v>4</v>
      </c>
      <c r="P6">
        <v>362.53829584775082</v>
      </c>
    </row>
    <row r="7" spans="2:16" x14ac:dyDescent="0.25">
      <c r="B7" s="2" t="s">
        <v>1546</v>
      </c>
      <c r="C7" s="107" t="s">
        <v>1547</v>
      </c>
      <c r="D7" s="141">
        <v>1</v>
      </c>
      <c r="E7" s="303">
        <f>+VLOOKUP(B7,Base!$A$1:$E$2346,5,FALSE)</f>
        <v>2.3004443992129722</v>
      </c>
      <c r="F7" s="368">
        <f>ROUND(D1/3,0)</f>
        <v>0</v>
      </c>
      <c r="G7" s="373">
        <f t="shared" si="0"/>
        <v>0</v>
      </c>
      <c r="K7" t="s">
        <v>1546</v>
      </c>
      <c r="L7" t="s">
        <v>1547</v>
      </c>
      <c r="M7">
        <v>1</v>
      </c>
      <c r="N7">
        <v>2.3004443992129722</v>
      </c>
      <c r="O7">
        <v>4</v>
      </c>
      <c r="P7">
        <v>9.2017775968518887</v>
      </c>
    </row>
    <row r="8" spans="2:16" x14ac:dyDescent="0.25">
      <c r="B8" s="2" t="s">
        <v>1181</v>
      </c>
      <c r="C8" s="107" t="s">
        <v>1182</v>
      </c>
      <c r="D8" s="141">
        <v>1</v>
      </c>
      <c r="E8" s="303">
        <f>+VLOOKUP(B8,Base!$A$1:$E$2346,5,FALSE)</f>
        <v>4.6008887984259443</v>
      </c>
      <c r="F8" s="368">
        <f>ROUND(D1/3,0)</f>
        <v>0</v>
      </c>
      <c r="G8" s="373">
        <f t="shared" si="0"/>
        <v>0</v>
      </c>
      <c r="K8" t="s">
        <v>1181</v>
      </c>
      <c r="L8" t="s">
        <v>1182</v>
      </c>
      <c r="M8">
        <v>1</v>
      </c>
      <c r="N8">
        <v>4.6008887984259443</v>
      </c>
      <c r="O8">
        <v>4</v>
      </c>
      <c r="P8">
        <v>18.403555193703777</v>
      </c>
    </row>
    <row r="9" spans="2:16" x14ac:dyDescent="0.25">
      <c r="B9" s="2"/>
      <c r="C9" s="213"/>
      <c r="D9" s="214"/>
      <c r="E9" s="303"/>
      <c r="F9" s="30"/>
      <c r="G9" s="373"/>
      <c r="N9"/>
      <c r="O9"/>
      <c r="P9"/>
    </row>
    <row r="10" spans="2:16" ht="15.75" thickBot="1" x14ac:dyDescent="0.3">
      <c r="B10" s="95"/>
      <c r="C10" s="96"/>
      <c r="D10" s="95"/>
      <c r="E10" s="309"/>
      <c r="F10" s="97"/>
      <c r="G10" s="309"/>
      <c r="N10"/>
      <c r="O10"/>
      <c r="P10"/>
    </row>
    <row r="11" spans="2:16" x14ac:dyDescent="0.25">
      <c r="B11" s="65" t="s">
        <v>1838</v>
      </c>
      <c r="C11" s="477" t="s">
        <v>1839</v>
      </c>
      <c r="D11" s="477"/>
      <c r="E11" s="477"/>
      <c r="F11" s="477"/>
      <c r="G11" s="478"/>
      <c r="N11"/>
      <c r="O11"/>
      <c r="P11"/>
    </row>
    <row r="12" spans="2:16" x14ac:dyDescent="0.25">
      <c r="B12" s="158" t="s">
        <v>0</v>
      </c>
      <c r="C12" s="494" t="s">
        <v>2148</v>
      </c>
      <c r="D12" s="494"/>
      <c r="E12" s="494"/>
      <c r="F12" s="494"/>
      <c r="G12" s="495"/>
      <c r="N12"/>
      <c r="O12"/>
      <c r="P12"/>
    </row>
    <row r="13" spans="2:16" x14ac:dyDescent="0.25">
      <c r="B13" s="141" t="s">
        <v>786</v>
      </c>
      <c r="C13" s="16" t="s">
        <v>787</v>
      </c>
      <c r="D13" s="141">
        <v>6</v>
      </c>
      <c r="E13" s="303">
        <f>+VLOOKUP(B13,Base!$A$1:$E$2346,5,FALSE)</f>
        <v>220.44311145510838</v>
      </c>
      <c r="F13" s="369">
        <f>ROUND(((D1*D2*2)/D13),0)+1</f>
        <v>1</v>
      </c>
      <c r="G13" s="374">
        <f>+F13*E13</f>
        <v>220.44311145510838</v>
      </c>
      <c r="K13" t="s">
        <v>786</v>
      </c>
      <c r="L13" t="s">
        <v>787</v>
      </c>
      <c r="M13">
        <v>6</v>
      </c>
      <c r="N13">
        <v>220.44311145510838</v>
      </c>
      <c r="O13">
        <v>5</v>
      </c>
      <c r="P13">
        <v>1102.2155572755419</v>
      </c>
    </row>
    <row r="14" spans="2:16" x14ac:dyDescent="0.25">
      <c r="B14" s="141">
        <v>8500329</v>
      </c>
      <c r="C14" s="16" t="s">
        <v>229</v>
      </c>
      <c r="D14" s="141">
        <v>1</v>
      </c>
      <c r="E14" s="303">
        <f>+VLOOKUP(B14,Base!$A$1:$E$2346,5,FALSE)</f>
        <v>46.89383961397057</v>
      </c>
      <c r="F14" s="370">
        <f>ROUND((+$D$1/6*2),0)+2</f>
        <v>2</v>
      </c>
      <c r="G14" s="374">
        <f t="shared" ref="G14:G17" si="1">+F14*E14</f>
        <v>93.78767922794114</v>
      </c>
      <c r="K14">
        <v>8500329</v>
      </c>
      <c r="L14" t="s">
        <v>229</v>
      </c>
      <c r="M14">
        <v>1</v>
      </c>
      <c r="N14">
        <v>45.964908088235291</v>
      </c>
      <c r="O14">
        <v>6</v>
      </c>
      <c r="P14">
        <v>275.78944852941174</v>
      </c>
    </row>
    <row r="15" spans="2:16" x14ac:dyDescent="0.25">
      <c r="B15" s="141">
        <v>8507966</v>
      </c>
      <c r="C15" s="16" t="s">
        <v>327</v>
      </c>
      <c r="D15" s="141">
        <v>1</v>
      </c>
      <c r="E15" s="303">
        <f>+VLOOKUP(B15,Base!$A$1:$E$2346,5,FALSE)</f>
        <v>16.583147977941177</v>
      </c>
      <c r="F15" s="370">
        <f>ROUND((+$D$1/6*2),0)+2</f>
        <v>2</v>
      </c>
      <c r="G15" s="374">
        <f t="shared" si="1"/>
        <v>33.166295955882354</v>
      </c>
      <c r="K15">
        <v>8507966</v>
      </c>
      <c r="L15" t="s">
        <v>327</v>
      </c>
      <c r="M15">
        <v>1</v>
      </c>
      <c r="N15">
        <v>15.482192095588234</v>
      </c>
      <c r="O15">
        <v>6</v>
      </c>
      <c r="P15">
        <v>92.893152573529406</v>
      </c>
    </row>
    <row r="16" spans="2:16" x14ac:dyDescent="0.25">
      <c r="B16" s="141">
        <v>8500331</v>
      </c>
      <c r="C16" s="16" t="s">
        <v>230</v>
      </c>
      <c r="D16" s="141">
        <v>1</v>
      </c>
      <c r="E16" s="303">
        <f>+VLOOKUP(B16,Base!$A$1:$E$2346,5,FALSE)</f>
        <v>3.5853497484520127</v>
      </c>
      <c r="F16" s="370">
        <f>ROUND((+$D$1/6*2),0)+2</f>
        <v>2</v>
      </c>
      <c r="G16" s="374">
        <f t="shared" si="1"/>
        <v>7.1706994969040254</v>
      </c>
      <c r="K16">
        <v>8500331</v>
      </c>
      <c r="L16" t="s">
        <v>230</v>
      </c>
      <c r="M16">
        <v>1</v>
      </c>
      <c r="N16">
        <v>2.3467743808049533</v>
      </c>
      <c r="O16">
        <v>6</v>
      </c>
      <c r="P16">
        <v>14.080646284829719</v>
      </c>
    </row>
    <row r="17" spans="2:16" x14ac:dyDescent="0.25">
      <c r="B17" s="163">
        <v>8510210</v>
      </c>
      <c r="C17" s="164" t="s">
        <v>338</v>
      </c>
      <c r="D17" s="141">
        <v>1</v>
      </c>
      <c r="E17" s="303">
        <f>+VLOOKUP(B17,Base!$A$1:$E$2346,5,FALSE)</f>
        <v>96.973165549307964</v>
      </c>
      <c r="F17" s="371">
        <f>+F13*2</f>
        <v>2</v>
      </c>
      <c r="G17" s="374">
        <f t="shared" si="1"/>
        <v>193.94633109861593</v>
      </c>
      <c r="K17">
        <v>8510210</v>
      </c>
      <c r="L17" t="s">
        <v>338</v>
      </c>
      <c r="M17">
        <v>1</v>
      </c>
      <c r="N17">
        <v>90.634573961937704</v>
      </c>
      <c r="O17">
        <v>10</v>
      </c>
      <c r="P17">
        <v>906.34573961937701</v>
      </c>
    </row>
    <row r="18" spans="2:16" ht="15.75" thickBot="1" x14ac:dyDescent="0.3">
      <c r="B18" s="95"/>
      <c r="C18" s="96"/>
      <c r="D18" s="95"/>
      <c r="E18" s="309"/>
      <c r="F18" s="97"/>
      <c r="G18" s="309"/>
      <c r="N18"/>
      <c r="O18"/>
      <c r="P18"/>
    </row>
    <row r="19" spans="2:16" x14ac:dyDescent="0.25">
      <c r="B19" s="103" t="s">
        <v>1838</v>
      </c>
      <c r="C19" s="479" t="s">
        <v>1839</v>
      </c>
      <c r="D19" s="479"/>
      <c r="E19" s="479"/>
      <c r="F19" s="479"/>
      <c r="G19" s="480"/>
      <c r="N19"/>
      <c r="O19"/>
      <c r="P19"/>
    </row>
    <row r="20" spans="2:16" ht="15.75" thickBot="1" x14ac:dyDescent="0.3">
      <c r="B20" s="104" t="s">
        <v>0</v>
      </c>
      <c r="C20" s="481" t="s">
        <v>2149</v>
      </c>
      <c r="D20" s="481"/>
      <c r="E20" s="481"/>
      <c r="F20" s="481"/>
      <c r="G20" s="482"/>
      <c r="N20"/>
      <c r="O20"/>
      <c r="P20"/>
    </row>
    <row r="21" spans="2:16" x14ac:dyDescent="0.25">
      <c r="B21" s="31" t="s">
        <v>782</v>
      </c>
      <c r="C21" s="32" t="s">
        <v>783</v>
      </c>
      <c r="D21" s="31">
        <v>6</v>
      </c>
      <c r="E21" s="303">
        <f>+VLOOKUP(B21,Base!$A$1:$E$2346,5,FALSE)</f>
        <v>146.96207430340559</v>
      </c>
      <c r="F21" s="30">
        <v>4</v>
      </c>
      <c r="G21" s="374">
        <f t="shared" ref="G21:G26" si="2">+F21*E21</f>
        <v>587.84829721362235</v>
      </c>
      <c r="K21" t="s">
        <v>782</v>
      </c>
      <c r="L21" t="s">
        <v>783</v>
      </c>
      <c r="M21">
        <v>6</v>
      </c>
      <c r="N21">
        <v>146.96207430340559</v>
      </c>
      <c r="O21">
        <v>4</v>
      </c>
      <c r="P21">
        <v>587.84829721362235</v>
      </c>
    </row>
    <row r="22" spans="2:16" x14ac:dyDescent="0.25">
      <c r="B22" s="77">
        <v>8507950</v>
      </c>
      <c r="C22" s="107" t="s">
        <v>321</v>
      </c>
      <c r="D22" s="31">
        <v>1</v>
      </c>
      <c r="E22" s="303">
        <f>+VLOOKUP(B22,Base!$A$1:$E$2346,5,FALSE)</f>
        <v>24.565078124999989</v>
      </c>
      <c r="F22" s="30">
        <f>+F21*2</f>
        <v>8</v>
      </c>
      <c r="G22" s="374">
        <f t="shared" si="2"/>
        <v>196.52062499999991</v>
      </c>
      <c r="K22">
        <v>8507950</v>
      </c>
      <c r="L22" t="s">
        <v>321</v>
      </c>
      <c r="M22">
        <v>1</v>
      </c>
      <c r="N22">
        <v>16.445528492647057</v>
      </c>
      <c r="O22">
        <v>8</v>
      </c>
      <c r="P22">
        <v>131.56422794117645</v>
      </c>
    </row>
    <row r="23" spans="2:16" x14ac:dyDescent="0.25">
      <c r="B23" s="77">
        <v>8507951</v>
      </c>
      <c r="C23" s="107" t="s">
        <v>322</v>
      </c>
      <c r="D23" s="31">
        <v>1</v>
      </c>
      <c r="E23" s="303">
        <f>+VLOOKUP(B23,Base!$A$1:$E$2346,5,FALSE)</f>
        <v>2.5803653492647061</v>
      </c>
      <c r="F23" s="30">
        <f>+F21*2</f>
        <v>8</v>
      </c>
      <c r="G23" s="374">
        <f t="shared" si="2"/>
        <v>20.642922794117649</v>
      </c>
      <c r="K23">
        <v>8507951</v>
      </c>
      <c r="L23" t="s">
        <v>322</v>
      </c>
      <c r="M23">
        <v>1</v>
      </c>
      <c r="N23">
        <v>1.4105997242647055</v>
      </c>
      <c r="O23">
        <v>8</v>
      </c>
      <c r="P23">
        <v>11.284797794117644</v>
      </c>
    </row>
    <row r="24" spans="2:16" x14ac:dyDescent="0.25">
      <c r="B24" s="77">
        <v>8507933</v>
      </c>
      <c r="C24" s="107" t="s">
        <v>319</v>
      </c>
      <c r="D24" s="31">
        <v>1</v>
      </c>
      <c r="E24" s="303">
        <f>+VLOOKUP(B24,Base!$A$1:$E$2346,5,FALSE)</f>
        <v>12.901826746323527</v>
      </c>
      <c r="F24" s="30">
        <f>+F21*3</f>
        <v>12</v>
      </c>
      <c r="G24" s="374">
        <f t="shared" si="2"/>
        <v>154.82192095588232</v>
      </c>
      <c r="K24">
        <v>8507933</v>
      </c>
      <c r="L24" t="s">
        <v>319</v>
      </c>
      <c r="M24">
        <v>1</v>
      </c>
      <c r="N24">
        <v>10.080627297794118</v>
      </c>
      <c r="O24">
        <v>12</v>
      </c>
      <c r="P24">
        <v>120.96752757352942</v>
      </c>
    </row>
    <row r="25" spans="2:16" x14ac:dyDescent="0.25">
      <c r="B25" s="31">
        <v>8507954</v>
      </c>
      <c r="C25" s="32" t="s">
        <v>2143</v>
      </c>
      <c r="D25" s="31">
        <v>1</v>
      </c>
      <c r="E25" s="303">
        <f>+VLOOKUP(B25,Base!$A$1:$E$2346,5,FALSE)</f>
        <v>103.68179590750772</v>
      </c>
      <c r="F25" s="30">
        <v>2</v>
      </c>
      <c r="G25" s="374">
        <f t="shared" si="2"/>
        <v>207.36359181501544</v>
      </c>
      <c r="K25">
        <v>8507954</v>
      </c>
      <c r="L25" t="s">
        <v>2143</v>
      </c>
      <c r="M25">
        <v>1</v>
      </c>
      <c r="N25">
        <v>110.81990131578948</v>
      </c>
      <c r="O25">
        <v>2</v>
      </c>
      <c r="P25">
        <v>221.63980263157896</v>
      </c>
    </row>
    <row r="26" spans="2:16" x14ac:dyDescent="0.25">
      <c r="B26" s="163">
        <v>8510211</v>
      </c>
      <c r="C26" s="164" t="s">
        <v>339</v>
      </c>
      <c r="D26" s="372">
        <v>1</v>
      </c>
      <c r="E26" s="303">
        <f>+VLOOKUP(B26,Base!$A$1:$E$2346,5,FALSE)</f>
        <v>82.401690635813154</v>
      </c>
      <c r="F26" s="30">
        <f>+F21*2</f>
        <v>8</v>
      </c>
      <c r="G26" s="374">
        <f t="shared" si="2"/>
        <v>659.21352508650523</v>
      </c>
      <c r="K26">
        <v>8510211</v>
      </c>
      <c r="L26" t="s">
        <v>339</v>
      </c>
      <c r="M26">
        <v>1</v>
      </c>
      <c r="N26">
        <v>77.01024491782006</v>
      </c>
      <c r="O26">
        <v>8</v>
      </c>
      <c r="P26">
        <v>616.08195934256048</v>
      </c>
    </row>
    <row r="27" spans="2:16" ht="15.75" thickBot="1" x14ac:dyDescent="0.3">
      <c r="B27" s="95"/>
      <c r="C27" s="96"/>
      <c r="D27" s="95"/>
      <c r="E27" s="309"/>
      <c r="F27" s="97"/>
      <c r="G27" s="309"/>
      <c r="N27"/>
      <c r="O27"/>
      <c r="P27"/>
    </row>
    <row r="28" spans="2:16" x14ac:dyDescent="0.25">
      <c r="B28" s="103" t="s">
        <v>1838</v>
      </c>
      <c r="C28" s="479" t="s">
        <v>1839</v>
      </c>
      <c r="D28" s="479"/>
      <c r="E28" s="479"/>
      <c r="F28" s="479"/>
      <c r="G28" s="480"/>
      <c r="N28"/>
      <c r="O28"/>
      <c r="P28"/>
    </row>
    <row r="29" spans="2:16" ht="15.75" thickBot="1" x14ac:dyDescent="0.3">
      <c r="B29" s="104" t="s">
        <v>0</v>
      </c>
      <c r="C29" s="481" t="s">
        <v>2147</v>
      </c>
      <c r="D29" s="481"/>
      <c r="E29" s="481"/>
      <c r="F29" s="481"/>
      <c r="G29" s="482"/>
      <c r="N29"/>
      <c r="O29"/>
      <c r="P29"/>
    </row>
    <row r="30" spans="2:16" x14ac:dyDescent="0.25">
      <c r="B30" s="31" t="s">
        <v>782</v>
      </c>
      <c r="C30" s="32" t="s">
        <v>783</v>
      </c>
      <c r="D30" s="32">
        <v>6</v>
      </c>
      <c r="E30" s="303">
        <f>+VLOOKUP(B30,Base!$A$1:$E$2346,5,FALSE)</f>
        <v>146.96207430340559</v>
      </c>
      <c r="F30" s="30">
        <f>ROUNDUP((D1*D2/D30),0)</f>
        <v>1</v>
      </c>
      <c r="G30" s="374">
        <f t="shared" ref="G30:G34" si="3">+F30*E30</f>
        <v>146.96207430340559</v>
      </c>
      <c r="K30" t="s">
        <v>782</v>
      </c>
      <c r="L30" t="s">
        <v>783</v>
      </c>
      <c r="M30">
        <v>6</v>
      </c>
      <c r="N30">
        <v>146.96207430340559</v>
      </c>
      <c r="O30">
        <v>2</v>
      </c>
      <c r="P30">
        <v>293.92414860681117</v>
      </c>
    </row>
    <row r="31" spans="2:16" x14ac:dyDescent="0.25">
      <c r="B31" s="163">
        <v>8510211</v>
      </c>
      <c r="C31" s="164" t="s">
        <v>339</v>
      </c>
      <c r="D31" s="375">
        <v>1</v>
      </c>
      <c r="E31" s="303">
        <f>+VLOOKUP(B31,Base!$A$1:$E$2346,5,FALSE)</f>
        <v>82.401690635813154</v>
      </c>
      <c r="F31" s="30">
        <f>+F30*2</f>
        <v>2</v>
      </c>
      <c r="G31" s="374">
        <f t="shared" si="3"/>
        <v>164.80338127162631</v>
      </c>
      <c r="K31">
        <v>8510211</v>
      </c>
      <c r="L31" t="s">
        <v>339</v>
      </c>
      <c r="M31">
        <v>1</v>
      </c>
      <c r="N31">
        <v>77.01024491782006</v>
      </c>
      <c r="O31">
        <v>4</v>
      </c>
      <c r="P31">
        <v>308.04097967128024</v>
      </c>
    </row>
    <row r="32" spans="2:16" x14ac:dyDescent="0.25">
      <c r="B32" s="77">
        <v>8507950</v>
      </c>
      <c r="C32" s="107" t="s">
        <v>321</v>
      </c>
      <c r="D32" s="32">
        <v>1</v>
      </c>
      <c r="E32" s="303">
        <f>+VLOOKUP(B32,Base!$A$1:$E$2346,5,FALSE)</f>
        <v>24.565078124999989</v>
      </c>
      <c r="F32" s="30">
        <f>+F30*2</f>
        <v>2</v>
      </c>
      <c r="G32" s="374">
        <f t="shared" si="3"/>
        <v>49.130156249999978</v>
      </c>
      <c r="K32">
        <v>8507950</v>
      </c>
      <c r="L32" t="s">
        <v>321</v>
      </c>
      <c r="M32">
        <v>1</v>
      </c>
      <c r="N32">
        <v>16.445528492647057</v>
      </c>
      <c r="O32">
        <v>4</v>
      </c>
      <c r="P32">
        <v>65.782113970588227</v>
      </c>
    </row>
    <row r="33" spans="2:16" x14ac:dyDescent="0.25">
      <c r="B33" s="77">
        <v>8507951</v>
      </c>
      <c r="C33" s="107" t="s">
        <v>322</v>
      </c>
      <c r="D33" s="32">
        <v>1</v>
      </c>
      <c r="E33" s="303">
        <f>+VLOOKUP(B33,Base!$A$1:$E$2346,5,FALSE)</f>
        <v>2.5803653492647061</v>
      </c>
      <c r="F33" s="30">
        <f>+F30*2</f>
        <v>2</v>
      </c>
      <c r="G33" s="374">
        <f t="shared" si="3"/>
        <v>5.1607306985294121</v>
      </c>
      <c r="K33">
        <v>8507951</v>
      </c>
      <c r="L33" t="s">
        <v>322</v>
      </c>
      <c r="M33">
        <v>1</v>
      </c>
      <c r="N33">
        <v>1.4105997242647055</v>
      </c>
      <c r="O33">
        <v>4</v>
      </c>
      <c r="P33">
        <v>5.6423988970588219</v>
      </c>
    </row>
    <row r="34" spans="2:16" x14ac:dyDescent="0.25">
      <c r="B34" s="77">
        <v>8507933</v>
      </c>
      <c r="C34" s="107" t="s">
        <v>319</v>
      </c>
      <c r="D34" s="214"/>
      <c r="E34" s="303">
        <f>+VLOOKUP(B34,Base!$A$1:$E$2346,5,FALSE)</f>
        <v>12.901826746323527</v>
      </c>
      <c r="F34" s="30">
        <f>+F30</f>
        <v>1</v>
      </c>
      <c r="G34" s="374">
        <f t="shared" si="3"/>
        <v>12.901826746323527</v>
      </c>
      <c r="K34">
        <v>8507933</v>
      </c>
      <c r="L34" t="s">
        <v>319</v>
      </c>
      <c r="N34">
        <v>10.080627297794118</v>
      </c>
      <c r="O34">
        <v>2</v>
      </c>
      <c r="P34">
        <v>20.161254595588236</v>
      </c>
    </row>
    <row r="35" spans="2:16" ht="15.75" thickBot="1" x14ac:dyDescent="0.3">
      <c r="B35" s="95"/>
      <c r="C35" s="96"/>
      <c r="D35" s="95"/>
      <c r="E35" s="309"/>
      <c r="F35" s="97"/>
      <c r="G35" s="309"/>
    </row>
    <row r="36" spans="2:16" x14ac:dyDescent="0.25">
      <c r="B36" s="103" t="s">
        <v>1838</v>
      </c>
      <c r="C36" s="479" t="s">
        <v>1839</v>
      </c>
      <c r="D36" s="479"/>
      <c r="E36" s="479"/>
      <c r="F36" s="479"/>
      <c r="G36" s="480"/>
    </row>
    <row r="37" spans="2:16" ht="15.75" thickBot="1" x14ac:dyDescent="0.3">
      <c r="B37" s="104" t="s">
        <v>0</v>
      </c>
      <c r="C37" s="481" t="s">
        <v>2144</v>
      </c>
      <c r="D37" s="481"/>
      <c r="E37" s="481"/>
      <c r="F37" s="481"/>
      <c r="G37" s="482"/>
    </row>
    <row r="38" spans="2:16" x14ac:dyDescent="0.25">
      <c r="B38" s="376" t="s">
        <v>17</v>
      </c>
      <c r="C38" s="363" t="s">
        <v>53</v>
      </c>
      <c r="D38" s="363">
        <v>1</v>
      </c>
      <c r="E38" s="303">
        <f>+VLOOKUP(B38,Base!$A$1:$E$2346,5,FALSE)</f>
        <v>16.025086505190309</v>
      </c>
      <c r="F38" s="30">
        <v>1</v>
      </c>
      <c r="G38" s="374">
        <f t="shared" ref="G38:G43" si="4">+F38*E38</f>
        <v>16.025086505190309</v>
      </c>
      <c r="K38" t="s">
        <v>17</v>
      </c>
      <c r="L38" t="s">
        <v>53</v>
      </c>
      <c r="M38">
        <v>1</v>
      </c>
      <c r="N38">
        <v>16.025086505190309</v>
      </c>
      <c r="O38">
        <v>1</v>
      </c>
      <c r="P38">
        <v>16.025086505190309</v>
      </c>
    </row>
    <row r="39" spans="2:16" x14ac:dyDescent="0.25">
      <c r="B39" s="60" t="s">
        <v>830</v>
      </c>
      <c r="C39" s="363" t="s">
        <v>831</v>
      </c>
      <c r="D39" s="363">
        <v>1</v>
      </c>
      <c r="E39" s="303">
        <f>+VLOOKUP(B39,Base!$A$1:$E$2346,5,FALSE)</f>
        <v>5.5670754460953926</v>
      </c>
      <c r="F39" s="30">
        <v>1</v>
      </c>
      <c r="G39" s="374">
        <f t="shared" si="4"/>
        <v>5.5670754460953926</v>
      </c>
      <c r="K39" t="s">
        <v>830</v>
      </c>
      <c r="L39" t="s">
        <v>831</v>
      </c>
      <c r="M39">
        <v>1</v>
      </c>
      <c r="N39">
        <v>5.5670754460953926</v>
      </c>
      <c r="O39">
        <v>1</v>
      </c>
      <c r="P39">
        <v>5.5670754460953926</v>
      </c>
    </row>
    <row r="40" spans="2:16" x14ac:dyDescent="0.25">
      <c r="B40" s="60" t="s">
        <v>836</v>
      </c>
      <c r="C40" s="363" t="s">
        <v>837</v>
      </c>
      <c r="D40" s="363">
        <v>1</v>
      </c>
      <c r="E40" s="303">
        <f>+VLOOKUP(B40,Base!$A$1:$E$2346,5,FALSE)</f>
        <v>0.16103110794490805</v>
      </c>
      <c r="F40" s="30">
        <v>1</v>
      </c>
      <c r="G40" s="374">
        <f t="shared" si="4"/>
        <v>0.16103110794490805</v>
      </c>
      <c r="K40" t="s">
        <v>836</v>
      </c>
      <c r="L40" t="s">
        <v>837</v>
      </c>
      <c r="M40">
        <v>1</v>
      </c>
      <c r="N40">
        <v>0.16103110794490805</v>
      </c>
      <c r="O40">
        <v>1</v>
      </c>
      <c r="P40">
        <v>0.16103110794490805</v>
      </c>
    </row>
    <row r="41" spans="2:16" x14ac:dyDescent="0.25">
      <c r="B41" s="60">
        <v>8510211</v>
      </c>
      <c r="C41" s="363" t="s">
        <v>2145</v>
      </c>
      <c r="D41" s="363">
        <v>1</v>
      </c>
      <c r="E41" s="303">
        <f>+VLOOKUP(B41,Base!$A$1:$E$2346,5,FALSE)</f>
        <v>82.401690635813154</v>
      </c>
      <c r="F41" s="30">
        <v>1</v>
      </c>
      <c r="G41" s="374">
        <f t="shared" si="4"/>
        <v>82.401690635813154</v>
      </c>
      <c r="K41">
        <v>8510211</v>
      </c>
      <c r="L41" t="s">
        <v>2145</v>
      </c>
      <c r="M41">
        <v>1</v>
      </c>
      <c r="N41">
        <v>77.01024491782006</v>
      </c>
      <c r="O41">
        <v>1</v>
      </c>
      <c r="P41">
        <v>77.01024491782006</v>
      </c>
    </row>
    <row r="42" spans="2:16" x14ac:dyDescent="0.25">
      <c r="B42" s="31" t="s">
        <v>62</v>
      </c>
      <c r="C42" s="363" t="s">
        <v>64</v>
      </c>
      <c r="D42" s="363">
        <v>1</v>
      </c>
      <c r="E42" s="303">
        <f>+VLOOKUP(B42,Base!$A$1:$E$2346,5,FALSE)</f>
        <v>8.7826797385620896</v>
      </c>
      <c r="F42" s="30">
        <v>1</v>
      </c>
      <c r="G42" s="374">
        <f t="shared" si="4"/>
        <v>8.7826797385620896</v>
      </c>
      <c r="K42" t="s">
        <v>62</v>
      </c>
      <c r="L42" t="s">
        <v>64</v>
      </c>
      <c r="M42">
        <v>1</v>
      </c>
      <c r="N42">
        <v>8.7826797385620896</v>
      </c>
      <c r="O42">
        <v>1</v>
      </c>
      <c r="P42">
        <v>8.7826797385620896</v>
      </c>
    </row>
    <row r="43" spans="2:16" x14ac:dyDescent="0.25">
      <c r="B43" s="31" t="s">
        <v>895</v>
      </c>
      <c r="C43" s="363" t="s">
        <v>896</v>
      </c>
      <c r="D43" s="363">
        <v>1</v>
      </c>
      <c r="E43" s="303">
        <f>+VLOOKUP(B43,Base!$A$1:$E$2346,5,FALSE)</f>
        <v>0.15208493528130204</v>
      </c>
      <c r="F43" s="30">
        <v>1</v>
      </c>
      <c r="G43" s="374">
        <f t="shared" si="4"/>
        <v>0.15208493528130204</v>
      </c>
      <c r="K43" t="s">
        <v>895</v>
      </c>
      <c r="L43" t="s">
        <v>896</v>
      </c>
      <c r="M43">
        <v>1</v>
      </c>
      <c r="N43">
        <v>0.15208493528130204</v>
      </c>
      <c r="O43">
        <v>1</v>
      </c>
      <c r="P43">
        <v>0.15208493528130204</v>
      </c>
    </row>
    <row r="44" spans="2:16" ht="15.75" thickBot="1" x14ac:dyDescent="0.3">
      <c r="B44" s="281"/>
      <c r="C44" s="364"/>
      <c r="D44" s="364"/>
      <c r="E44" s="365"/>
      <c r="N44"/>
      <c r="O44"/>
      <c r="P44"/>
    </row>
    <row r="45" spans="2:16" x14ac:dyDescent="0.25">
      <c r="B45" s="103" t="s">
        <v>1838</v>
      </c>
      <c r="C45" s="479" t="s">
        <v>1839</v>
      </c>
      <c r="D45" s="479"/>
      <c r="E45" s="479"/>
      <c r="F45" s="479"/>
      <c r="G45" s="480"/>
    </row>
    <row r="46" spans="2:16" ht="15.75" thickBot="1" x14ac:dyDescent="0.3">
      <c r="B46" s="380" t="s">
        <v>0</v>
      </c>
      <c r="C46" s="481" t="s">
        <v>2150</v>
      </c>
      <c r="D46" s="481"/>
      <c r="E46" s="481"/>
      <c r="F46" s="481"/>
      <c r="G46" s="482"/>
    </row>
    <row r="47" spans="2:16" x14ac:dyDescent="0.25">
      <c r="B47" s="326" t="s">
        <v>60</v>
      </c>
      <c r="C47" s="107" t="s">
        <v>63</v>
      </c>
      <c r="D47" s="359">
        <v>6</v>
      </c>
      <c r="E47" s="303">
        <f>+VLOOKUP(B47,Base!$A$1:$E$2346,5,FALSE)</f>
        <v>86.505190311418687</v>
      </c>
      <c r="F47" s="30">
        <f>ROUND((D1*D2/D47),0)+2</f>
        <v>2</v>
      </c>
      <c r="G47" s="374">
        <f t="shared" ref="G47:G50" si="5">+F47*E47</f>
        <v>173.01038062283737</v>
      </c>
      <c r="K47" t="s">
        <v>60</v>
      </c>
      <c r="L47" t="s">
        <v>63</v>
      </c>
      <c r="M47">
        <v>6</v>
      </c>
      <c r="N47" s="56">
        <v>86.505190311418687</v>
      </c>
      <c r="O47" s="56">
        <v>4</v>
      </c>
      <c r="P47" s="56">
        <v>346.02076124567475</v>
      </c>
    </row>
    <row r="48" spans="2:16" x14ac:dyDescent="0.25">
      <c r="B48" s="326" t="s">
        <v>814</v>
      </c>
      <c r="C48" s="107" t="s">
        <v>815</v>
      </c>
      <c r="D48" s="359">
        <v>1</v>
      </c>
      <c r="E48" s="303">
        <f>+VLOOKUP(B48,Base!$A$1:$E$2346,5,FALSE)</f>
        <v>0.80515553972454046</v>
      </c>
      <c r="F48" s="30">
        <v>4</v>
      </c>
      <c r="G48" s="374">
        <f t="shared" si="5"/>
        <v>3.2206221588981618</v>
      </c>
      <c r="K48" t="s">
        <v>814</v>
      </c>
      <c r="L48" t="s">
        <v>815</v>
      </c>
      <c r="M48">
        <v>1</v>
      </c>
      <c r="N48" s="56">
        <v>0.80515553972454046</v>
      </c>
      <c r="O48" s="56">
        <v>4</v>
      </c>
      <c r="P48" s="56">
        <v>3.2206221588981618</v>
      </c>
    </row>
    <row r="49" spans="2:17" x14ac:dyDescent="0.25">
      <c r="B49" s="326" t="s">
        <v>61</v>
      </c>
      <c r="C49" s="107" t="s">
        <v>2146</v>
      </c>
      <c r="D49" s="359">
        <v>1</v>
      </c>
      <c r="E49" s="303">
        <f>+VLOOKUP(B49,Base!$A$1:$E$2346,5,FALSE)</f>
        <v>0.23004443992129719</v>
      </c>
      <c r="F49" s="30">
        <f>+F47</f>
        <v>2</v>
      </c>
      <c r="G49" s="374">
        <f t="shared" si="5"/>
        <v>0.46008887984259439</v>
      </c>
      <c r="K49" t="s">
        <v>61</v>
      </c>
      <c r="L49" t="s">
        <v>2146</v>
      </c>
      <c r="M49">
        <v>1</v>
      </c>
      <c r="N49" s="56">
        <v>0.23004443992129719</v>
      </c>
      <c r="O49" s="56">
        <v>4</v>
      </c>
      <c r="P49" s="56">
        <v>0.92017775968518878</v>
      </c>
    </row>
    <row r="50" spans="2:17" x14ac:dyDescent="0.25">
      <c r="B50" s="326">
        <v>8510211</v>
      </c>
      <c r="C50" s="107" t="s">
        <v>2145</v>
      </c>
      <c r="D50" s="359">
        <v>1</v>
      </c>
      <c r="E50" s="303">
        <f>+VLOOKUP(B50,Base!$A$1:$E$2346,5,FALSE)</f>
        <v>82.401690635813154</v>
      </c>
      <c r="F50" s="30">
        <f>+F47*2</f>
        <v>4</v>
      </c>
      <c r="G50" s="374">
        <f t="shared" si="5"/>
        <v>329.60676254325261</v>
      </c>
      <c r="K50">
        <v>8510211</v>
      </c>
      <c r="L50" t="s">
        <v>2145</v>
      </c>
      <c r="M50">
        <v>1</v>
      </c>
      <c r="N50" s="56">
        <v>77.01024491782006</v>
      </c>
      <c r="O50" s="56">
        <v>8</v>
      </c>
      <c r="P50" s="56">
        <v>616.08195934256048</v>
      </c>
    </row>
    <row r="51" spans="2:17" ht="15.75" thickBot="1" x14ac:dyDescent="0.3">
      <c r="B51" s="366"/>
      <c r="C51" s="96"/>
      <c r="D51" s="95"/>
      <c r="E51" s="92"/>
      <c r="F51" s="360"/>
      <c r="G51" s="367"/>
    </row>
    <row r="52" spans="2:17" x14ac:dyDescent="0.25">
      <c r="B52" s="361" t="s">
        <v>1838</v>
      </c>
      <c r="C52" s="490"/>
      <c r="D52" s="490"/>
      <c r="E52" s="490"/>
      <c r="F52" s="490"/>
      <c r="G52" s="491"/>
    </row>
    <row r="53" spans="2:17" ht="15.75" thickBot="1" x14ac:dyDescent="0.3">
      <c r="B53" s="362" t="s">
        <v>0</v>
      </c>
      <c r="C53" s="492" t="s">
        <v>2137</v>
      </c>
      <c r="D53" s="492"/>
      <c r="E53" s="492"/>
      <c r="F53" s="492"/>
      <c r="G53" s="493"/>
    </row>
    <row r="54" spans="2:17" x14ac:dyDescent="0.25">
      <c r="B54" s="2">
        <v>8511510</v>
      </c>
      <c r="C54" s="107" t="s">
        <v>347</v>
      </c>
      <c r="D54" s="359">
        <v>1</v>
      </c>
      <c r="E54" s="303">
        <f>+VLOOKUP(B54,Base!$A$1:$E$2346,5,FALSE)</f>
        <v>123.65110753676468</v>
      </c>
      <c r="F54" s="101">
        <f>$D$1</f>
        <v>1</v>
      </c>
      <c r="G54" s="304">
        <f>F54*E54</f>
        <v>123.65110753676468</v>
      </c>
      <c r="H54" s="379">
        <v>1</v>
      </c>
      <c r="K54">
        <f t="shared" ref="K54" si="6">+IF($H54&lt;&gt;0,B54,"")</f>
        <v>8511510</v>
      </c>
      <c r="L54" t="str">
        <f t="shared" ref="L54" si="7">+IF($H54&lt;&gt;0,C54,"")</f>
        <v>Conector( NIPPLE ASSY,STR,5/8 ID)</v>
      </c>
      <c r="M54">
        <f t="shared" ref="M54" si="8">+IF($H54&lt;&gt;0,D54,"")</f>
        <v>1</v>
      </c>
      <c r="N54" s="87">
        <f t="shared" ref="N54" si="9">+IF($H54&lt;&gt;0,E54,"")</f>
        <v>123.65110753676468</v>
      </c>
      <c r="O54" s="87">
        <f t="shared" ref="O54" si="10">+IF($H54&lt;&gt;0,F54,"")</f>
        <v>1</v>
      </c>
      <c r="P54" s="87">
        <f t="shared" ref="P54" si="11">+IF($H54&lt;&gt;0,G54,"")</f>
        <v>123.65110753676468</v>
      </c>
      <c r="Q54" s="87">
        <f t="shared" ref="Q54" si="12">+IF($H54&lt;&gt;0,H54,"")</f>
        <v>1</v>
      </c>
    </row>
    <row r="55" spans="2:17" x14ac:dyDescent="0.25">
      <c r="B55" s="2">
        <v>8511715</v>
      </c>
      <c r="C55" s="107" t="s">
        <v>350</v>
      </c>
      <c r="D55" s="359">
        <v>1</v>
      </c>
      <c r="E55" s="303">
        <f>+VLOOKUP(B55,Base!$A$1:$E$2346,5,FALSE)</f>
        <v>158.26240808823525</v>
      </c>
      <c r="F55" s="101">
        <f t="shared" ref="F55:F57" si="13">$D$1</f>
        <v>1</v>
      </c>
      <c r="G55" s="304">
        <f t="shared" ref="G55:G57" si="14">F55*E55</f>
        <v>158.26240808823525</v>
      </c>
      <c r="H55" s="379"/>
      <c r="K55" t="str">
        <f t="shared" ref="K55:K57" si="15">+IF($H55&lt;&gt;0,B55,"")</f>
        <v/>
      </c>
      <c r="L55" t="str">
        <f t="shared" ref="L55:L57" si="16">+IF($H55&lt;&gt;0,C55,"")</f>
        <v/>
      </c>
      <c r="M55" t="str">
        <f t="shared" ref="M55:M57" si="17">+IF($H55&lt;&gt;0,D55,"")</f>
        <v/>
      </c>
      <c r="N55" s="87" t="str">
        <f t="shared" ref="N55:N57" si="18">+IF($H55&lt;&gt;0,E55,"")</f>
        <v/>
      </c>
      <c r="O55" s="87" t="str">
        <f t="shared" ref="O55:O57" si="19">+IF($H55&lt;&gt;0,F55,"")</f>
        <v/>
      </c>
      <c r="P55" s="87" t="str">
        <f t="shared" ref="P55:P57" si="20">+IF($H55&lt;&gt;0,G55,"")</f>
        <v/>
      </c>
      <c r="Q55" s="87" t="str">
        <f t="shared" ref="Q55:Q57" si="21">+IF($H55&lt;&gt;0,H55,"")</f>
        <v/>
      </c>
    </row>
    <row r="56" spans="2:17" x14ac:dyDescent="0.25">
      <c r="B56" s="2" t="s">
        <v>748</v>
      </c>
      <c r="C56" s="107" t="s">
        <v>749</v>
      </c>
      <c r="D56" s="359">
        <v>1</v>
      </c>
      <c r="E56" s="303">
        <f>+VLOOKUP(B56,Base!$A$1:$E$2346,5,FALSE)</f>
        <v>43.452838651800583</v>
      </c>
      <c r="F56" s="101">
        <f t="shared" si="13"/>
        <v>1</v>
      </c>
      <c r="G56" s="304">
        <f t="shared" si="14"/>
        <v>43.452838651800583</v>
      </c>
      <c r="H56" s="379"/>
      <c r="K56" t="str">
        <f t="shared" si="15"/>
        <v/>
      </c>
      <c r="L56" t="str">
        <f t="shared" si="16"/>
        <v/>
      </c>
      <c r="M56" t="str">
        <f t="shared" si="17"/>
        <v/>
      </c>
      <c r="N56" s="87" t="str">
        <f t="shared" si="18"/>
        <v/>
      </c>
      <c r="O56" s="87" t="str">
        <f t="shared" si="19"/>
        <v/>
      </c>
      <c r="P56" s="87" t="str">
        <f t="shared" si="20"/>
        <v/>
      </c>
      <c r="Q56" s="87" t="str">
        <f t="shared" si="21"/>
        <v/>
      </c>
    </row>
    <row r="57" spans="2:17" x14ac:dyDescent="0.25">
      <c r="B57" s="2" t="s">
        <v>750</v>
      </c>
      <c r="C57" s="107" t="s">
        <v>751</v>
      </c>
      <c r="D57" s="359">
        <v>1</v>
      </c>
      <c r="E57" s="303">
        <f>+VLOOKUP(B57,Base!$A$1:$E$2346,5,FALSE)</f>
        <v>45.625480584390615</v>
      </c>
      <c r="F57" s="101">
        <f t="shared" si="13"/>
        <v>1</v>
      </c>
      <c r="G57" s="304">
        <f t="shared" si="14"/>
        <v>45.625480584390615</v>
      </c>
      <c r="H57" s="379"/>
      <c r="K57" t="str">
        <f t="shared" si="15"/>
        <v/>
      </c>
      <c r="L57" t="str">
        <f t="shared" si="16"/>
        <v/>
      </c>
      <c r="M57" t="str">
        <f t="shared" si="17"/>
        <v/>
      </c>
      <c r="N57" s="87" t="str">
        <f t="shared" si="18"/>
        <v/>
      </c>
      <c r="O57" s="87" t="str">
        <f t="shared" si="19"/>
        <v/>
      </c>
      <c r="P57" s="87" t="str">
        <f t="shared" si="20"/>
        <v/>
      </c>
      <c r="Q57" s="87" t="str">
        <f t="shared" si="21"/>
        <v/>
      </c>
    </row>
    <row r="58" spans="2:17" ht="15.75" thickBot="1" x14ac:dyDescent="0.3">
      <c r="B58" s="95"/>
      <c r="C58" s="96"/>
      <c r="D58" s="95"/>
      <c r="E58" s="309"/>
      <c r="F58" s="97"/>
      <c r="G58" s="309"/>
      <c r="L58" t="str">
        <f t="shared" ref="L58:L95" si="22">+IF($H58&lt;&gt;0,C58,"")</f>
        <v/>
      </c>
      <c r="M58" t="str">
        <f t="shared" ref="M58:M95" si="23">+IF($H58&lt;&gt;0,D58,"")</f>
        <v/>
      </c>
      <c r="N58" t="str">
        <f t="shared" ref="N58:N95" si="24">+IF($H58&lt;&gt;0,E58,"")</f>
        <v/>
      </c>
      <c r="O58" s="87" t="str">
        <f t="shared" ref="O58:O95" si="25">+IF($H58&lt;&gt;0,F58,"")</f>
        <v/>
      </c>
      <c r="P58" s="87" t="str">
        <f t="shared" ref="P58:P95" si="26">+IF($H58&lt;&gt;0,G58,"")</f>
        <v/>
      </c>
      <c r="Q58" s="87" t="str">
        <f t="shared" ref="Q58:Q95" si="27">+IF($H58&lt;&gt;0,H58,"")</f>
        <v/>
      </c>
    </row>
    <row r="59" spans="2:17" x14ac:dyDescent="0.25">
      <c r="B59" s="361" t="s">
        <v>1838</v>
      </c>
      <c r="C59" s="490"/>
      <c r="D59" s="490"/>
      <c r="E59" s="490"/>
      <c r="F59" s="490"/>
      <c r="G59" s="491"/>
      <c r="L59" t="str">
        <f t="shared" si="22"/>
        <v/>
      </c>
      <c r="M59" t="str">
        <f t="shared" si="23"/>
        <v/>
      </c>
      <c r="N59" t="str">
        <f t="shared" si="24"/>
        <v/>
      </c>
      <c r="O59" s="87" t="str">
        <f t="shared" si="25"/>
        <v/>
      </c>
      <c r="P59" s="87" t="str">
        <f t="shared" si="26"/>
        <v/>
      </c>
      <c r="Q59" s="87" t="str">
        <f t="shared" si="27"/>
        <v/>
      </c>
    </row>
    <row r="60" spans="2:17" ht="15.75" thickBot="1" x14ac:dyDescent="0.3">
      <c r="B60" s="362" t="s">
        <v>0</v>
      </c>
      <c r="C60" s="492" t="s">
        <v>2138</v>
      </c>
      <c r="D60" s="492"/>
      <c r="E60" s="492"/>
      <c r="F60" s="492"/>
      <c r="G60" s="493"/>
      <c r="L60" t="str">
        <f t="shared" si="22"/>
        <v/>
      </c>
      <c r="M60" t="str">
        <f t="shared" si="23"/>
        <v/>
      </c>
      <c r="N60" t="str">
        <f t="shared" si="24"/>
        <v/>
      </c>
      <c r="O60" s="87" t="str">
        <f t="shared" si="25"/>
        <v/>
      </c>
      <c r="P60" s="87" t="str">
        <f t="shared" si="26"/>
        <v/>
      </c>
      <c r="Q60" s="87" t="str">
        <f t="shared" si="27"/>
        <v/>
      </c>
    </row>
    <row r="61" spans="2:17" x14ac:dyDescent="0.25">
      <c r="B61" s="2">
        <v>8500823</v>
      </c>
      <c r="C61" s="107" t="s">
        <v>250</v>
      </c>
      <c r="D61" s="359">
        <v>1</v>
      </c>
      <c r="E61" s="303">
        <f>+VLOOKUP(B61,Base!$A$1:$E$2346,5,FALSE)</f>
        <v>11.353607536764704</v>
      </c>
      <c r="F61" s="101">
        <f t="shared" ref="F61:F64" si="28">$D$1</f>
        <v>1</v>
      </c>
      <c r="G61" s="304">
        <f t="shared" ref="G61:G64" si="29">F61*E61</f>
        <v>11.353607536764704</v>
      </c>
      <c r="H61" s="379"/>
      <c r="K61" t="str">
        <f t="shared" ref="K61:K95" si="30">+IF($H61&lt;&gt;0,B61,"")</f>
        <v/>
      </c>
      <c r="L61" t="str">
        <f t="shared" si="22"/>
        <v/>
      </c>
      <c r="M61" t="str">
        <f t="shared" si="23"/>
        <v/>
      </c>
      <c r="N61" s="87" t="str">
        <f t="shared" si="24"/>
        <v/>
      </c>
      <c r="O61" s="87" t="str">
        <f t="shared" si="25"/>
        <v/>
      </c>
      <c r="P61" s="87" t="str">
        <f t="shared" si="26"/>
        <v/>
      </c>
      <c r="Q61" s="87" t="str">
        <f t="shared" si="27"/>
        <v/>
      </c>
    </row>
    <row r="62" spans="2:17" x14ac:dyDescent="0.25">
      <c r="B62" s="2">
        <v>8500819</v>
      </c>
      <c r="C62" s="107" t="s">
        <v>249</v>
      </c>
      <c r="D62" s="359">
        <v>1</v>
      </c>
      <c r="E62" s="303">
        <f>+VLOOKUP(B62,Base!$A$1:$E$2346,5,FALSE)</f>
        <v>35.038645268962846</v>
      </c>
      <c r="F62" s="101">
        <f t="shared" si="28"/>
        <v>1</v>
      </c>
      <c r="G62" s="304">
        <f t="shared" si="29"/>
        <v>35.038645268962846</v>
      </c>
      <c r="H62" s="379">
        <v>1</v>
      </c>
      <c r="K62">
        <f t="shared" si="30"/>
        <v>8500819</v>
      </c>
      <c r="L62" t="str">
        <f t="shared" si="22"/>
        <v>Conector (NIPPLE ASSY,STR,PLSTC,2 IN)</v>
      </c>
      <c r="M62">
        <f t="shared" si="23"/>
        <v>1</v>
      </c>
      <c r="N62" s="87">
        <f t="shared" si="24"/>
        <v>35.038645268962846</v>
      </c>
      <c r="O62" s="87">
        <f t="shared" si="25"/>
        <v>1</v>
      </c>
      <c r="P62" s="87">
        <f t="shared" si="26"/>
        <v>35.038645268962846</v>
      </c>
      <c r="Q62" s="87">
        <f t="shared" si="27"/>
        <v>1</v>
      </c>
    </row>
    <row r="63" spans="2:17" x14ac:dyDescent="0.25">
      <c r="B63" s="2">
        <v>8500834</v>
      </c>
      <c r="C63" s="107" t="s">
        <v>251</v>
      </c>
      <c r="D63" s="359">
        <v>1</v>
      </c>
      <c r="E63" s="303">
        <f>+VLOOKUP(B63,Base!$A$1:$E$2346,5,FALSE)</f>
        <v>18.922679227941174</v>
      </c>
      <c r="F63" s="101">
        <f t="shared" si="28"/>
        <v>1</v>
      </c>
      <c r="G63" s="304">
        <f t="shared" si="29"/>
        <v>18.922679227941174</v>
      </c>
      <c r="H63" s="379"/>
      <c r="K63" t="str">
        <f t="shared" si="30"/>
        <v/>
      </c>
      <c r="L63" t="str">
        <f t="shared" si="22"/>
        <v/>
      </c>
      <c r="M63" t="str">
        <f t="shared" si="23"/>
        <v/>
      </c>
      <c r="N63" s="87" t="str">
        <f t="shared" si="24"/>
        <v/>
      </c>
      <c r="O63" s="87" t="str">
        <f t="shared" si="25"/>
        <v/>
      </c>
      <c r="P63" s="87" t="str">
        <f t="shared" si="26"/>
        <v/>
      </c>
      <c r="Q63" s="87" t="str">
        <f t="shared" si="27"/>
        <v/>
      </c>
    </row>
    <row r="64" spans="2:17" x14ac:dyDescent="0.25">
      <c r="B64" s="2">
        <v>8500835</v>
      </c>
      <c r="C64" s="107" t="s">
        <v>252</v>
      </c>
      <c r="D64" s="359">
        <v>1</v>
      </c>
      <c r="E64" s="303">
        <f>+VLOOKUP(B64,Base!$A$1:$E$2346,5,FALSE)</f>
        <v>7.5690716911764717</v>
      </c>
      <c r="F64" s="101">
        <f t="shared" si="28"/>
        <v>1</v>
      </c>
      <c r="G64" s="304">
        <f t="shared" si="29"/>
        <v>7.5690716911764717</v>
      </c>
      <c r="H64" s="379"/>
      <c r="K64" t="str">
        <f t="shared" si="30"/>
        <v/>
      </c>
      <c r="L64" t="str">
        <f t="shared" si="22"/>
        <v/>
      </c>
      <c r="M64" t="str">
        <f t="shared" si="23"/>
        <v/>
      </c>
      <c r="N64" s="87" t="str">
        <f t="shared" si="24"/>
        <v/>
      </c>
      <c r="O64" s="87" t="str">
        <f t="shared" si="25"/>
        <v/>
      </c>
      <c r="P64" s="87" t="str">
        <f t="shared" si="26"/>
        <v/>
      </c>
      <c r="Q64" s="87" t="str">
        <f t="shared" si="27"/>
        <v/>
      </c>
    </row>
    <row r="65" spans="2:17" ht="15.75" thickBot="1" x14ac:dyDescent="0.3">
      <c r="K65" t="str">
        <f t="shared" si="30"/>
        <v/>
      </c>
      <c r="L65" t="str">
        <f t="shared" si="22"/>
        <v/>
      </c>
      <c r="M65" t="str">
        <f t="shared" si="23"/>
        <v/>
      </c>
      <c r="N65" s="87" t="str">
        <f t="shared" si="24"/>
        <v/>
      </c>
      <c r="O65" s="87" t="str">
        <f t="shared" si="25"/>
        <v/>
      </c>
      <c r="P65" s="87" t="str">
        <f t="shared" si="26"/>
        <v/>
      </c>
      <c r="Q65" s="87" t="str">
        <f t="shared" si="27"/>
        <v/>
      </c>
    </row>
    <row r="66" spans="2:17" x14ac:dyDescent="0.25">
      <c r="B66" s="65" t="s">
        <v>1838</v>
      </c>
      <c r="C66" s="477" t="s">
        <v>1839</v>
      </c>
      <c r="D66" s="477"/>
      <c r="E66" s="477"/>
      <c r="F66" s="477"/>
      <c r="G66" s="478"/>
      <c r="K66" t="str">
        <f t="shared" si="30"/>
        <v/>
      </c>
      <c r="L66" t="str">
        <f t="shared" si="22"/>
        <v/>
      </c>
      <c r="M66" t="str">
        <f t="shared" si="23"/>
        <v/>
      </c>
      <c r="N66" s="87" t="str">
        <f t="shared" si="24"/>
        <v/>
      </c>
      <c r="O66" s="87" t="str">
        <f t="shared" si="25"/>
        <v/>
      </c>
      <c r="P66" s="87" t="str">
        <f t="shared" si="26"/>
        <v/>
      </c>
      <c r="Q66" s="87" t="str">
        <f t="shared" si="27"/>
        <v/>
      </c>
    </row>
    <row r="67" spans="2:17" ht="15.75" thickBot="1" x14ac:dyDescent="0.3">
      <c r="B67" s="1" t="s">
        <v>0</v>
      </c>
      <c r="C67" s="463" t="s">
        <v>2139</v>
      </c>
      <c r="D67" s="463"/>
      <c r="E67" s="463"/>
      <c r="F67" s="463"/>
      <c r="G67" s="464"/>
      <c r="K67" t="str">
        <f t="shared" si="30"/>
        <v/>
      </c>
      <c r="L67" t="str">
        <f t="shared" si="22"/>
        <v/>
      </c>
      <c r="M67" t="str">
        <f t="shared" si="23"/>
        <v/>
      </c>
      <c r="N67" s="87" t="str">
        <f t="shared" si="24"/>
        <v/>
      </c>
      <c r="O67" s="87" t="str">
        <f t="shared" si="25"/>
        <v/>
      </c>
      <c r="P67" s="87" t="str">
        <f t="shared" si="26"/>
        <v/>
      </c>
      <c r="Q67" s="87" t="str">
        <f t="shared" si="27"/>
        <v/>
      </c>
    </row>
    <row r="68" spans="2:17" x14ac:dyDescent="0.25">
      <c r="B68" s="2" t="s">
        <v>851</v>
      </c>
      <c r="C68" s="107" t="s">
        <v>852</v>
      </c>
      <c r="D68" s="359">
        <v>1</v>
      </c>
      <c r="E68" s="303">
        <f>+VLOOKUP(B68,Base!$A$1:$E$2346,5,FALSE)</f>
        <v>0.21726419325900292</v>
      </c>
      <c r="F68" s="30">
        <f>H68</f>
        <v>0</v>
      </c>
      <c r="G68" s="109">
        <f>E68/D68*F68</f>
        <v>0</v>
      </c>
      <c r="H68" s="379"/>
      <c r="K68" t="str">
        <f t="shared" si="30"/>
        <v/>
      </c>
      <c r="L68" t="str">
        <f t="shared" si="22"/>
        <v/>
      </c>
      <c r="M68" t="str">
        <f t="shared" si="23"/>
        <v/>
      </c>
      <c r="N68" s="87" t="str">
        <f t="shared" si="24"/>
        <v/>
      </c>
      <c r="O68" s="87" t="str">
        <f t="shared" si="25"/>
        <v/>
      </c>
      <c r="P68" s="87" t="str">
        <f t="shared" si="26"/>
        <v/>
      </c>
      <c r="Q68" s="87" t="str">
        <f t="shared" si="27"/>
        <v/>
      </c>
    </row>
    <row r="69" spans="2:17" x14ac:dyDescent="0.25">
      <c r="B69" s="2"/>
      <c r="C69" s="107"/>
      <c r="D69" s="359"/>
      <c r="E69" s="108"/>
      <c r="F69" s="30"/>
      <c r="G69" s="109"/>
      <c r="K69" t="str">
        <f t="shared" si="30"/>
        <v/>
      </c>
      <c r="L69" t="str">
        <f t="shared" si="22"/>
        <v/>
      </c>
      <c r="M69" t="str">
        <f t="shared" si="23"/>
        <v/>
      </c>
      <c r="N69" s="87" t="str">
        <f t="shared" si="24"/>
        <v/>
      </c>
      <c r="O69" s="87" t="str">
        <f t="shared" si="25"/>
        <v/>
      </c>
      <c r="P69" s="87" t="str">
        <f t="shared" si="26"/>
        <v/>
      </c>
      <c r="Q69" s="87" t="str">
        <f t="shared" si="27"/>
        <v/>
      </c>
    </row>
    <row r="70" spans="2:17" x14ac:dyDescent="0.25">
      <c r="B70" s="5"/>
      <c r="C70" s="107"/>
      <c r="D70" s="359"/>
      <c r="E70" s="108"/>
      <c r="F70" s="24"/>
      <c r="G70" s="109"/>
      <c r="K70" t="str">
        <f t="shared" si="30"/>
        <v/>
      </c>
      <c r="L70" t="str">
        <f t="shared" si="22"/>
        <v/>
      </c>
      <c r="M70" t="str">
        <f t="shared" si="23"/>
        <v/>
      </c>
      <c r="N70" s="87" t="str">
        <f t="shared" si="24"/>
        <v/>
      </c>
      <c r="O70" s="87" t="str">
        <f t="shared" si="25"/>
        <v/>
      </c>
      <c r="P70" s="87" t="str">
        <f t="shared" si="26"/>
        <v/>
      </c>
      <c r="Q70" s="87" t="str">
        <f t="shared" si="27"/>
        <v/>
      </c>
    </row>
    <row r="71" spans="2:17" x14ac:dyDescent="0.25">
      <c r="B71" s="64"/>
      <c r="C71" s="64"/>
      <c r="D71" s="64"/>
      <c r="E71" s="64"/>
      <c r="F71" s="64"/>
      <c r="G71" s="64"/>
      <c r="K71" t="str">
        <f t="shared" si="30"/>
        <v/>
      </c>
      <c r="L71" t="str">
        <f t="shared" si="22"/>
        <v/>
      </c>
      <c r="M71" t="str">
        <f t="shared" si="23"/>
        <v/>
      </c>
      <c r="N71" s="87" t="str">
        <f t="shared" si="24"/>
        <v/>
      </c>
      <c r="O71" s="87" t="str">
        <f t="shared" si="25"/>
        <v/>
      </c>
      <c r="P71" s="87" t="str">
        <f t="shared" si="26"/>
        <v/>
      </c>
      <c r="Q71" s="87" t="str">
        <f t="shared" si="27"/>
        <v/>
      </c>
    </row>
    <row r="72" spans="2:17" ht="15.75" thickBot="1" x14ac:dyDescent="0.3">
      <c r="B72" s="64"/>
      <c r="C72" s="64"/>
      <c r="D72" s="64"/>
      <c r="E72" s="64"/>
      <c r="F72" s="64"/>
      <c r="G72" s="64"/>
      <c r="K72" t="str">
        <f t="shared" si="30"/>
        <v/>
      </c>
      <c r="L72" t="str">
        <f t="shared" si="22"/>
        <v/>
      </c>
      <c r="M72" t="str">
        <f t="shared" si="23"/>
        <v/>
      </c>
      <c r="N72" s="87" t="str">
        <f t="shared" si="24"/>
        <v/>
      </c>
      <c r="O72" s="87" t="str">
        <f t="shared" si="25"/>
        <v/>
      </c>
      <c r="P72" s="87" t="str">
        <f t="shared" si="26"/>
        <v/>
      </c>
      <c r="Q72" s="87" t="str">
        <f t="shared" si="27"/>
        <v/>
      </c>
    </row>
    <row r="73" spans="2:17" x14ac:dyDescent="0.25">
      <c r="B73" s="65" t="s">
        <v>1838</v>
      </c>
      <c r="C73" s="477" t="s">
        <v>1839</v>
      </c>
      <c r="D73" s="477"/>
      <c r="E73" s="477"/>
      <c r="F73" s="477"/>
      <c r="G73" s="478"/>
      <c r="K73" t="str">
        <f t="shared" si="30"/>
        <v/>
      </c>
      <c r="L73" t="str">
        <f t="shared" si="22"/>
        <v/>
      </c>
      <c r="M73" t="str">
        <f t="shared" si="23"/>
        <v/>
      </c>
      <c r="N73" s="87" t="str">
        <f t="shared" si="24"/>
        <v/>
      </c>
      <c r="O73" s="87" t="str">
        <f t="shared" si="25"/>
        <v/>
      </c>
      <c r="P73" s="87" t="str">
        <f t="shared" si="26"/>
        <v/>
      </c>
      <c r="Q73" s="87" t="str">
        <f t="shared" si="27"/>
        <v/>
      </c>
    </row>
    <row r="74" spans="2:17" ht="15.75" thickBot="1" x14ac:dyDescent="0.3">
      <c r="B74" s="1" t="s">
        <v>0</v>
      </c>
      <c r="C74" s="463" t="s">
        <v>2140</v>
      </c>
      <c r="D74" s="463"/>
      <c r="E74" s="463"/>
      <c r="F74" s="463"/>
      <c r="G74" s="464"/>
      <c r="K74" t="str">
        <f t="shared" si="30"/>
        <v/>
      </c>
      <c r="L74" t="str">
        <f t="shared" si="22"/>
        <v/>
      </c>
      <c r="M74" t="str">
        <f t="shared" si="23"/>
        <v/>
      </c>
      <c r="N74" s="87" t="str">
        <f t="shared" si="24"/>
        <v/>
      </c>
      <c r="O74" s="87" t="str">
        <f t="shared" si="25"/>
        <v/>
      </c>
      <c r="P74" s="87" t="str">
        <f t="shared" si="26"/>
        <v/>
      </c>
      <c r="Q74" s="87" t="str">
        <f t="shared" si="27"/>
        <v/>
      </c>
    </row>
    <row r="75" spans="2:17" x14ac:dyDescent="0.25">
      <c r="B75" s="2" t="s">
        <v>859</v>
      </c>
      <c r="C75" s="107" t="s">
        <v>860</v>
      </c>
      <c r="D75" s="359">
        <v>1</v>
      </c>
      <c r="E75" s="303">
        <f>+VLOOKUP(B75,Base!$A$1:$E$2346,5,FALSE)</f>
        <v>0.91250961168781242</v>
      </c>
      <c r="F75" s="30">
        <f>H75</f>
        <v>0</v>
      </c>
      <c r="G75" s="109">
        <f>E75/D75*F75</f>
        <v>0</v>
      </c>
      <c r="H75" s="379"/>
      <c r="K75" t="str">
        <f t="shared" si="30"/>
        <v/>
      </c>
      <c r="L75" t="str">
        <f t="shared" si="22"/>
        <v/>
      </c>
      <c r="M75" t="str">
        <f t="shared" si="23"/>
        <v/>
      </c>
      <c r="N75" s="87" t="str">
        <f t="shared" si="24"/>
        <v/>
      </c>
      <c r="O75" s="87" t="str">
        <f t="shared" si="25"/>
        <v/>
      </c>
      <c r="P75" s="87" t="str">
        <f t="shared" si="26"/>
        <v/>
      </c>
      <c r="Q75" s="87" t="str">
        <f t="shared" si="27"/>
        <v/>
      </c>
    </row>
    <row r="76" spans="2:17" x14ac:dyDescent="0.25">
      <c r="B76" s="2"/>
      <c r="C76" s="107"/>
      <c r="D76" s="359"/>
      <c r="E76" s="108"/>
      <c r="F76" s="30"/>
      <c r="G76" s="109"/>
      <c r="K76" t="str">
        <f t="shared" si="30"/>
        <v/>
      </c>
      <c r="L76" t="str">
        <f t="shared" si="22"/>
        <v/>
      </c>
      <c r="M76" t="str">
        <f t="shared" si="23"/>
        <v/>
      </c>
      <c r="N76" s="87" t="str">
        <f t="shared" si="24"/>
        <v/>
      </c>
      <c r="O76" s="87" t="str">
        <f t="shared" si="25"/>
        <v/>
      </c>
      <c r="P76" s="87" t="str">
        <f t="shared" si="26"/>
        <v/>
      </c>
      <c r="Q76" s="87" t="str">
        <f t="shared" si="27"/>
        <v/>
      </c>
    </row>
    <row r="77" spans="2:17" x14ac:dyDescent="0.25">
      <c r="B77" s="5"/>
      <c r="C77" s="107"/>
      <c r="D77" s="359"/>
      <c r="E77" s="108"/>
      <c r="F77" s="24"/>
      <c r="G77" s="109"/>
      <c r="K77" t="str">
        <f t="shared" si="30"/>
        <v/>
      </c>
      <c r="L77" t="str">
        <f t="shared" si="22"/>
        <v/>
      </c>
      <c r="M77" t="str">
        <f t="shared" si="23"/>
        <v/>
      </c>
      <c r="N77" s="87" t="str">
        <f t="shared" si="24"/>
        <v/>
      </c>
      <c r="O77" s="87" t="str">
        <f t="shared" si="25"/>
        <v/>
      </c>
      <c r="P77" s="87" t="str">
        <f t="shared" si="26"/>
        <v/>
      </c>
      <c r="Q77" s="87" t="str">
        <f t="shared" si="27"/>
        <v/>
      </c>
    </row>
    <row r="78" spans="2:17" ht="15.75" thickBot="1" x14ac:dyDescent="0.3">
      <c r="B78" s="64"/>
      <c r="C78" s="64"/>
      <c r="D78" s="64"/>
      <c r="E78" s="64"/>
      <c r="F78" s="64"/>
      <c r="G78" s="64"/>
      <c r="K78" t="str">
        <f t="shared" si="30"/>
        <v/>
      </c>
      <c r="L78" t="str">
        <f t="shared" si="22"/>
        <v/>
      </c>
      <c r="M78" t="str">
        <f t="shared" si="23"/>
        <v/>
      </c>
      <c r="N78" s="87" t="str">
        <f t="shared" si="24"/>
        <v/>
      </c>
      <c r="O78" s="87" t="str">
        <f t="shared" si="25"/>
        <v/>
      </c>
      <c r="P78" s="87" t="str">
        <f t="shared" si="26"/>
        <v/>
      </c>
      <c r="Q78" s="87" t="str">
        <f t="shared" si="27"/>
        <v/>
      </c>
    </row>
    <row r="79" spans="2:17" x14ac:dyDescent="0.25">
      <c r="B79" s="65" t="s">
        <v>1838</v>
      </c>
      <c r="C79" s="477" t="s">
        <v>1839</v>
      </c>
      <c r="D79" s="477"/>
      <c r="E79" s="477"/>
      <c r="F79" s="477"/>
      <c r="G79" s="478"/>
      <c r="K79" t="str">
        <f t="shared" si="30"/>
        <v/>
      </c>
      <c r="L79" t="str">
        <f t="shared" si="22"/>
        <v/>
      </c>
      <c r="M79" t="str">
        <f t="shared" si="23"/>
        <v/>
      </c>
      <c r="N79" s="87" t="str">
        <f t="shared" si="24"/>
        <v/>
      </c>
      <c r="O79" s="87" t="str">
        <f t="shared" si="25"/>
        <v/>
      </c>
      <c r="P79" s="87" t="str">
        <f t="shared" si="26"/>
        <v/>
      </c>
      <c r="Q79" s="87" t="str">
        <f t="shared" si="27"/>
        <v/>
      </c>
    </row>
    <row r="80" spans="2:17" ht="15.75" thickBot="1" x14ac:dyDescent="0.3">
      <c r="B80" s="1" t="s">
        <v>0</v>
      </c>
      <c r="C80" s="463" t="s">
        <v>2141</v>
      </c>
      <c r="D80" s="463"/>
      <c r="E80" s="463"/>
      <c r="F80" s="463"/>
      <c r="G80" s="464"/>
      <c r="K80" t="str">
        <f t="shared" si="30"/>
        <v/>
      </c>
      <c r="L80" t="str">
        <f t="shared" si="22"/>
        <v/>
      </c>
      <c r="M80" t="str">
        <f t="shared" si="23"/>
        <v/>
      </c>
      <c r="N80" s="87" t="str">
        <f t="shared" si="24"/>
        <v/>
      </c>
      <c r="O80" s="87" t="str">
        <f t="shared" si="25"/>
        <v/>
      </c>
      <c r="P80" s="87" t="str">
        <f t="shared" si="26"/>
        <v/>
      </c>
      <c r="Q80" s="87" t="str">
        <f t="shared" si="27"/>
        <v/>
      </c>
    </row>
    <row r="81" spans="2:17" x14ac:dyDescent="0.25">
      <c r="B81" s="2">
        <v>8507904</v>
      </c>
      <c r="C81" s="107" t="s">
        <v>315</v>
      </c>
      <c r="D81" s="359">
        <v>1</v>
      </c>
      <c r="E81" s="303">
        <f>+VLOOKUP(B81,Base!$A$1:$E$2346,5,FALSE)</f>
        <v>21.609880756578946</v>
      </c>
      <c r="F81" s="30">
        <f>2*H81</f>
        <v>0</v>
      </c>
      <c r="G81" s="109">
        <f>E81/D81*F81</f>
        <v>0</v>
      </c>
      <c r="H81" s="379"/>
      <c r="K81" t="str">
        <f t="shared" si="30"/>
        <v/>
      </c>
      <c r="L81" t="str">
        <f t="shared" si="22"/>
        <v/>
      </c>
      <c r="M81" t="str">
        <f t="shared" si="23"/>
        <v/>
      </c>
      <c r="N81" s="87" t="str">
        <f t="shared" si="24"/>
        <v/>
      </c>
      <c r="O81" s="87" t="str">
        <f t="shared" si="25"/>
        <v/>
      </c>
      <c r="P81" s="87" t="str">
        <f t="shared" si="26"/>
        <v/>
      </c>
      <c r="Q81" s="87" t="str">
        <f t="shared" si="27"/>
        <v/>
      </c>
    </row>
    <row r="82" spans="2:17" x14ac:dyDescent="0.25">
      <c r="B82" s="2">
        <v>8507932</v>
      </c>
      <c r="C82" s="107" t="s">
        <v>318</v>
      </c>
      <c r="D82" s="359">
        <v>1</v>
      </c>
      <c r="E82" s="303">
        <f>+VLOOKUP(B82,Base!$A$1:$E$2346,5,FALSE)</f>
        <v>11.972895220588235</v>
      </c>
      <c r="F82" s="30">
        <f>1*H82</f>
        <v>0</v>
      </c>
      <c r="G82" s="109">
        <f>E82/D82*F82</f>
        <v>0</v>
      </c>
      <c r="H82" s="379"/>
      <c r="K82" t="str">
        <f t="shared" si="30"/>
        <v/>
      </c>
      <c r="L82" t="str">
        <f t="shared" si="22"/>
        <v/>
      </c>
      <c r="M82" t="str">
        <f t="shared" si="23"/>
        <v/>
      </c>
      <c r="N82" s="87" t="str">
        <f t="shared" si="24"/>
        <v/>
      </c>
      <c r="O82" s="87" t="str">
        <f t="shared" si="25"/>
        <v/>
      </c>
      <c r="P82" s="87" t="str">
        <f t="shared" si="26"/>
        <v/>
      </c>
      <c r="Q82" s="87" t="str">
        <f t="shared" si="27"/>
        <v/>
      </c>
    </row>
    <row r="83" spans="2:17" x14ac:dyDescent="0.25">
      <c r="B83" s="2">
        <v>8507905</v>
      </c>
      <c r="C83" s="107" t="s">
        <v>316</v>
      </c>
      <c r="D83" s="359">
        <v>1</v>
      </c>
      <c r="E83" s="303">
        <f>+VLOOKUP(B83,Base!$A$1:$E$2346,5,FALSE)</f>
        <v>2.118615760448916</v>
      </c>
      <c r="F83" s="30">
        <f>1*H83</f>
        <v>0</v>
      </c>
      <c r="G83" s="109">
        <f>E83/D83*F83</f>
        <v>0</v>
      </c>
      <c r="H83" s="379"/>
      <c r="K83" t="str">
        <f t="shared" si="30"/>
        <v/>
      </c>
      <c r="L83" t="str">
        <f t="shared" si="22"/>
        <v/>
      </c>
      <c r="M83" t="str">
        <f t="shared" si="23"/>
        <v/>
      </c>
      <c r="N83" s="87" t="str">
        <f t="shared" si="24"/>
        <v/>
      </c>
      <c r="O83" s="87" t="str">
        <f t="shared" si="25"/>
        <v/>
      </c>
      <c r="P83" s="87" t="str">
        <f t="shared" si="26"/>
        <v/>
      </c>
      <c r="Q83" s="87" t="str">
        <f t="shared" si="27"/>
        <v/>
      </c>
    </row>
    <row r="84" spans="2:17" ht="15.75" thickBot="1" x14ac:dyDescent="0.3">
      <c r="B84" s="64"/>
      <c r="C84" s="64"/>
      <c r="D84" s="64"/>
      <c r="E84" s="64"/>
      <c r="F84" s="64"/>
      <c r="G84" s="64"/>
      <c r="K84" t="str">
        <f t="shared" si="30"/>
        <v/>
      </c>
      <c r="L84" t="str">
        <f t="shared" si="22"/>
        <v/>
      </c>
      <c r="M84" t="str">
        <f t="shared" si="23"/>
        <v/>
      </c>
      <c r="N84" s="87" t="str">
        <f t="shared" si="24"/>
        <v/>
      </c>
      <c r="O84" s="87" t="str">
        <f t="shared" si="25"/>
        <v/>
      </c>
      <c r="P84" s="87" t="str">
        <f t="shared" si="26"/>
        <v/>
      </c>
      <c r="Q84" s="87" t="str">
        <f t="shared" si="27"/>
        <v/>
      </c>
    </row>
    <row r="85" spans="2:17" x14ac:dyDescent="0.25">
      <c r="B85" s="65" t="s">
        <v>1838</v>
      </c>
      <c r="C85" s="477" t="s">
        <v>1839</v>
      </c>
      <c r="D85" s="477"/>
      <c r="E85" s="477"/>
      <c r="F85" s="477"/>
      <c r="G85" s="478"/>
      <c r="K85" t="str">
        <f t="shared" si="30"/>
        <v/>
      </c>
      <c r="L85" t="str">
        <f t="shared" si="22"/>
        <v/>
      </c>
      <c r="M85" t="str">
        <f t="shared" si="23"/>
        <v/>
      </c>
      <c r="N85" s="87" t="str">
        <f t="shared" si="24"/>
        <v/>
      </c>
      <c r="O85" s="87" t="str">
        <f t="shared" si="25"/>
        <v/>
      </c>
      <c r="P85" s="87" t="str">
        <f t="shared" si="26"/>
        <v/>
      </c>
      <c r="Q85" s="87" t="str">
        <f t="shared" si="27"/>
        <v/>
      </c>
    </row>
    <row r="86" spans="2:17" ht="15.75" thickBot="1" x14ac:dyDescent="0.3">
      <c r="B86" s="1" t="s">
        <v>0</v>
      </c>
      <c r="C86" s="463" t="s">
        <v>2206</v>
      </c>
      <c r="D86" s="463"/>
      <c r="E86" s="463"/>
      <c r="F86" s="463"/>
      <c r="G86" s="464"/>
      <c r="K86" t="str">
        <f t="shared" si="30"/>
        <v/>
      </c>
      <c r="L86" t="str">
        <f t="shared" si="22"/>
        <v/>
      </c>
      <c r="M86" t="str">
        <f t="shared" si="23"/>
        <v/>
      </c>
      <c r="N86" s="87" t="str">
        <f t="shared" si="24"/>
        <v/>
      </c>
      <c r="O86" s="87" t="str">
        <f t="shared" si="25"/>
        <v/>
      </c>
      <c r="P86" s="87" t="str">
        <f t="shared" si="26"/>
        <v/>
      </c>
      <c r="Q86" s="87" t="str">
        <f t="shared" si="27"/>
        <v/>
      </c>
    </row>
    <row r="87" spans="2:17" x14ac:dyDescent="0.25">
      <c r="B87" s="77">
        <v>8507950</v>
      </c>
      <c r="C87" s="107" t="s">
        <v>321</v>
      </c>
      <c r="D87" s="359">
        <v>1</v>
      </c>
      <c r="E87" s="303">
        <f>+VLOOKUP(B87,Base!$A$1:$E$2346,5,FALSE)</f>
        <v>24.565078124999989</v>
      </c>
      <c r="F87" s="30">
        <f>2*H87</f>
        <v>0</v>
      </c>
      <c r="G87" s="109">
        <f>E87/D87*F87</f>
        <v>0</v>
      </c>
      <c r="H87" s="379"/>
      <c r="K87" t="str">
        <f t="shared" si="30"/>
        <v/>
      </c>
      <c r="L87" t="str">
        <f t="shared" si="22"/>
        <v/>
      </c>
      <c r="M87" t="str">
        <f t="shared" si="23"/>
        <v/>
      </c>
      <c r="N87" s="87" t="str">
        <f t="shared" si="24"/>
        <v/>
      </c>
      <c r="O87" s="87" t="str">
        <f t="shared" si="25"/>
        <v/>
      </c>
      <c r="P87" s="87" t="str">
        <f t="shared" si="26"/>
        <v/>
      </c>
      <c r="Q87" s="87" t="str">
        <f t="shared" si="27"/>
        <v/>
      </c>
    </row>
    <row r="88" spans="2:17" x14ac:dyDescent="0.25">
      <c r="B88" s="77">
        <v>8507951</v>
      </c>
      <c r="C88" s="107" t="s">
        <v>322</v>
      </c>
      <c r="D88" s="359">
        <v>1</v>
      </c>
      <c r="E88" s="303">
        <f>+VLOOKUP(B88,Base!$A$1:$E$2346,5,FALSE)</f>
        <v>2.5803653492647061</v>
      </c>
      <c r="F88" s="30">
        <f>1*H88</f>
        <v>0</v>
      </c>
      <c r="G88" s="109">
        <f>E88/D88*F88</f>
        <v>0</v>
      </c>
      <c r="H88" s="379"/>
      <c r="K88" t="str">
        <f t="shared" si="30"/>
        <v/>
      </c>
      <c r="L88" t="str">
        <f t="shared" si="22"/>
        <v/>
      </c>
      <c r="M88" t="str">
        <f t="shared" si="23"/>
        <v/>
      </c>
      <c r="N88" s="87" t="str">
        <f t="shared" si="24"/>
        <v/>
      </c>
      <c r="O88" s="87" t="str">
        <f t="shared" si="25"/>
        <v/>
      </c>
      <c r="P88" s="87" t="str">
        <f t="shared" si="26"/>
        <v/>
      </c>
      <c r="Q88" s="87" t="str">
        <f t="shared" si="27"/>
        <v/>
      </c>
    </row>
    <row r="89" spans="2:17" x14ac:dyDescent="0.25">
      <c r="B89" s="77">
        <v>8507933</v>
      </c>
      <c r="C89" s="107" t="s">
        <v>319</v>
      </c>
      <c r="D89" s="359">
        <v>1</v>
      </c>
      <c r="E89" s="303">
        <f>+VLOOKUP(B89,Base!$A$1:$E$2346,5,FALSE)</f>
        <v>12.901826746323527</v>
      </c>
      <c r="F89" s="30">
        <f>1*H89</f>
        <v>0</v>
      </c>
      <c r="G89" s="109">
        <f>E89/D89*F89</f>
        <v>0</v>
      </c>
      <c r="H89" s="379"/>
      <c r="K89" t="str">
        <f t="shared" si="30"/>
        <v/>
      </c>
      <c r="L89" t="str">
        <f t="shared" si="22"/>
        <v/>
      </c>
      <c r="M89" t="str">
        <f t="shared" si="23"/>
        <v/>
      </c>
      <c r="N89" s="87" t="str">
        <f t="shared" si="24"/>
        <v/>
      </c>
      <c r="O89" s="87" t="str">
        <f t="shared" si="25"/>
        <v/>
      </c>
      <c r="P89" s="87" t="str">
        <f t="shared" si="26"/>
        <v/>
      </c>
      <c r="Q89" s="87" t="str">
        <f t="shared" si="27"/>
        <v/>
      </c>
    </row>
    <row r="90" spans="2:17" ht="15.75" thickBot="1" x14ac:dyDescent="0.3">
      <c r="B90" s="64"/>
      <c r="C90" s="64"/>
      <c r="D90" s="64"/>
      <c r="E90" s="64"/>
      <c r="F90" s="64"/>
      <c r="G90" s="64"/>
      <c r="K90" t="str">
        <f t="shared" si="30"/>
        <v/>
      </c>
      <c r="L90" t="str">
        <f t="shared" si="22"/>
        <v/>
      </c>
      <c r="M90" t="str">
        <f t="shared" si="23"/>
        <v/>
      </c>
      <c r="N90" s="87" t="str">
        <f t="shared" si="24"/>
        <v/>
      </c>
      <c r="O90" s="87" t="str">
        <f t="shared" si="25"/>
        <v/>
      </c>
      <c r="P90" s="87" t="str">
        <f t="shared" si="26"/>
        <v/>
      </c>
      <c r="Q90" s="87" t="str">
        <f t="shared" si="27"/>
        <v/>
      </c>
    </row>
    <row r="91" spans="2:17" x14ac:dyDescent="0.25">
      <c r="B91" s="65" t="s">
        <v>1838</v>
      </c>
      <c r="C91" s="477" t="s">
        <v>1839</v>
      </c>
      <c r="D91" s="477"/>
      <c r="E91" s="477"/>
      <c r="F91" s="477"/>
      <c r="G91" s="478"/>
      <c r="K91" t="str">
        <f t="shared" si="30"/>
        <v/>
      </c>
      <c r="L91" t="str">
        <f t="shared" si="22"/>
        <v/>
      </c>
      <c r="M91" t="str">
        <f t="shared" si="23"/>
        <v/>
      </c>
      <c r="N91" s="87" t="str">
        <f t="shared" si="24"/>
        <v/>
      </c>
      <c r="O91" s="87" t="str">
        <f t="shared" si="25"/>
        <v/>
      </c>
      <c r="P91" s="87" t="str">
        <f t="shared" si="26"/>
        <v/>
      </c>
      <c r="Q91" s="87" t="str">
        <f t="shared" si="27"/>
        <v/>
      </c>
    </row>
    <row r="92" spans="2:17" ht="15.75" thickBot="1" x14ac:dyDescent="0.3">
      <c r="B92" s="1" t="s">
        <v>0</v>
      </c>
      <c r="C92" s="463" t="s">
        <v>2142</v>
      </c>
      <c r="D92" s="463"/>
      <c r="E92" s="463"/>
      <c r="F92" s="463"/>
      <c r="G92" s="464"/>
      <c r="K92" t="str">
        <f t="shared" si="30"/>
        <v/>
      </c>
      <c r="L92" t="str">
        <f t="shared" si="22"/>
        <v/>
      </c>
      <c r="M92" t="str">
        <f t="shared" si="23"/>
        <v/>
      </c>
      <c r="N92" s="87" t="str">
        <f t="shared" si="24"/>
        <v/>
      </c>
      <c r="O92" s="87" t="str">
        <f t="shared" si="25"/>
        <v/>
      </c>
      <c r="P92" s="87" t="str">
        <f t="shared" si="26"/>
        <v/>
      </c>
      <c r="Q92" s="87" t="str">
        <f t="shared" si="27"/>
        <v/>
      </c>
    </row>
    <row r="93" spans="2:17" x14ac:dyDescent="0.25">
      <c r="B93" s="2">
        <v>8500329</v>
      </c>
      <c r="C93" s="107" t="s">
        <v>229</v>
      </c>
      <c r="D93" s="359">
        <v>1</v>
      </c>
      <c r="E93" s="303">
        <f>+VLOOKUP(B93,Base!$A$1:$E$2346,5,FALSE)</f>
        <v>46.89383961397057</v>
      </c>
      <c r="F93" s="30">
        <f>2*H93</f>
        <v>0</v>
      </c>
      <c r="G93" s="109">
        <f>E93/D93*F93</f>
        <v>0</v>
      </c>
      <c r="H93" s="379"/>
      <c r="K93" t="str">
        <f t="shared" si="30"/>
        <v/>
      </c>
      <c r="L93" t="str">
        <f t="shared" si="22"/>
        <v/>
      </c>
      <c r="M93" t="str">
        <f t="shared" si="23"/>
        <v/>
      </c>
      <c r="N93" s="87" t="str">
        <f t="shared" si="24"/>
        <v/>
      </c>
      <c r="O93" s="87" t="str">
        <f t="shared" si="25"/>
        <v/>
      </c>
      <c r="P93" s="87" t="str">
        <f t="shared" si="26"/>
        <v/>
      </c>
      <c r="Q93" s="87" t="str">
        <f t="shared" si="27"/>
        <v/>
      </c>
    </row>
    <row r="94" spans="2:17" x14ac:dyDescent="0.25">
      <c r="B94" s="2">
        <v>8507966</v>
      </c>
      <c r="C94" s="107" t="s">
        <v>327</v>
      </c>
      <c r="D94" s="359">
        <v>1</v>
      </c>
      <c r="E94" s="303">
        <f>+VLOOKUP(B94,Base!$A$1:$E$2346,5,FALSE)</f>
        <v>16.583147977941177</v>
      </c>
      <c r="F94" s="30">
        <f>1*H94</f>
        <v>0</v>
      </c>
      <c r="G94" s="109">
        <f>E94/D94*F94</f>
        <v>0</v>
      </c>
      <c r="H94" s="379"/>
      <c r="K94" t="str">
        <f t="shared" si="30"/>
        <v/>
      </c>
      <c r="L94" t="str">
        <f t="shared" si="22"/>
        <v/>
      </c>
      <c r="M94" t="str">
        <f t="shared" si="23"/>
        <v/>
      </c>
      <c r="N94" s="87" t="str">
        <f t="shared" si="24"/>
        <v/>
      </c>
      <c r="O94" s="87" t="str">
        <f t="shared" si="25"/>
        <v/>
      </c>
      <c r="P94" s="87" t="str">
        <f t="shared" si="26"/>
        <v/>
      </c>
      <c r="Q94" s="87" t="str">
        <f t="shared" si="27"/>
        <v/>
      </c>
    </row>
    <row r="95" spans="2:17" x14ac:dyDescent="0.25">
      <c r="B95" s="2">
        <v>8500331</v>
      </c>
      <c r="C95" s="107" t="s">
        <v>230</v>
      </c>
      <c r="D95" s="359">
        <v>1</v>
      </c>
      <c r="E95" s="303">
        <f>+VLOOKUP(B95,Base!$A$1:$E$2346,5,FALSE)</f>
        <v>3.5853497484520127</v>
      </c>
      <c r="F95" s="30">
        <f>1*H95</f>
        <v>0</v>
      </c>
      <c r="G95" s="109">
        <f>E95/D95*F95</f>
        <v>0</v>
      </c>
      <c r="H95" s="379"/>
      <c r="K95" t="str">
        <f t="shared" si="30"/>
        <v/>
      </c>
      <c r="L95" t="str">
        <f t="shared" si="22"/>
        <v/>
      </c>
      <c r="M95" t="str">
        <f t="shared" si="23"/>
        <v/>
      </c>
      <c r="N95" s="87" t="str">
        <f t="shared" si="24"/>
        <v/>
      </c>
      <c r="O95" s="87" t="str">
        <f t="shared" si="25"/>
        <v/>
      </c>
      <c r="P95" s="87" t="str">
        <f t="shared" si="26"/>
        <v/>
      </c>
      <c r="Q95" s="87" t="str">
        <f t="shared" si="27"/>
        <v/>
      </c>
    </row>
    <row r="96" spans="2:17" x14ac:dyDescent="0.25">
      <c r="B96" s="64"/>
      <c r="C96" s="64"/>
      <c r="D96" s="64"/>
      <c r="E96" s="64"/>
      <c r="F96" s="64"/>
      <c r="G96" s="64"/>
    </row>
    <row r="422" spans="1:6" x14ac:dyDescent="0.25">
      <c r="A422">
        <v>8510210</v>
      </c>
      <c r="B422" t="s">
        <v>338</v>
      </c>
      <c r="C422">
        <v>1</v>
      </c>
      <c r="D422">
        <v>63.9687748702422</v>
      </c>
      <c r="E422" s="56">
        <v>7</v>
      </c>
      <c r="F422">
        <v>447.78142409169538</v>
      </c>
    </row>
    <row r="423" spans="1:6" x14ac:dyDescent="0.25">
      <c r="A423" t="s">
        <v>1546</v>
      </c>
      <c r="B423" t="s">
        <v>1547</v>
      </c>
      <c r="C423">
        <v>1</v>
      </c>
      <c r="D423">
        <v>3.7245290272971929</v>
      </c>
      <c r="E423" s="56">
        <v>7</v>
      </c>
      <c r="F423">
        <v>26.071703191080349</v>
      </c>
    </row>
    <row r="424" spans="1:6" x14ac:dyDescent="0.25">
      <c r="A424" t="s">
        <v>1181</v>
      </c>
      <c r="B424" t="s">
        <v>1182</v>
      </c>
      <c r="C424">
        <v>1</v>
      </c>
      <c r="D424">
        <v>7.4490580545943859</v>
      </c>
      <c r="E424" s="56">
        <v>7</v>
      </c>
      <c r="F424">
        <v>52.143406382160698</v>
      </c>
    </row>
    <row r="429" spans="1:6" x14ac:dyDescent="0.25">
      <c r="A429" t="s">
        <v>786</v>
      </c>
      <c r="B429" t="s">
        <v>787</v>
      </c>
      <c r="C429">
        <v>6</v>
      </c>
      <c r="D429">
        <v>297.34626547987614</v>
      </c>
      <c r="E429" s="56">
        <v>5</v>
      </c>
      <c r="F429">
        <v>1486.7313273993807</v>
      </c>
    </row>
    <row r="430" spans="1:6" x14ac:dyDescent="0.25">
      <c r="A430">
        <v>8500329</v>
      </c>
      <c r="B430" t="s">
        <v>229</v>
      </c>
      <c r="C430">
        <v>1</v>
      </c>
      <c r="D430">
        <v>40.976201746323525</v>
      </c>
      <c r="E430" s="56">
        <v>7</v>
      </c>
      <c r="F430">
        <v>286.83341222426469</v>
      </c>
    </row>
    <row r="431" spans="1:6" x14ac:dyDescent="0.25">
      <c r="A431">
        <v>8507966</v>
      </c>
      <c r="B431" t="s">
        <v>327</v>
      </c>
      <c r="C431">
        <v>1</v>
      </c>
      <c r="D431">
        <v>12.11051470588235</v>
      </c>
      <c r="E431" s="56">
        <v>7</v>
      </c>
      <c r="F431">
        <v>84.773602941176449</v>
      </c>
    </row>
    <row r="432" spans="1:6" x14ac:dyDescent="0.25">
      <c r="A432">
        <v>8500331</v>
      </c>
      <c r="B432" t="s">
        <v>230</v>
      </c>
      <c r="C432">
        <v>1</v>
      </c>
      <c r="D432">
        <v>1.3417899816176473</v>
      </c>
      <c r="E432" s="56">
        <v>7</v>
      </c>
      <c r="F432">
        <v>9.3925298713235303</v>
      </c>
    </row>
    <row r="433" spans="1:6" x14ac:dyDescent="0.25">
      <c r="A433">
        <v>8510210</v>
      </c>
      <c r="B433" t="s">
        <v>338</v>
      </c>
      <c r="C433">
        <v>1</v>
      </c>
      <c r="D433">
        <v>63.9687748702422</v>
      </c>
      <c r="E433" s="56">
        <v>10</v>
      </c>
      <c r="F433">
        <v>639.68774870242203</v>
      </c>
    </row>
    <row r="437" spans="1:6" x14ac:dyDescent="0.25">
      <c r="A437" t="s">
        <v>782</v>
      </c>
      <c r="B437" t="s">
        <v>783</v>
      </c>
      <c r="C437">
        <v>6</v>
      </c>
      <c r="D437">
        <v>195.24961300309599</v>
      </c>
      <c r="E437" s="56">
        <v>4</v>
      </c>
      <c r="F437">
        <v>780.99845201238395</v>
      </c>
    </row>
    <row r="438" spans="1:6" x14ac:dyDescent="0.25">
      <c r="A438">
        <v>8507950</v>
      </c>
      <c r="B438" t="s">
        <v>321</v>
      </c>
      <c r="C438">
        <v>1</v>
      </c>
      <c r="D438">
        <v>14.243616727941172</v>
      </c>
      <c r="E438" s="56">
        <v>8</v>
      </c>
      <c r="F438">
        <v>113.94893382352937</v>
      </c>
    </row>
    <row r="439" spans="1:6" x14ac:dyDescent="0.25">
      <c r="A439">
        <v>8507951</v>
      </c>
      <c r="B439" t="s">
        <v>322</v>
      </c>
      <c r="C439">
        <v>1</v>
      </c>
      <c r="D439">
        <v>0.65369255514705871</v>
      </c>
      <c r="E439" s="56">
        <v>8</v>
      </c>
      <c r="F439">
        <v>5.2295404411764697</v>
      </c>
    </row>
    <row r="440" spans="1:6" x14ac:dyDescent="0.25">
      <c r="A440">
        <v>8507933</v>
      </c>
      <c r="B440" t="s">
        <v>319</v>
      </c>
      <c r="C440">
        <v>1</v>
      </c>
      <c r="D440">
        <v>8.3947886029411745</v>
      </c>
      <c r="E440" s="56">
        <v>12</v>
      </c>
      <c r="F440">
        <v>100.73746323529409</v>
      </c>
    </row>
    <row r="441" spans="1:6" x14ac:dyDescent="0.25">
      <c r="A441">
        <v>8507954</v>
      </c>
      <c r="B441" t="s">
        <v>2143</v>
      </c>
      <c r="C441">
        <v>1</v>
      </c>
      <c r="D441">
        <v>52.260999540441169</v>
      </c>
      <c r="E441" s="56">
        <v>2</v>
      </c>
      <c r="F441">
        <v>104.52199908088234</v>
      </c>
    </row>
    <row r="442" spans="1:6" x14ac:dyDescent="0.25">
      <c r="A442">
        <v>8510211</v>
      </c>
      <c r="B442" t="s">
        <v>339</v>
      </c>
      <c r="C442">
        <v>1</v>
      </c>
      <c r="D442">
        <v>45.936574664792396</v>
      </c>
      <c r="E442" s="56">
        <v>8</v>
      </c>
      <c r="F442">
        <v>367.49259731833916</v>
      </c>
    </row>
    <row r="446" spans="1:6" x14ac:dyDescent="0.25">
      <c r="A446" t="s">
        <v>782</v>
      </c>
      <c r="B446" t="s">
        <v>783</v>
      </c>
      <c r="C446">
        <v>6</v>
      </c>
      <c r="D446">
        <v>195.24961300309599</v>
      </c>
      <c r="E446" s="56">
        <v>3</v>
      </c>
      <c r="F446">
        <v>585.74883900928796</v>
      </c>
    </row>
    <row r="447" spans="1:6" x14ac:dyDescent="0.25">
      <c r="A447">
        <v>8510211</v>
      </c>
      <c r="B447" t="s">
        <v>339</v>
      </c>
      <c r="C447">
        <v>1</v>
      </c>
      <c r="D447">
        <v>45.936574664792396</v>
      </c>
      <c r="E447" s="56">
        <v>6</v>
      </c>
      <c r="F447">
        <v>275.61944798875436</v>
      </c>
    </row>
    <row r="448" spans="1:6" x14ac:dyDescent="0.25">
      <c r="A448">
        <v>8507950</v>
      </c>
      <c r="B448" t="s">
        <v>321</v>
      </c>
      <c r="C448">
        <v>1</v>
      </c>
      <c r="D448">
        <v>14.243616727941172</v>
      </c>
      <c r="E448" s="56">
        <v>6</v>
      </c>
      <c r="F448">
        <v>85.461700367647026</v>
      </c>
    </row>
    <row r="449" spans="1:6" x14ac:dyDescent="0.25">
      <c r="A449">
        <v>8507951</v>
      </c>
      <c r="B449" t="s">
        <v>322</v>
      </c>
      <c r="C449">
        <v>1</v>
      </c>
      <c r="D449">
        <v>0.65369255514705871</v>
      </c>
      <c r="E449" s="56">
        <v>6</v>
      </c>
      <c r="F449">
        <v>3.9221553308823522</v>
      </c>
    </row>
    <row r="450" spans="1:6" x14ac:dyDescent="0.25">
      <c r="A450">
        <v>8507933</v>
      </c>
      <c r="B450" t="s">
        <v>319</v>
      </c>
      <c r="D450">
        <v>8.3947886029411745</v>
      </c>
      <c r="E450" s="56">
        <v>3</v>
      </c>
      <c r="F450">
        <v>25.184365808823522</v>
      </c>
    </row>
    <row r="454" spans="1:6" x14ac:dyDescent="0.25">
      <c r="A454" t="s">
        <v>17</v>
      </c>
      <c r="B454" t="s">
        <v>53</v>
      </c>
      <c r="C454">
        <v>1</v>
      </c>
      <c r="D454">
        <v>16.025086505190309</v>
      </c>
      <c r="E454" s="56">
        <v>1</v>
      </c>
      <c r="F454">
        <v>16.025086505190309</v>
      </c>
    </row>
    <row r="455" spans="1:6" x14ac:dyDescent="0.25">
      <c r="A455" t="s">
        <v>830</v>
      </c>
      <c r="B455" t="s">
        <v>831</v>
      </c>
      <c r="C455">
        <v>1</v>
      </c>
      <c r="D455">
        <v>9.0133602460592055</v>
      </c>
      <c r="E455" s="56">
        <v>1</v>
      </c>
      <c r="F455">
        <v>9.0133602460592055</v>
      </c>
    </row>
    <row r="456" spans="1:6" x14ac:dyDescent="0.25">
      <c r="A456" t="s">
        <v>836</v>
      </c>
      <c r="B456" t="s">
        <v>837</v>
      </c>
      <c r="C456">
        <v>1</v>
      </c>
      <c r="D456">
        <v>0.26071703191080353</v>
      </c>
      <c r="E456" s="56">
        <v>1</v>
      </c>
      <c r="F456">
        <v>0.26071703191080353</v>
      </c>
    </row>
    <row r="457" spans="1:6" x14ac:dyDescent="0.25">
      <c r="A457">
        <v>8510211</v>
      </c>
      <c r="B457" t="s">
        <v>2145</v>
      </c>
      <c r="C457">
        <v>1</v>
      </c>
      <c r="D457">
        <v>45.936574664792396</v>
      </c>
      <c r="E457" s="56">
        <v>1</v>
      </c>
      <c r="F457">
        <v>45.936574664792396</v>
      </c>
    </row>
    <row r="458" spans="1:6" x14ac:dyDescent="0.25">
      <c r="A458" t="s">
        <v>62</v>
      </c>
      <c r="B458" t="s">
        <v>64</v>
      </c>
      <c r="C458">
        <v>1</v>
      </c>
      <c r="D458">
        <v>8.7826797385620896</v>
      </c>
      <c r="E458" s="56">
        <v>1</v>
      </c>
      <c r="F458">
        <v>8.7826797385620896</v>
      </c>
    </row>
    <row r="459" spans="1:6" x14ac:dyDescent="0.25">
      <c r="A459" t="s">
        <v>895</v>
      </c>
      <c r="B459" t="s">
        <v>896</v>
      </c>
      <c r="C459">
        <v>1</v>
      </c>
      <c r="D459">
        <v>0.24623275236020334</v>
      </c>
      <c r="E459" s="56">
        <v>1</v>
      </c>
      <c r="F459">
        <v>0.24623275236020334</v>
      </c>
    </row>
    <row r="463" spans="1:6" x14ac:dyDescent="0.25">
      <c r="A463" t="s">
        <v>60</v>
      </c>
      <c r="B463" t="s">
        <v>63</v>
      </c>
      <c r="C463">
        <v>6</v>
      </c>
      <c r="D463">
        <v>86.505190311418687</v>
      </c>
      <c r="E463" s="56">
        <v>5</v>
      </c>
      <c r="F463">
        <v>432.52595155709344</v>
      </c>
    </row>
    <row r="464" spans="1:6" x14ac:dyDescent="0.25">
      <c r="A464" t="s">
        <v>814</v>
      </c>
      <c r="B464" t="s">
        <v>815</v>
      </c>
      <c r="C464">
        <v>1</v>
      </c>
      <c r="D464">
        <v>1.3035851595540173</v>
      </c>
      <c r="E464" s="56">
        <v>4</v>
      </c>
      <c r="F464">
        <v>5.2143406382160693</v>
      </c>
    </row>
    <row r="465" spans="1:6" x14ac:dyDescent="0.25">
      <c r="A465" t="s">
        <v>61</v>
      </c>
      <c r="B465" t="s">
        <v>2146</v>
      </c>
      <c r="C465">
        <v>1</v>
      </c>
      <c r="D465">
        <v>0.37245290272971926</v>
      </c>
      <c r="E465" s="56">
        <v>5</v>
      </c>
      <c r="F465">
        <v>1.8622645136485962</v>
      </c>
    </row>
    <row r="466" spans="1:6" x14ac:dyDescent="0.25">
      <c r="A466">
        <v>8510211</v>
      </c>
      <c r="B466" t="s">
        <v>2145</v>
      </c>
      <c r="C466">
        <v>1</v>
      </c>
      <c r="D466">
        <v>45.936574664792396</v>
      </c>
      <c r="E466" s="56">
        <v>10</v>
      </c>
      <c r="F466">
        <v>459.36574664792397</v>
      </c>
    </row>
    <row r="470" spans="1:6" x14ac:dyDescent="0.25">
      <c r="A470" t="s">
        <v>2094</v>
      </c>
      <c r="B470" t="s">
        <v>2094</v>
      </c>
      <c r="C470" t="s">
        <v>2094</v>
      </c>
      <c r="D470" t="s">
        <v>2094</v>
      </c>
      <c r="E470" s="56" t="s">
        <v>2094</v>
      </c>
      <c r="F470" t="s">
        <v>2094</v>
      </c>
    </row>
    <row r="471" spans="1:6" x14ac:dyDescent="0.25">
      <c r="A471" t="s">
        <v>2094</v>
      </c>
      <c r="B471" t="s">
        <v>2094</v>
      </c>
      <c r="C471" t="s">
        <v>2094</v>
      </c>
      <c r="D471" t="s">
        <v>2094</v>
      </c>
      <c r="E471" s="56" t="s">
        <v>2094</v>
      </c>
      <c r="F471" t="s">
        <v>2094</v>
      </c>
    </row>
    <row r="472" spans="1:6" x14ac:dyDescent="0.25">
      <c r="A472" t="s">
        <v>2094</v>
      </c>
      <c r="B472" t="s">
        <v>2094</v>
      </c>
      <c r="C472" t="s">
        <v>2094</v>
      </c>
      <c r="D472" t="s">
        <v>2094</v>
      </c>
      <c r="E472" s="56" t="s">
        <v>2094</v>
      </c>
      <c r="F472" t="s">
        <v>2094</v>
      </c>
    </row>
    <row r="473" spans="1:6" x14ac:dyDescent="0.25">
      <c r="A473" t="s">
        <v>750</v>
      </c>
      <c r="B473" t="s">
        <v>751</v>
      </c>
      <c r="C473">
        <v>1</v>
      </c>
      <c r="D473">
        <v>4.2211328976034848</v>
      </c>
      <c r="E473" s="56">
        <v>20</v>
      </c>
      <c r="F473">
        <v>84.422657952069699</v>
      </c>
    </row>
    <row r="474" spans="1:6" x14ac:dyDescent="0.25">
      <c r="B474" t="s">
        <v>2094</v>
      </c>
      <c r="C474" t="s">
        <v>2094</v>
      </c>
      <c r="D474" t="s">
        <v>2094</v>
      </c>
      <c r="E474" s="56" t="s">
        <v>2094</v>
      </c>
      <c r="F474" t="s">
        <v>2094</v>
      </c>
    </row>
    <row r="475" spans="1:6" x14ac:dyDescent="0.25">
      <c r="B475" t="s">
        <v>2094</v>
      </c>
      <c r="C475" t="s">
        <v>2094</v>
      </c>
      <c r="D475" t="s">
        <v>2094</v>
      </c>
      <c r="E475" s="56" t="s">
        <v>2094</v>
      </c>
      <c r="F475" t="s">
        <v>2094</v>
      </c>
    </row>
    <row r="476" spans="1:6" x14ac:dyDescent="0.25">
      <c r="B476" t="s">
        <v>2094</v>
      </c>
      <c r="C476" t="s">
        <v>2094</v>
      </c>
      <c r="D476" t="s">
        <v>2094</v>
      </c>
      <c r="E476" s="56" t="s">
        <v>2094</v>
      </c>
      <c r="F476" t="s">
        <v>2094</v>
      </c>
    </row>
    <row r="477" spans="1:6" x14ac:dyDescent="0.25">
      <c r="A477" t="s">
        <v>2094</v>
      </c>
      <c r="B477" t="s">
        <v>2094</v>
      </c>
      <c r="C477" t="s">
        <v>2094</v>
      </c>
      <c r="D477" t="s">
        <v>2094</v>
      </c>
      <c r="E477" s="56" t="s">
        <v>2094</v>
      </c>
      <c r="F477" t="s">
        <v>2094</v>
      </c>
    </row>
    <row r="478" spans="1:6" x14ac:dyDescent="0.25">
      <c r="A478" t="s">
        <v>2094</v>
      </c>
      <c r="B478" t="s">
        <v>2094</v>
      </c>
      <c r="C478" t="s">
        <v>2094</v>
      </c>
      <c r="D478" t="s">
        <v>2094</v>
      </c>
      <c r="E478" s="56" t="s">
        <v>2094</v>
      </c>
      <c r="F478" t="s">
        <v>2094</v>
      </c>
    </row>
    <row r="479" spans="1:6" x14ac:dyDescent="0.25">
      <c r="A479" t="s">
        <v>2094</v>
      </c>
      <c r="B479" t="s">
        <v>2094</v>
      </c>
      <c r="C479" t="s">
        <v>2094</v>
      </c>
      <c r="D479" t="s">
        <v>2094</v>
      </c>
      <c r="E479" s="56" t="s">
        <v>2094</v>
      </c>
      <c r="F479" t="s">
        <v>2094</v>
      </c>
    </row>
    <row r="480" spans="1:6" x14ac:dyDescent="0.25">
      <c r="A480">
        <v>8500835</v>
      </c>
      <c r="B480" t="s">
        <v>252</v>
      </c>
      <c r="C480">
        <v>1</v>
      </c>
      <c r="D480">
        <v>7.5690716911764717</v>
      </c>
      <c r="E480" s="56">
        <v>20</v>
      </c>
      <c r="F480">
        <v>151.38143382352945</v>
      </c>
    </row>
    <row r="481" spans="1:6" x14ac:dyDescent="0.25">
      <c r="A481" t="s">
        <v>2094</v>
      </c>
      <c r="B481" t="s">
        <v>2094</v>
      </c>
      <c r="C481" t="s">
        <v>2094</v>
      </c>
      <c r="D481" t="s">
        <v>2094</v>
      </c>
      <c r="E481" s="56" t="s">
        <v>2094</v>
      </c>
      <c r="F481" t="s">
        <v>2094</v>
      </c>
    </row>
    <row r="482" spans="1:6" x14ac:dyDescent="0.25">
      <c r="A482" t="s">
        <v>2094</v>
      </c>
      <c r="B482" t="s">
        <v>2094</v>
      </c>
      <c r="C482" t="s">
        <v>2094</v>
      </c>
      <c r="D482" t="s">
        <v>2094</v>
      </c>
      <c r="E482" s="56" t="s">
        <v>2094</v>
      </c>
      <c r="F482" t="s">
        <v>2094</v>
      </c>
    </row>
    <row r="483" spans="1:6" x14ac:dyDescent="0.25">
      <c r="A483" t="s">
        <v>2094</v>
      </c>
      <c r="B483" t="s">
        <v>2094</v>
      </c>
      <c r="C483" t="s">
        <v>2094</v>
      </c>
      <c r="D483" t="s">
        <v>2094</v>
      </c>
      <c r="E483" s="56" t="s">
        <v>2094</v>
      </c>
      <c r="F483" t="s">
        <v>2094</v>
      </c>
    </row>
    <row r="484" spans="1:6" x14ac:dyDescent="0.25">
      <c r="A484" t="s">
        <v>2094</v>
      </c>
      <c r="B484" t="s">
        <v>2094</v>
      </c>
      <c r="C484" t="s">
        <v>2094</v>
      </c>
      <c r="D484" t="s">
        <v>2094</v>
      </c>
      <c r="E484" s="56" t="s">
        <v>2094</v>
      </c>
      <c r="F484" t="s">
        <v>2094</v>
      </c>
    </row>
    <row r="485" spans="1:6" x14ac:dyDescent="0.25">
      <c r="A485" t="s">
        <v>2094</v>
      </c>
      <c r="B485" t="s">
        <v>2094</v>
      </c>
      <c r="C485" t="s">
        <v>2094</v>
      </c>
      <c r="D485" t="s">
        <v>2094</v>
      </c>
      <c r="E485" s="56" t="s">
        <v>2094</v>
      </c>
      <c r="F485" t="s">
        <v>2094</v>
      </c>
    </row>
    <row r="486" spans="1:6" x14ac:dyDescent="0.25">
      <c r="A486" t="s">
        <v>2094</v>
      </c>
      <c r="B486" t="s">
        <v>2094</v>
      </c>
      <c r="C486" t="s">
        <v>2094</v>
      </c>
      <c r="D486" t="s">
        <v>2094</v>
      </c>
      <c r="E486" s="56" t="s">
        <v>2094</v>
      </c>
      <c r="F486" t="s">
        <v>2094</v>
      </c>
    </row>
    <row r="487" spans="1:6" x14ac:dyDescent="0.25">
      <c r="A487" t="s">
        <v>2094</v>
      </c>
      <c r="B487" t="s">
        <v>2094</v>
      </c>
      <c r="C487" t="s">
        <v>2094</v>
      </c>
      <c r="D487" t="s">
        <v>2094</v>
      </c>
      <c r="E487" s="56" t="s">
        <v>2094</v>
      </c>
      <c r="F487" t="s">
        <v>2094</v>
      </c>
    </row>
    <row r="488" spans="1:6" x14ac:dyDescent="0.25">
      <c r="A488" t="s">
        <v>2094</v>
      </c>
      <c r="B488" t="s">
        <v>2094</v>
      </c>
      <c r="C488" t="s">
        <v>2094</v>
      </c>
      <c r="D488" t="s">
        <v>2094</v>
      </c>
      <c r="E488" s="56" t="s">
        <v>2094</v>
      </c>
      <c r="F488" t="s">
        <v>2094</v>
      </c>
    </row>
    <row r="489" spans="1:6" x14ac:dyDescent="0.25">
      <c r="A489" t="s">
        <v>2094</v>
      </c>
      <c r="B489" t="s">
        <v>2094</v>
      </c>
      <c r="C489" t="s">
        <v>2094</v>
      </c>
      <c r="D489" t="s">
        <v>2094</v>
      </c>
      <c r="E489" s="56" t="s">
        <v>2094</v>
      </c>
      <c r="F489" t="s">
        <v>2094</v>
      </c>
    </row>
    <row r="490" spans="1:6" x14ac:dyDescent="0.25">
      <c r="A490" t="s">
        <v>2094</v>
      </c>
      <c r="B490" t="s">
        <v>2094</v>
      </c>
      <c r="C490" t="s">
        <v>2094</v>
      </c>
      <c r="D490" t="s">
        <v>2094</v>
      </c>
      <c r="E490" s="56" t="s">
        <v>2094</v>
      </c>
      <c r="F490" t="s">
        <v>2094</v>
      </c>
    </row>
    <row r="491" spans="1:6" x14ac:dyDescent="0.25">
      <c r="A491" t="s">
        <v>2094</v>
      </c>
      <c r="B491" t="s">
        <v>2094</v>
      </c>
      <c r="C491" t="s">
        <v>2094</v>
      </c>
      <c r="D491" t="s">
        <v>2094</v>
      </c>
      <c r="E491" s="56" t="s">
        <v>2094</v>
      </c>
      <c r="F491" t="s">
        <v>2094</v>
      </c>
    </row>
    <row r="492" spans="1:6" x14ac:dyDescent="0.25">
      <c r="A492" t="s">
        <v>2094</v>
      </c>
      <c r="B492" t="s">
        <v>2094</v>
      </c>
      <c r="C492" t="s">
        <v>2094</v>
      </c>
      <c r="D492" t="s">
        <v>2094</v>
      </c>
      <c r="E492" s="56" t="s">
        <v>2094</v>
      </c>
      <c r="F492" t="s">
        <v>2094</v>
      </c>
    </row>
    <row r="493" spans="1:6" x14ac:dyDescent="0.25">
      <c r="A493" t="s">
        <v>2094</v>
      </c>
      <c r="B493" t="s">
        <v>2094</v>
      </c>
      <c r="C493" t="s">
        <v>2094</v>
      </c>
      <c r="D493" t="s">
        <v>2094</v>
      </c>
      <c r="E493" s="56" t="s">
        <v>2094</v>
      </c>
      <c r="F493" t="s">
        <v>2094</v>
      </c>
    </row>
    <row r="494" spans="1:6" x14ac:dyDescent="0.25">
      <c r="A494" t="s">
        <v>2094</v>
      </c>
      <c r="B494" t="s">
        <v>2094</v>
      </c>
      <c r="C494" t="s">
        <v>2094</v>
      </c>
      <c r="D494" t="s">
        <v>2094</v>
      </c>
      <c r="E494" s="56" t="s">
        <v>2094</v>
      </c>
      <c r="F494" t="s">
        <v>2094</v>
      </c>
    </row>
    <row r="495" spans="1:6" x14ac:dyDescent="0.25">
      <c r="A495" t="s">
        <v>2094</v>
      </c>
      <c r="B495" t="s">
        <v>2094</v>
      </c>
      <c r="C495" t="s">
        <v>2094</v>
      </c>
      <c r="D495" t="s">
        <v>2094</v>
      </c>
      <c r="E495" s="56" t="s">
        <v>2094</v>
      </c>
      <c r="F495" t="s">
        <v>2094</v>
      </c>
    </row>
    <row r="496" spans="1:6" x14ac:dyDescent="0.25">
      <c r="A496" t="s">
        <v>2094</v>
      </c>
      <c r="B496" t="s">
        <v>2094</v>
      </c>
      <c r="C496" t="s">
        <v>2094</v>
      </c>
      <c r="D496" t="s">
        <v>2094</v>
      </c>
      <c r="E496" s="56" t="s">
        <v>2094</v>
      </c>
      <c r="F496" t="s">
        <v>2094</v>
      </c>
    </row>
    <row r="497" spans="1:6" x14ac:dyDescent="0.25">
      <c r="A497">
        <v>8507904</v>
      </c>
      <c r="B497" t="s">
        <v>315</v>
      </c>
      <c r="C497">
        <v>1</v>
      </c>
      <c r="D497">
        <v>12.144919577205881</v>
      </c>
      <c r="E497" s="56">
        <v>2</v>
      </c>
      <c r="F497">
        <v>24.289839154411762</v>
      </c>
    </row>
    <row r="498" spans="1:6" x14ac:dyDescent="0.25">
      <c r="A498">
        <v>8507932</v>
      </c>
      <c r="B498" t="s">
        <v>318</v>
      </c>
      <c r="C498">
        <v>1</v>
      </c>
      <c r="D498">
        <v>7.5690716911764717</v>
      </c>
      <c r="E498" s="56">
        <v>1</v>
      </c>
      <c r="F498">
        <v>7.5690716911764717</v>
      </c>
    </row>
    <row r="499" spans="1:6" x14ac:dyDescent="0.25">
      <c r="A499" t="s">
        <v>2094</v>
      </c>
      <c r="B499" t="s">
        <v>2094</v>
      </c>
      <c r="C499" t="s">
        <v>2094</v>
      </c>
      <c r="D499" t="s">
        <v>2094</v>
      </c>
      <c r="E499" s="56" t="s">
        <v>2094</v>
      </c>
      <c r="F499" t="s">
        <v>2094</v>
      </c>
    </row>
    <row r="500" spans="1:6" x14ac:dyDescent="0.25">
      <c r="A500" t="s">
        <v>2094</v>
      </c>
      <c r="B500" t="s">
        <v>2094</v>
      </c>
      <c r="C500" t="s">
        <v>2094</v>
      </c>
      <c r="D500" t="s">
        <v>2094</v>
      </c>
      <c r="E500" s="56" t="s">
        <v>2094</v>
      </c>
      <c r="F500" t="s">
        <v>2094</v>
      </c>
    </row>
    <row r="501" spans="1:6" x14ac:dyDescent="0.25">
      <c r="A501" t="s">
        <v>2094</v>
      </c>
      <c r="B501" t="s">
        <v>2094</v>
      </c>
      <c r="C501" t="s">
        <v>2094</v>
      </c>
      <c r="D501" t="s">
        <v>2094</v>
      </c>
      <c r="E501" s="56" t="s">
        <v>2094</v>
      </c>
      <c r="F501" t="s">
        <v>2094</v>
      </c>
    </row>
    <row r="502" spans="1:6" x14ac:dyDescent="0.25">
      <c r="A502" t="s">
        <v>2094</v>
      </c>
      <c r="B502" t="s">
        <v>2094</v>
      </c>
      <c r="C502" t="s">
        <v>2094</v>
      </c>
      <c r="D502" t="s">
        <v>2094</v>
      </c>
      <c r="E502" s="56" t="s">
        <v>2094</v>
      </c>
      <c r="F502" t="s">
        <v>2094</v>
      </c>
    </row>
    <row r="503" spans="1:6" x14ac:dyDescent="0.25">
      <c r="A503">
        <v>8507950</v>
      </c>
      <c r="B503" t="s">
        <v>321</v>
      </c>
      <c r="C503">
        <v>1</v>
      </c>
      <c r="D503">
        <v>14.243616727941172</v>
      </c>
      <c r="E503" s="56">
        <v>2</v>
      </c>
      <c r="F503">
        <v>28.487233455882343</v>
      </c>
    </row>
    <row r="504" spans="1:6" x14ac:dyDescent="0.25">
      <c r="A504">
        <v>8507951</v>
      </c>
      <c r="B504" t="s">
        <v>322</v>
      </c>
      <c r="C504">
        <v>1</v>
      </c>
      <c r="D504">
        <v>0.65369255514705871</v>
      </c>
      <c r="E504" s="56">
        <v>1</v>
      </c>
      <c r="F504">
        <v>0.65369255514705871</v>
      </c>
    </row>
    <row r="505" spans="1:6" x14ac:dyDescent="0.25">
      <c r="A505">
        <v>8507933</v>
      </c>
      <c r="B505" t="s">
        <v>319</v>
      </c>
      <c r="C505">
        <v>1</v>
      </c>
      <c r="D505">
        <v>8.3947886029411745</v>
      </c>
      <c r="E505" s="56">
        <v>1</v>
      </c>
      <c r="F505">
        <v>8.3947886029411745</v>
      </c>
    </row>
    <row r="506" spans="1:6" x14ac:dyDescent="0.25">
      <c r="A506" t="s">
        <v>2094</v>
      </c>
      <c r="B506" t="s">
        <v>2094</v>
      </c>
      <c r="C506" t="s">
        <v>2094</v>
      </c>
      <c r="D506" t="s">
        <v>2094</v>
      </c>
      <c r="E506" s="56" t="s">
        <v>2094</v>
      </c>
      <c r="F506" t="s">
        <v>2094</v>
      </c>
    </row>
    <row r="507" spans="1:6" x14ac:dyDescent="0.25">
      <c r="A507" t="s">
        <v>2094</v>
      </c>
      <c r="B507" t="s">
        <v>2094</v>
      </c>
      <c r="C507" t="s">
        <v>2094</v>
      </c>
      <c r="D507" t="s">
        <v>2094</v>
      </c>
      <c r="E507" s="56" t="s">
        <v>2094</v>
      </c>
      <c r="F507" t="s">
        <v>2094</v>
      </c>
    </row>
    <row r="508" spans="1:6" x14ac:dyDescent="0.25">
      <c r="A508" t="s">
        <v>2094</v>
      </c>
      <c r="B508" t="s">
        <v>2094</v>
      </c>
      <c r="C508" t="s">
        <v>2094</v>
      </c>
      <c r="D508" t="s">
        <v>2094</v>
      </c>
      <c r="E508" s="56" t="s">
        <v>2094</v>
      </c>
      <c r="F508" t="s">
        <v>2094</v>
      </c>
    </row>
    <row r="509" spans="1:6" x14ac:dyDescent="0.25">
      <c r="A509" t="s">
        <v>2094</v>
      </c>
      <c r="B509" t="s">
        <v>2094</v>
      </c>
      <c r="C509" t="s">
        <v>2094</v>
      </c>
      <c r="D509" t="s">
        <v>2094</v>
      </c>
      <c r="E509" s="56" t="s">
        <v>2094</v>
      </c>
      <c r="F509" t="s">
        <v>2094</v>
      </c>
    </row>
    <row r="510" spans="1:6" x14ac:dyDescent="0.25">
      <c r="A510" t="s">
        <v>2094</v>
      </c>
      <c r="B510" t="s">
        <v>2094</v>
      </c>
      <c r="C510" t="s">
        <v>2094</v>
      </c>
      <c r="D510" t="s">
        <v>2094</v>
      </c>
      <c r="E510" s="56" t="s">
        <v>2094</v>
      </c>
      <c r="F510" t="s">
        <v>2094</v>
      </c>
    </row>
    <row r="511" spans="1:6" x14ac:dyDescent="0.25">
      <c r="A511" t="s">
        <v>2094</v>
      </c>
      <c r="B511" t="s">
        <v>2094</v>
      </c>
      <c r="C511" t="s">
        <v>2094</v>
      </c>
      <c r="D511" t="s">
        <v>2094</v>
      </c>
      <c r="E511" s="56" t="s">
        <v>2094</v>
      </c>
      <c r="F511" t="s">
        <v>2094</v>
      </c>
    </row>
  </sheetData>
  <mergeCells count="26">
    <mergeCell ref="C19:G19"/>
    <mergeCell ref="C20:G20"/>
    <mergeCell ref="C28:G28"/>
    <mergeCell ref="C29:G29"/>
    <mergeCell ref="C4:G4"/>
    <mergeCell ref="C5:G5"/>
    <mergeCell ref="C11:G11"/>
    <mergeCell ref="C12:G12"/>
    <mergeCell ref="C67:G67"/>
    <mergeCell ref="C59:G59"/>
    <mergeCell ref="C60:G60"/>
    <mergeCell ref="C52:G52"/>
    <mergeCell ref="C53:G53"/>
    <mergeCell ref="C36:G36"/>
    <mergeCell ref="C37:G37"/>
    <mergeCell ref="C45:G45"/>
    <mergeCell ref="C46:G46"/>
    <mergeCell ref="C66:G66"/>
    <mergeCell ref="C86:G86"/>
    <mergeCell ref="C91:G91"/>
    <mergeCell ref="C92:G92"/>
    <mergeCell ref="C73:G73"/>
    <mergeCell ref="C74:G74"/>
    <mergeCell ref="C79:G79"/>
    <mergeCell ref="C80:G80"/>
    <mergeCell ref="C85:G85"/>
  </mergeCells>
  <conditionalFormatting sqref="B87:B88">
    <cfRule type="duplicateValues" dxfId="21" priority="10"/>
  </conditionalFormatting>
  <conditionalFormatting sqref="B89">
    <cfRule type="duplicateValues" dxfId="20" priority="9"/>
  </conditionalFormatting>
  <conditionalFormatting sqref="B47:B51">
    <cfRule type="duplicateValues" dxfId="19" priority="61"/>
  </conditionalFormatting>
  <conditionalFormatting sqref="B22:B23">
    <cfRule type="duplicateValues" dxfId="18" priority="8"/>
  </conditionalFormatting>
  <conditionalFormatting sqref="B24">
    <cfRule type="duplicateValues" dxfId="17" priority="7"/>
  </conditionalFormatting>
  <conditionalFormatting sqref="B32:B33">
    <cfRule type="duplicateValues" dxfId="16" priority="6"/>
  </conditionalFormatting>
  <conditionalFormatting sqref="B34">
    <cfRule type="duplicateValues" dxfId="15" priority="5"/>
  </conditionalFormatting>
  <hyperlinks>
    <hyperlink ref="I2" location="presu!A1" display="Presupuesto" xr:uid="{220D7325-14B1-4B36-AA36-2AFEA829253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5" r:id="rId3" name="Option Button 25">
              <controlPr defaultSize="0" autoFill="0" autoLine="0" autoPict="0" macro="[0]!llevarcañeriapresu">
                <anchor moveWithCells="1">
                  <from>
                    <xdr:col>10</xdr:col>
                    <xdr:colOff>552450</xdr:colOff>
                    <xdr:row>1</xdr:row>
                    <xdr:rowOff>152400</xdr:rowOff>
                  </from>
                  <to>
                    <xdr:col>11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6" r:id="rId4" name="Option Button 26">
              <controlPr defaultSize="0" autoFill="0" autoLine="0" autoPict="0" macro="[0]!soportemover">
                <anchor moveWithCells="1">
                  <from>
                    <xdr:col>7</xdr:col>
                    <xdr:colOff>352425</xdr:colOff>
                    <xdr:row>3</xdr:row>
                    <xdr:rowOff>180975</xdr:rowOff>
                  </from>
                  <to>
                    <xdr:col>9</xdr:col>
                    <xdr:colOff>514350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7" r:id="rId5" name="Option Button 27">
              <controlPr defaultSize="0" autoFill="0" autoLine="0" autoPict="0" macro="[0]!soportelimpiar">
                <anchor moveWithCells="1">
                  <from>
                    <xdr:col>7</xdr:col>
                    <xdr:colOff>352425</xdr:colOff>
                    <xdr:row>6</xdr:row>
                    <xdr:rowOff>180975</xdr:rowOff>
                  </from>
                  <to>
                    <xdr:col>9</xdr:col>
                    <xdr:colOff>514350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8" r:id="rId6" name="Option Button 28">
              <controlPr defaultSize="0" autoFill="0" autoLine="0" autoPict="0" macro="[0]!lineadelechemover">
                <anchor moveWithCells="1">
                  <from>
                    <xdr:col>7</xdr:col>
                    <xdr:colOff>333375</xdr:colOff>
                    <xdr:row>11</xdr:row>
                    <xdr:rowOff>0</xdr:rowOff>
                  </from>
                  <to>
                    <xdr:col>9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9" r:id="rId7" name="Option Button 29">
              <controlPr defaultSize="0" autoFill="0" autoLine="0" autoPict="0" macro="[0]!tuberiadelechelimpiar">
                <anchor moveWithCells="1">
                  <from>
                    <xdr:col>7</xdr:col>
                    <xdr:colOff>333375</xdr:colOff>
                    <xdr:row>14</xdr:row>
                    <xdr:rowOff>9525</xdr:rowOff>
                  </from>
                  <to>
                    <xdr:col>9</xdr:col>
                    <xdr:colOff>485775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0" r:id="rId8" name="Option Button 30">
              <controlPr defaultSize="0" autoFill="0" autoLine="0" autoPict="0" macro="[0]!transferenciamover">
                <anchor moveWithCells="1">
                  <from>
                    <xdr:col>7</xdr:col>
                    <xdr:colOff>447675</xdr:colOff>
                    <xdr:row>19</xdr:row>
                    <xdr:rowOff>142875</xdr:rowOff>
                  </from>
                  <to>
                    <xdr:col>9</xdr:col>
                    <xdr:colOff>600075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1" r:id="rId9" name="Option Button 31">
              <controlPr defaultSize="0" autoFill="0" autoLine="0" autoPict="0" macro="[0]!transferenciadelechelimpiar">
                <anchor moveWithCells="1">
                  <from>
                    <xdr:col>7</xdr:col>
                    <xdr:colOff>447675</xdr:colOff>
                    <xdr:row>22</xdr:row>
                    <xdr:rowOff>152400</xdr:rowOff>
                  </from>
                  <to>
                    <xdr:col>9</xdr:col>
                    <xdr:colOff>600075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4" r:id="rId10" name="Option Button 34">
              <controlPr defaultSize="0" autoFill="0" autoLine="0" autoPict="0" macro="[0]!tuberiadelavadomover">
                <anchor moveWithCells="1">
                  <from>
                    <xdr:col>7</xdr:col>
                    <xdr:colOff>438150</xdr:colOff>
                    <xdr:row>28</xdr:row>
                    <xdr:rowOff>76200</xdr:rowOff>
                  </from>
                  <to>
                    <xdr:col>9</xdr:col>
                    <xdr:colOff>600075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5" r:id="rId11" name="Option Button 35">
              <controlPr defaultSize="0" autoFill="0" autoLine="0" autoPict="0" macro="[0]!tuberiadelavadolimpiar">
                <anchor moveWithCells="1">
                  <from>
                    <xdr:col>7</xdr:col>
                    <xdr:colOff>438150</xdr:colOff>
                    <xdr:row>31</xdr:row>
                    <xdr:rowOff>85725</xdr:rowOff>
                  </from>
                  <to>
                    <xdr:col>9</xdr:col>
                    <xdr:colOff>600075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6" r:id="rId12" name="Option Button 36">
              <controlPr defaultSize="0" autoFill="0" autoLine="0" autoPict="0" macro="[0]!basicotuberiadevaciomover">
                <anchor moveWithCells="1">
                  <from>
                    <xdr:col>7</xdr:col>
                    <xdr:colOff>447675</xdr:colOff>
                    <xdr:row>36</xdr:row>
                    <xdr:rowOff>171450</xdr:rowOff>
                  </from>
                  <to>
                    <xdr:col>9</xdr:col>
                    <xdr:colOff>600075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7" r:id="rId13" name="Option Button 37">
              <controlPr defaultSize="0" autoFill="0" autoLine="0" autoPict="0" macro="[0]!basicolimpiar">
                <anchor moveWithCells="1">
                  <from>
                    <xdr:col>7</xdr:col>
                    <xdr:colOff>447675</xdr:colOff>
                    <xdr:row>39</xdr:row>
                    <xdr:rowOff>28575</xdr:rowOff>
                  </from>
                  <to>
                    <xdr:col>9</xdr:col>
                    <xdr:colOff>600075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14" name="Option Button 40">
              <controlPr defaultSize="0" autoFill="0" autoLine="0" autoPict="0" macro="[0]!tuberiadevaciomover">
                <anchor moveWithCells="1">
                  <from>
                    <xdr:col>7</xdr:col>
                    <xdr:colOff>447675</xdr:colOff>
                    <xdr:row>44</xdr:row>
                    <xdr:rowOff>142875</xdr:rowOff>
                  </from>
                  <to>
                    <xdr:col>9</xdr:col>
                    <xdr:colOff>600075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15" name="Option Button 41">
              <controlPr defaultSize="0" autoFill="0" autoLine="0" autoPict="0" macro="[0]!tuberiadevaciolimpiar">
                <anchor moveWithCells="1">
                  <from>
                    <xdr:col>7</xdr:col>
                    <xdr:colOff>447675</xdr:colOff>
                    <xdr:row>47</xdr:row>
                    <xdr:rowOff>152400</xdr:rowOff>
                  </from>
                  <to>
                    <xdr:col>9</xdr:col>
                    <xdr:colOff>600075</xdr:colOff>
                    <xdr:row>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A2EA5-C99A-4A37-9933-4A7B83E38E38}">
  <sheetPr codeName="Sheet12">
    <pageSetUpPr fitToPage="1"/>
  </sheetPr>
  <dimension ref="A3:K45"/>
  <sheetViews>
    <sheetView workbookViewId="0">
      <selection activeCell="A8" sqref="A8"/>
    </sheetView>
  </sheetViews>
  <sheetFormatPr baseColWidth="10" defaultColWidth="8.7109375" defaultRowHeight="15" x14ac:dyDescent="0.25"/>
  <cols>
    <col min="1" max="1" width="5.42578125" customWidth="1"/>
    <col min="2" max="2" width="10.7109375" bestFit="1" customWidth="1"/>
    <col min="3" max="3" width="47.42578125" customWidth="1"/>
    <col min="4" max="4" width="11.7109375" bestFit="1" customWidth="1"/>
    <col min="5" max="5" width="11.140625" bestFit="1" customWidth="1"/>
    <col min="6" max="6" width="13.28515625" style="56" customWidth="1"/>
    <col min="7" max="7" width="4.42578125" customWidth="1"/>
    <col min="8" max="8" width="14.7109375" customWidth="1"/>
    <col min="9" max="9" width="34" customWidth="1"/>
  </cols>
  <sheetData>
    <row r="3" spans="1:11" x14ac:dyDescent="0.25">
      <c r="B3" t="s">
        <v>57</v>
      </c>
      <c r="C3" s="324"/>
      <c r="H3" s="292" t="s">
        <v>2082</v>
      </c>
      <c r="I3" s="292" t="s">
        <v>65</v>
      </c>
    </row>
    <row r="4" spans="1:11" ht="15.75" thickBot="1" x14ac:dyDescent="0.3">
      <c r="H4" s="163"/>
      <c r="I4" s="293" t="s">
        <v>2263</v>
      </c>
    </row>
    <row r="5" spans="1:11" ht="26.25" x14ac:dyDescent="0.25">
      <c r="A5" s="321" t="s">
        <v>1832</v>
      </c>
      <c r="B5" s="322" t="s">
        <v>2082</v>
      </c>
      <c r="C5" s="322" t="s">
        <v>65</v>
      </c>
      <c r="D5" s="323" t="s">
        <v>66</v>
      </c>
      <c r="E5" s="321" t="s">
        <v>67</v>
      </c>
      <c r="F5" s="321" t="s">
        <v>1833</v>
      </c>
      <c r="H5" s="33" t="s">
        <v>2082</v>
      </c>
      <c r="I5" s="34" t="s">
        <v>65</v>
      </c>
      <c r="J5" s="298" t="s">
        <v>66</v>
      </c>
      <c r="K5" s="57" t="s">
        <v>67</v>
      </c>
    </row>
    <row r="6" spans="1:11" x14ac:dyDescent="0.25">
      <c r="A6" s="36">
        <v>3</v>
      </c>
      <c r="B6" s="36">
        <v>8513452</v>
      </c>
      <c r="C6" s="35" t="s">
        <v>375</v>
      </c>
      <c r="D6" s="63">
        <v>100</v>
      </c>
      <c r="E6" s="58">
        <v>765.16433823529405</v>
      </c>
      <c r="F6" s="325">
        <f t="shared" ref="F6:F43" si="0">+E6*A6</f>
        <v>2295.4930147058822</v>
      </c>
      <c r="H6" s="38">
        <v>3558406</v>
      </c>
      <c r="I6" s="37" t="s">
        <v>1605</v>
      </c>
      <c r="J6" s="63">
        <v>1</v>
      </c>
      <c r="K6" s="58">
        <v>16.010216331269348</v>
      </c>
    </row>
    <row r="7" spans="1:11" x14ac:dyDescent="0.25">
      <c r="A7" s="36">
        <v>1</v>
      </c>
      <c r="B7" s="36">
        <v>8512564</v>
      </c>
      <c r="C7" s="35" t="s">
        <v>363</v>
      </c>
      <c r="D7" s="63">
        <v>1</v>
      </c>
      <c r="E7" s="58">
        <v>578.1930568885449</v>
      </c>
      <c r="F7" s="325">
        <f t="shared" si="0"/>
        <v>578.1930568885449</v>
      </c>
      <c r="H7" s="38">
        <v>8582929</v>
      </c>
      <c r="I7" s="37" t="s">
        <v>1721</v>
      </c>
      <c r="J7" s="63">
        <v>1</v>
      </c>
      <c r="K7" s="58">
        <v>41.720433436532502</v>
      </c>
    </row>
    <row r="8" spans="1:11" x14ac:dyDescent="0.25">
      <c r="A8" s="36"/>
      <c r="B8" s="36"/>
      <c r="C8" s="35"/>
      <c r="D8" s="63"/>
      <c r="E8" s="58"/>
      <c r="F8" s="325">
        <f t="shared" si="0"/>
        <v>0</v>
      </c>
      <c r="H8" s="36">
        <v>8512564</v>
      </c>
      <c r="I8" s="35" t="s">
        <v>363</v>
      </c>
      <c r="J8" s="63">
        <v>1</v>
      </c>
      <c r="K8" s="58">
        <v>578.1930568885449</v>
      </c>
    </row>
    <row r="9" spans="1:11" x14ac:dyDescent="0.25">
      <c r="A9" s="36"/>
      <c r="B9" s="36"/>
      <c r="C9" s="35"/>
      <c r="D9" s="63"/>
      <c r="E9" s="58"/>
      <c r="F9" s="325">
        <f t="shared" si="0"/>
        <v>0</v>
      </c>
      <c r="H9" s="36">
        <v>8518294</v>
      </c>
      <c r="I9" s="35" t="s">
        <v>433</v>
      </c>
      <c r="J9" s="63">
        <v>1</v>
      </c>
      <c r="K9" s="58">
        <v>470.39788699690411</v>
      </c>
    </row>
    <row r="10" spans="1:11" x14ac:dyDescent="0.25">
      <c r="A10" s="36"/>
      <c r="B10" s="36"/>
      <c r="C10" s="35"/>
      <c r="D10" s="63"/>
      <c r="E10" s="58"/>
      <c r="F10" s="325">
        <f t="shared" si="0"/>
        <v>0</v>
      </c>
      <c r="H10" s="36">
        <v>8511748</v>
      </c>
      <c r="I10" s="35" t="s">
        <v>59</v>
      </c>
      <c r="J10" s="63">
        <v>1</v>
      </c>
      <c r="K10" s="58">
        <v>240.02286861455107</v>
      </c>
    </row>
    <row r="11" spans="1:11" x14ac:dyDescent="0.25">
      <c r="A11" s="36"/>
      <c r="B11" s="36"/>
      <c r="C11" s="35"/>
      <c r="D11" s="63"/>
      <c r="E11" s="58"/>
      <c r="F11" s="325">
        <f t="shared" si="0"/>
        <v>0</v>
      </c>
      <c r="H11" s="39">
        <v>8583219</v>
      </c>
      <c r="I11" s="35" t="s">
        <v>463</v>
      </c>
      <c r="J11" s="63">
        <v>1</v>
      </c>
      <c r="K11" s="58">
        <v>667.83983823529422</v>
      </c>
    </row>
    <row r="12" spans="1:11" x14ac:dyDescent="0.25">
      <c r="A12" s="36"/>
      <c r="B12" s="36"/>
      <c r="C12" s="35"/>
      <c r="D12" s="63"/>
      <c r="E12" s="58"/>
      <c r="F12" s="325">
        <f t="shared" si="0"/>
        <v>0</v>
      </c>
      <c r="H12" s="44" t="s">
        <v>700</v>
      </c>
      <c r="I12" s="35" t="s">
        <v>701</v>
      </c>
      <c r="J12" s="63">
        <v>1</v>
      </c>
      <c r="K12" s="58">
        <v>348.66625173010374</v>
      </c>
    </row>
    <row r="13" spans="1:11" x14ac:dyDescent="0.25">
      <c r="A13" s="36"/>
      <c r="B13" s="36"/>
      <c r="C13" s="35"/>
      <c r="D13" s="63"/>
      <c r="E13" s="58"/>
      <c r="F13" s="325">
        <f t="shared" si="0"/>
        <v>0</v>
      </c>
    </row>
    <row r="14" spans="1:11" x14ac:dyDescent="0.25">
      <c r="A14" s="36"/>
      <c r="B14" s="36"/>
      <c r="C14" s="35"/>
      <c r="D14" s="63"/>
      <c r="E14" s="58"/>
      <c r="F14" s="325">
        <f t="shared" si="0"/>
        <v>0</v>
      </c>
    </row>
    <row r="15" spans="1:11" x14ac:dyDescent="0.25">
      <c r="A15" s="36"/>
      <c r="B15" s="36"/>
      <c r="C15" s="35"/>
      <c r="D15" s="63"/>
      <c r="E15" s="58"/>
      <c r="F15" s="325">
        <f t="shared" si="0"/>
        <v>0</v>
      </c>
    </row>
    <row r="16" spans="1:11" x14ac:dyDescent="0.25">
      <c r="A16" s="36"/>
      <c r="B16" s="36"/>
      <c r="C16" s="35"/>
      <c r="D16" s="63"/>
      <c r="E16" s="58"/>
      <c r="F16" s="325">
        <f t="shared" si="0"/>
        <v>0</v>
      </c>
    </row>
    <row r="17" spans="1:6" x14ac:dyDescent="0.25">
      <c r="A17" s="36"/>
      <c r="B17" s="36"/>
      <c r="C17" s="35"/>
      <c r="D17" s="63"/>
      <c r="E17" s="58"/>
      <c r="F17" s="325">
        <f t="shared" si="0"/>
        <v>0</v>
      </c>
    </row>
    <row r="18" spans="1:6" x14ac:dyDescent="0.25">
      <c r="A18" s="36"/>
      <c r="B18" s="36"/>
      <c r="C18" s="35"/>
      <c r="D18" s="63"/>
      <c r="E18" s="58"/>
      <c r="F18" s="325">
        <f t="shared" si="0"/>
        <v>0</v>
      </c>
    </row>
    <row r="19" spans="1:6" x14ac:dyDescent="0.25">
      <c r="A19" s="36"/>
      <c r="B19" s="36"/>
      <c r="C19" s="35"/>
      <c r="D19" s="63"/>
      <c r="E19" s="58"/>
      <c r="F19" s="325">
        <f t="shared" si="0"/>
        <v>0</v>
      </c>
    </row>
    <row r="20" spans="1:6" x14ac:dyDescent="0.25">
      <c r="A20" s="36"/>
      <c r="B20" s="36"/>
      <c r="C20" s="35"/>
      <c r="D20" s="63"/>
      <c r="E20" s="58"/>
      <c r="F20" s="325">
        <f t="shared" si="0"/>
        <v>0</v>
      </c>
    </row>
    <row r="21" spans="1:6" x14ac:dyDescent="0.25">
      <c r="A21" s="36"/>
      <c r="B21" s="36"/>
      <c r="C21" s="35"/>
      <c r="D21" s="63"/>
      <c r="E21" s="58"/>
      <c r="F21" s="325">
        <f t="shared" si="0"/>
        <v>0</v>
      </c>
    </row>
    <row r="22" spans="1:6" x14ac:dyDescent="0.25">
      <c r="A22" s="36"/>
      <c r="B22" s="36"/>
      <c r="C22" s="35"/>
      <c r="D22" s="63"/>
      <c r="E22" s="58"/>
      <c r="F22" s="325">
        <f t="shared" si="0"/>
        <v>0</v>
      </c>
    </row>
    <row r="23" spans="1:6" x14ac:dyDescent="0.25">
      <c r="A23" s="36"/>
      <c r="B23" s="36"/>
      <c r="C23" s="35"/>
      <c r="D23" s="63"/>
      <c r="E23" s="58"/>
      <c r="F23" s="325">
        <f t="shared" si="0"/>
        <v>0</v>
      </c>
    </row>
    <row r="24" spans="1:6" x14ac:dyDescent="0.25">
      <c r="A24" s="36"/>
      <c r="B24" s="36"/>
      <c r="C24" s="35"/>
      <c r="D24" s="63"/>
      <c r="E24" s="58"/>
      <c r="F24" s="325">
        <f t="shared" si="0"/>
        <v>0</v>
      </c>
    </row>
    <row r="25" spans="1:6" x14ac:dyDescent="0.25">
      <c r="A25" s="36"/>
      <c r="B25" s="36"/>
      <c r="C25" s="35"/>
      <c r="D25" s="63"/>
      <c r="E25" s="58"/>
      <c r="F25" s="325">
        <f t="shared" si="0"/>
        <v>0</v>
      </c>
    </row>
    <row r="26" spans="1:6" x14ac:dyDescent="0.25">
      <c r="A26" s="36"/>
      <c r="B26" s="36"/>
      <c r="C26" s="35"/>
      <c r="D26" s="63"/>
      <c r="E26" s="58"/>
      <c r="F26" s="325">
        <f t="shared" si="0"/>
        <v>0</v>
      </c>
    </row>
    <row r="27" spans="1:6" x14ac:dyDescent="0.25">
      <c r="A27" s="36"/>
      <c r="B27" s="36"/>
      <c r="C27" s="35"/>
      <c r="D27" s="63"/>
      <c r="E27" s="58"/>
      <c r="F27" s="325">
        <f t="shared" si="0"/>
        <v>0</v>
      </c>
    </row>
    <row r="28" spans="1:6" x14ac:dyDescent="0.25">
      <c r="A28" s="36"/>
      <c r="B28" s="36"/>
      <c r="C28" s="35"/>
      <c r="D28" s="63"/>
      <c r="E28" s="58"/>
      <c r="F28" s="325">
        <f t="shared" si="0"/>
        <v>0</v>
      </c>
    </row>
    <row r="29" spans="1:6" x14ac:dyDescent="0.25">
      <c r="A29" s="36"/>
      <c r="B29" s="36"/>
      <c r="C29" s="35"/>
      <c r="D29" s="63"/>
      <c r="E29" s="58"/>
      <c r="F29" s="325">
        <f t="shared" si="0"/>
        <v>0</v>
      </c>
    </row>
    <row r="30" spans="1:6" x14ac:dyDescent="0.25">
      <c r="A30" s="36"/>
      <c r="B30" s="36"/>
      <c r="C30" s="35"/>
      <c r="D30" s="63"/>
      <c r="E30" s="58"/>
      <c r="F30" s="325">
        <f t="shared" si="0"/>
        <v>0</v>
      </c>
    </row>
    <row r="31" spans="1:6" x14ac:dyDescent="0.25">
      <c r="A31" s="36"/>
      <c r="B31" s="36"/>
      <c r="C31" s="35"/>
      <c r="D31" s="63"/>
      <c r="E31" s="58"/>
      <c r="F31" s="325">
        <f t="shared" si="0"/>
        <v>0</v>
      </c>
    </row>
    <row r="32" spans="1:6" x14ac:dyDescent="0.25">
      <c r="A32" s="36"/>
      <c r="B32" s="36"/>
      <c r="C32" s="35"/>
      <c r="D32" s="63"/>
      <c r="E32" s="58"/>
      <c r="F32" s="325">
        <f t="shared" si="0"/>
        <v>0</v>
      </c>
    </row>
    <row r="33" spans="1:6" x14ac:dyDescent="0.25">
      <c r="A33" s="36"/>
      <c r="B33" s="36"/>
      <c r="C33" s="35"/>
      <c r="D33" s="63"/>
      <c r="E33" s="58"/>
      <c r="F33" s="325">
        <f t="shared" si="0"/>
        <v>0</v>
      </c>
    </row>
    <row r="34" spans="1:6" x14ac:dyDescent="0.25">
      <c r="A34" s="36"/>
      <c r="B34" s="36"/>
      <c r="C34" s="35"/>
      <c r="D34" s="63"/>
      <c r="E34" s="58"/>
      <c r="F34" s="325">
        <f t="shared" si="0"/>
        <v>0</v>
      </c>
    </row>
    <row r="35" spans="1:6" x14ac:dyDescent="0.25">
      <c r="A35" s="36"/>
      <c r="B35" s="36"/>
      <c r="C35" s="35"/>
      <c r="D35" s="63"/>
      <c r="E35" s="58"/>
      <c r="F35" s="325">
        <f t="shared" si="0"/>
        <v>0</v>
      </c>
    </row>
    <row r="36" spans="1:6" x14ac:dyDescent="0.25">
      <c r="A36" s="36"/>
      <c r="B36" s="36"/>
      <c r="C36" s="35"/>
      <c r="D36" s="63"/>
      <c r="E36" s="58"/>
      <c r="F36" s="325">
        <f t="shared" si="0"/>
        <v>0</v>
      </c>
    </row>
    <row r="37" spans="1:6" x14ac:dyDescent="0.25">
      <c r="A37" s="36"/>
      <c r="B37" s="36"/>
      <c r="C37" s="35"/>
      <c r="D37" s="63"/>
      <c r="E37" s="58"/>
      <c r="F37" s="325">
        <f t="shared" si="0"/>
        <v>0</v>
      </c>
    </row>
    <row r="38" spans="1:6" x14ac:dyDescent="0.25">
      <c r="A38" s="36"/>
      <c r="B38" s="36"/>
      <c r="C38" s="35"/>
      <c r="D38" s="63"/>
      <c r="E38" s="58"/>
      <c r="F38" s="325">
        <f t="shared" si="0"/>
        <v>0</v>
      </c>
    </row>
    <row r="39" spans="1:6" x14ac:dyDescent="0.25">
      <c r="A39" s="36"/>
      <c r="B39" s="36"/>
      <c r="C39" s="35"/>
      <c r="D39" s="63"/>
      <c r="E39" s="58"/>
      <c r="F39" s="325">
        <f t="shared" si="0"/>
        <v>0</v>
      </c>
    </row>
    <row r="40" spans="1:6" x14ac:dyDescent="0.25">
      <c r="A40" s="36"/>
      <c r="B40" s="36"/>
      <c r="C40" s="35"/>
      <c r="D40" s="63"/>
      <c r="E40" s="58"/>
      <c r="F40" s="325">
        <f t="shared" si="0"/>
        <v>0</v>
      </c>
    </row>
    <row r="41" spans="1:6" x14ac:dyDescent="0.25">
      <c r="A41" s="36"/>
      <c r="B41" s="36"/>
      <c r="C41" s="35"/>
      <c r="D41" s="63"/>
      <c r="E41" s="58"/>
      <c r="F41" s="325">
        <f t="shared" si="0"/>
        <v>0</v>
      </c>
    </row>
    <row r="42" spans="1:6" x14ac:dyDescent="0.25">
      <c r="A42" s="36"/>
      <c r="B42" s="36"/>
      <c r="C42" s="35"/>
      <c r="D42" s="63"/>
      <c r="E42" s="58"/>
      <c r="F42" s="325">
        <f t="shared" si="0"/>
        <v>0</v>
      </c>
    </row>
    <row r="43" spans="1:6" x14ac:dyDescent="0.25">
      <c r="A43" s="36"/>
      <c r="B43" s="36"/>
      <c r="C43" s="35"/>
      <c r="D43" s="63"/>
      <c r="E43" s="58"/>
      <c r="F43" s="325">
        <f t="shared" si="0"/>
        <v>0</v>
      </c>
    </row>
    <row r="44" spans="1:6" x14ac:dyDescent="0.25">
      <c r="A44" s="36"/>
      <c r="B44" s="36"/>
      <c r="C44" s="35"/>
      <c r="D44" s="63"/>
      <c r="E44" s="58"/>
      <c r="F44" s="325">
        <f t="shared" ref="F44" si="1">+E44*A44</f>
        <v>0</v>
      </c>
    </row>
    <row r="45" spans="1:6" x14ac:dyDescent="0.25">
      <c r="E45" t="s">
        <v>2261</v>
      </c>
      <c r="F45" s="56">
        <f>SUM(F6:F44)</f>
        <v>2873.6860715944272</v>
      </c>
    </row>
  </sheetData>
  <conditionalFormatting sqref="B5">
    <cfRule type="duplicateValues" dxfId="14" priority="57"/>
  </conditionalFormatting>
  <conditionalFormatting sqref="H3">
    <cfRule type="duplicateValues" dxfId="13" priority="56"/>
  </conditionalFormatting>
  <conditionalFormatting sqref="H5">
    <cfRule type="duplicateValues" dxfId="12" priority="1"/>
  </conditionalFormatting>
  <pageMargins left="0.7" right="0.7" top="0.75" bottom="0.75" header="0.3" footer="0.3"/>
  <pageSetup scale="62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buscarxdescri">
                <anchor moveWithCells="1" sizeWithCells="1">
                  <from>
                    <xdr:col>8</xdr:col>
                    <xdr:colOff>333375</xdr:colOff>
                    <xdr:row>0</xdr:row>
                    <xdr:rowOff>76200</xdr:rowOff>
                  </from>
                  <to>
                    <xdr:col>9</xdr:col>
                    <xdr:colOff>257175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limpiarbusqueda1">
                <anchor moveWithCells="1" sizeWithCells="1">
                  <from>
                    <xdr:col>10</xdr:col>
                    <xdr:colOff>28575</xdr:colOff>
                    <xdr:row>0</xdr:row>
                    <xdr:rowOff>85725</xdr:rowOff>
                  </from>
                  <to>
                    <xdr:col>11</xdr:col>
                    <xdr:colOff>504825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7" name="Button 15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8" name="Button 16">
              <controlPr defaultSize="0" print="0" autoFill="0" autoPict="0" macro="[0]!buscarxdescri">
                <anchor moveWithCells="1" sizeWithCells="1">
                  <from>
                    <xdr:col>8</xdr:col>
                    <xdr:colOff>333375</xdr:colOff>
                    <xdr:row>0</xdr:row>
                    <xdr:rowOff>76200</xdr:rowOff>
                  </from>
                  <to>
                    <xdr:col>9</xdr:col>
                    <xdr:colOff>257175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9" name="Button 20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0" name="Button 22">
              <controlPr defaultSize="0" print="0" autoFill="0" autoPict="0" macro="[0]!asignaraformulario">
                <anchor moveWithCells="1" sizeWithCells="1">
                  <from>
                    <xdr:col>5</xdr:col>
                    <xdr:colOff>123825</xdr:colOff>
                    <xdr:row>1</xdr:row>
                    <xdr:rowOff>9525</xdr:rowOff>
                  </from>
                  <to>
                    <xdr:col>6</xdr:col>
                    <xdr:colOff>219075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1AAFE-A3CE-457F-B816-2F51E84C5074}">
  <sheetPr codeName="Sheet13"/>
  <dimension ref="C1"/>
  <sheetViews>
    <sheetView workbookViewId="0">
      <selection activeCell="H7" sqref="H7"/>
    </sheetView>
  </sheetViews>
  <sheetFormatPr baseColWidth="10" defaultColWidth="8.7109375" defaultRowHeight="15" x14ac:dyDescent="0.25"/>
  <cols>
    <col min="2" max="2" width="10.5703125" bestFit="1" customWidth="1"/>
    <col min="3" max="3" width="58.42578125" bestFit="1" customWidth="1"/>
    <col min="4" max="4" width="11.5703125" bestFit="1" customWidth="1"/>
    <col min="5" max="5" width="5.42578125" bestFit="1" customWidth="1"/>
  </cols>
  <sheetData>
    <row r="1" spans="3:3" ht="21" x14ac:dyDescent="0.35">
      <c r="C1" s="156" t="s">
        <v>1879</v>
      </c>
    </row>
  </sheetData>
  <hyperlinks>
    <hyperlink ref="C1" location="presu!A1" display="Presupuesto" xr:uid="{4FACD027-EC92-41CA-B476-7894872285A1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limpiarpackinglist">
                <anchor moveWithCells="1" sizeWithCells="1">
                  <from>
                    <xdr:col>3</xdr:col>
                    <xdr:colOff>428625</xdr:colOff>
                    <xdr:row>0</xdr:row>
                    <xdr:rowOff>95250</xdr:rowOff>
                  </from>
                  <to>
                    <xdr:col>4</xdr:col>
                    <xdr:colOff>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1370"/>
  <sheetViews>
    <sheetView workbookViewId="0">
      <pane xSplit="4" ySplit="4" topLeftCell="E391" activePane="bottomRight" state="frozen"/>
      <selection pane="topRight" activeCell="E1" sqref="E1"/>
      <selection pane="bottomLeft" activeCell="A5" sqref="A5"/>
      <selection pane="bottomRight" activeCell="E511" sqref="E511"/>
    </sheetView>
  </sheetViews>
  <sheetFormatPr baseColWidth="10" defaultColWidth="8.7109375" defaultRowHeight="15" x14ac:dyDescent="0.25"/>
  <cols>
    <col min="1" max="1" width="12.85546875" bestFit="1" customWidth="1"/>
    <col min="2" max="2" width="75.85546875" bestFit="1" customWidth="1"/>
    <col min="3" max="3" width="12.42578125" style="297" bestFit="1" customWidth="1"/>
    <col min="4" max="4" width="9.28515625" style="56" bestFit="1" customWidth="1"/>
    <col min="5" max="5" width="10.140625" style="56" bestFit="1" customWidth="1"/>
  </cols>
  <sheetData>
    <row r="1" spans="1:7" ht="21" x14ac:dyDescent="0.35">
      <c r="C1" s="296" t="s">
        <v>1879</v>
      </c>
    </row>
    <row r="3" spans="1:7" s="61" customFormat="1" ht="15.75" thickBot="1" x14ac:dyDescent="0.3">
      <c r="A3" s="61">
        <v>1</v>
      </c>
      <c r="B3" s="61">
        <v>2</v>
      </c>
      <c r="C3" s="297">
        <v>3</v>
      </c>
      <c r="D3" s="56">
        <v>4</v>
      </c>
      <c r="E3" s="56">
        <v>5</v>
      </c>
    </row>
    <row r="4" spans="1:7" ht="26.25" x14ac:dyDescent="0.25">
      <c r="A4" s="33" t="s">
        <v>2082</v>
      </c>
      <c r="B4" s="34" t="s">
        <v>65</v>
      </c>
      <c r="C4" s="298" t="s">
        <v>66</v>
      </c>
      <c r="D4" s="57" t="s">
        <v>67</v>
      </c>
      <c r="E4" s="57" t="s">
        <v>1842</v>
      </c>
      <c r="G4" t="s">
        <v>2207</v>
      </c>
    </row>
    <row r="5" spans="1:7" x14ac:dyDescent="0.25">
      <c r="A5" s="36">
        <v>10029</v>
      </c>
      <c r="B5" s="35" t="s">
        <v>70</v>
      </c>
      <c r="C5" s="63">
        <v>100</v>
      </c>
      <c r="D5" s="58">
        <f>+VLOOKUP(A5,[1]Base!$A$11:$O$1318,15,FALSE)</f>
        <v>605.52573529411768</v>
      </c>
      <c r="E5" s="58">
        <f>+VLOOKUP(A5,[1]Base!$A$11:$R$1579,18,FALSE)</f>
        <v>756.90716911764707</v>
      </c>
      <c r="F5">
        <f>+VLOOKUP(A5,[1]Base!$A$11:$O$1264,15,FALSE)</f>
        <v>605.52573529411768</v>
      </c>
      <c r="G5">
        <f t="shared" ref="G5:G68" si="0">+F5/D5</f>
        <v>1</v>
      </c>
    </row>
    <row r="6" spans="1:7" x14ac:dyDescent="0.25">
      <c r="A6" s="36">
        <v>10062</v>
      </c>
      <c r="B6" s="35" t="s">
        <v>71</v>
      </c>
      <c r="C6" s="63">
        <v>100</v>
      </c>
      <c r="D6" s="58">
        <f>+VLOOKUP(A6,[1]Base!$A$11:$O$1318,15,FALSE)</f>
        <v>605.52573529411768</v>
      </c>
      <c r="E6" s="58">
        <f>+VLOOKUP(A6,[1]Base!$A$11:$R$1579,18,FALSE)</f>
        <v>756.90716911764707</v>
      </c>
      <c r="F6">
        <f>+VLOOKUP(A6,[1]Base!$A$11:$O$1264,15,FALSE)</f>
        <v>605.52573529411768</v>
      </c>
      <c r="G6">
        <f t="shared" si="0"/>
        <v>1</v>
      </c>
    </row>
    <row r="7" spans="1:7" x14ac:dyDescent="0.25">
      <c r="A7" s="38">
        <v>9010231</v>
      </c>
      <c r="B7" s="37" t="s">
        <v>1730</v>
      </c>
      <c r="C7" s="63">
        <v>1</v>
      </c>
      <c r="D7" s="58" t="e">
        <f>+VLOOKUP(A7,[1]Base!$A$11:$O$1318,15,FALSE)</f>
        <v>#N/A</v>
      </c>
      <c r="E7" s="58" t="e">
        <f>+VLOOKUP(A7,[1]Base!$A$11:$R$1579,18,FALSE)</f>
        <v>#N/A</v>
      </c>
      <c r="F7" t="e">
        <f>+VLOOKUP(A7,[1]Base!$A$11:$O$1264,15,FALSE)</f>
        <v>#N/A</v>
      </c>
      <c r="G7" t="e">
        <f t="shared" si="0"/>
        <v>#N/A</v>
      </c>
    </row>
    <row r="8" spans="1:7" x14ac:dyDescent="0.25">
      <c r="A8" s="36" t="s">
        <v>499</v>
      </c>
      <c r="B8" s="35" t="s">
        <v>1747</v>
      </c>
      <c r="C8" s="63">
        <v>24</v>
      </c>
      <c r="D8" s="58" t="e">
        <f>+VLOOKUP(A8,[1]Base!$A$11:$O$1318,15,FALSE)</f>
        <v>#REF!</v>
      </c>
      <c r="E8" s="58" t="e">
        <f>+VLOOKUP(A8,[1]Base!$A$11:$R$1579,18,FALSE)</f>
        <v>#REF!</v>
      </c>
      <c r="F8" t="e">
        <f>+VLOOKUP(A8,[1]Base!$A$11:$O$1264,15,FALSE)</f>
        <v>#REF!</v>
      </c>
      <c r="G8" t="e">
        <f t="shared" si="0"/>
        <v>#REF!</v>
      </c>
    </row>
    <row r="9" spans="1:7" x14ac:dyDescent="0.25">
      <c r="A9" s="45" t="s">
        <v>587</v>
      </c>
      <c r="B9" s="37" t="e">
        <v>#N/A</v>
      </c>
      <c r="C9" s="63"/>
      <c r="D9" s="58" t="e">
        <f>+VLOOKUP(A9,[1]Base!$A$11:$O$1318,15,FALSE)</f>
        <v>#N/A</v>
      </c>
      <c r="E9" s="58" t="e">
        <f>+VLOOKUP(A9,[1]Base!$A$11:$R$1579,18,FALSE)</f>
        <v>#N/A</v>
      </c>
      <c r="F9" t="e">
        <f>+VLOOKUP(A9,[1]Base!$A$11:$O$1264,15,FALSE)</f>
        <v>#N/A</v>
      </c>
      <c r="G9" t="e">
        <f t="shared" si="0"/>
        <v>#N/A</v>
      </c>
    </row>
    <row r="10" spans="1:7" x14ac:dyDescent="0.25">
      <c r="A10" s="38" t="s">
        <v>619</v>
      </c>
      <c r="B10" s="37" t="s">
        <v>620</v>
      </c>
      <c r="C10" s="63"/>
      <c r="D10" s="58">
        <f>+VLOOKUP(A10,[1]Base!$A$11:$O$1318,15,FALSE)</f>
        <v>26.202749999999995</v>
      </c>
      <c r="E10" s="58">
        <f>+VLOOKUP(A10,[1]Base!$A$11:$R$1579,18,FALSE)</f>
        <v>32.75343749999999</v>
      </c>
      <c r="F10">
        <f>+VLOOKUP(A10,[1]Base!$A$11:$O$1264,15,FALSE)</f>
        <v>26.202749999999995</v>
      </c>
      <c r="G10">
        <f t="shared" si="0"/>
        <v>1</v>
      </c>
    </row>
    <row r="11" spans="1:7" x14ac:dyDescent="0.25">
      <c r="A11" s="38" t="s">
        <v>658</v>
      </c>
      <c r="B11" s="37" t="s">
        <v>659</v>
      </c>
      <c r="C11" s="63"/>
      <c r="D11" s="58" t="e">
        <f>+VLOOKUP(A11,[1]Base!$A$11:$O$1318,15,FALSE)</f>
        <v>#N/A</v>
      </c>
      <c r="E11" s="58" t="e">
        <f>+VLOOKUP(A11,[1]Base!$A$11:$R$1579,18,FALSE)</f>
        <v>#N/A</v>
      </c>
      <c r="F11" t="e">
        <f>+VLOOKUP(A11,[1]Base!$A$11:$O$1264,15,FALSE)</f>
        <v>#N/A</v>
      </c>
      <c r="G11" t="e">
        <f t="shared" si="0"/>
        <v>#N/A</v>
      </c>
    </row>
    <row r="12" spans="1:7" x14ac:dyDescent="0.25">
      <c r="A12" s="38" t="s">
        <v>664</v>
      </c>
      <c r="B12" s="37" t="s">
        <v>665</v>
      </c>
      <c r="C12" s="63"/>
      <c r="D12" s="58">
        <f>+VLOOKUP(A12,[1]Base!$A$11:$O$1318,15,FALSE)</f>
        <v>6.1103051470588232</v>
      </c>
      <c r="E12" s="58">
        <f>+VLOOKUP(A12,[1]Base!$A$11:$R$1318,18,FALSE)</f>
        <v>7.6378814338235284</v>
      </c>
      <c r="F12">
        <f>+VLOOKUP(A12,[1]Base!$A$11:$O$1264,15,FALSE)</f>
        <v>6.1103051470588232</v>
      </c>
      <c r="G12">
        <f t="shared" si="0"/>
        <v>1</v>
      </c>
    </row>
    <row r="13" spans="1:7" x14ac:dyDescent="0.25">
      <c r="A13" s="38" t="s">
        <v>670</v>
      </c>
      <c r="B13" s="37" t="s">
        <v>671</v>
      </c>
      <c r="C13" s="63"/>
      <c r="D13" s="58" t="e">
        <f>+VLOOKUP(A13,[1]Base!$A$11:$O$1318,15,FALSE)</f>
        <v>#N/A</v>
      </c>
      <c r="E13" s="58" t="e">
        <f>+VLOOKUP(A13,[1]Base!$A$11:$R$1579,18,FALSE)</f>
        <v>#N/A</v>
      </c>
      <c r="F13" t="e">
        <f>+VLOOKUP(A13,[1]Base!$A$11:$O$1264,15,FALSE)</f>
        <v>#N/A</v>
      </c>
      <c r="G13" t="e">
        <f t="shared" si="0"/>
        <v>#N/A</v>
      </c>
    </row>
    <row r="14" spans="1:7" x14ac:dyDescent="0.25">
      <c r="A14" s="38" t="s">
        <v>692</v>
      </c>
      <c r="B14" s="37" t="s">
        <v>693</v>
      </c>
      <c r="C14" s="63"/>
      <c r="D14" s="58" t="e">
        <f>+VLOOKUP(A14,[1]Base!$A$11:$O$1318,15,FALSE)</f>
        <v>#N/A</v>
      </c>
      <c r="E14" s="58" t="e">
        <f>+VLOOKUP(A14,[1]Base!$A$11:$R$1579,18,FALSE)</f>
        <v>#N/A</v>
      </c>
      <c r="F14" t="e">
        <f>+VLOOKUP(A14,[1]Base!$A$11:$O$1264,15,FALSE)</f>
        <v>#N/A</v>
      </c>
      <c r="G14" t="e">
        <f t="shared" si="0"/>
        <v>#N/A</v>
      </c>
    </row>
    <row r="15" spans="1:7" x14ac:dyDescent="0.25">
      <c r="A15" s="45" t="s">
        <v>694</v>
      </c>
      <c r="B15" s="37" t="e">
        <v>#N/A</v>
      </c>
      <c r="C15" s="63"/>
      <c r="D15" s="58" t="e">
        <f>+VLOOKUP(A15,[1]Base!$A$11:$O$1318,15,FALSE)</f>
        <v>#N/A</v>
      </c>
      <c r="E15" s="58" t="e">
        <f>+VLOOKUP(A15,[1]Base!$A$11:$R$1579,18,FALSE)</f>
        <v>#N/A</v>
      </c>
      <c r="F15" t="e">
        <f>+VLOOKUP(A15,[1]Base!$A$11:$O$1264,15,FALSE)</f>
        <v>#N/A</v>
      </c>
      <c r="G15" t="e">
        <f t="shared" si="0"/>
        <v>#N/A</v>
      </c>
    </row>
    <row r="16" spans="1:7" x14ac:dyDescent="0.25">
      <c r="A16" s="45" t="s">
        <v>707</v>
      </c>
      <c r="B16" s="37" t="e">
        <v>#N/A</v>
      </c>
      <c r="C16" s="63"/>
      <c r="D16" s="58" t="e">
        <f>+VLOOKUP(A16,[1]Base!$A$11:$O$1318,15,FALSE)</f>
        <v>#N/A</v>
      </c>
      <c r="E16" s="58" t="e">
        <f>+VLOOKUP(A16,[1]Base!$A$11:$R$1579,18,FALSE)</f>
        <v>#N/A</v>
      </c>
      <c r="F16" t="e">
        <f>+VLOOKUP(A16,[1]Base!$A$11:$O$1264,15,FALSE)</f>
        <v>#N/A</v>
      </c>
      <c r="G16" t="e">
        <f t="shared" si="0"/>
        <v>#N/A</v>
      </c>
    </row>
    <row r="17" spans="1:7" x14ac:dyDescent="0.25">
      <c r="A17" s="38" t="s">
        <v>708</v>
      </c>
      <c r="B17" s="37" t="e">
        <v>#N/A</v>
      </c>
      <c r="C17" s="63"/>
      <c r="D17" s="58" t="e">
        <f>+VLOOKUP(A17,[1]Base!$A$11:$O$1318,15,FALSE)</f>
        <v>#N/A</v>
      </c>
      <c r="E17" s="58" t="e">
        <f>+VLOOKUP(A17,[1]Base!$A$11:$R$1579,18,FALSE)</f>
        <v>#N/A</v>
      </c>
      <c r="F17" t="e">
        <f>+VLOOKUP(A17,[1]Base!$A$11:$O$1264,15,FALSE)</f>
        <v>#N/A</v>
      </c>
      <c r="G17" t="e">
        <f t="shared" si="0"/>
        <v>#N/A</v>
      </c>
    </row>
    <row r="18" spans="1:7" x14ac:dyDescent="0.25">
      <c r="A18" s="36" t="s">
        <v>935</v>
      </c>
      <c r="B18" s="37" t="s">
        <v>936</v>
      </c>
      <c r="C18" s="63">
        <v>1</v>
      </c>
      <c r="D18" s="58">
        <f>+VLOOKUP(A18,[1]Base!$A$11:$O$1318,15,FALSE)</f>
        <v>5.5210665581111344</v>
      </c>
      <c r="E18" s="58">
        <f>+VLOOKUP(A18,[1]Base!$A$11:$R$1579,18,FALSE)</f>
        <v>6.9013331976389178</v>
      </c>
      <c r="F18">
        <f>+VLOOKUP(A18,[1]Base!$A$11:$O$1264,15,FALSE)</f>
        <v>5.5210665581111344</v>
      </c>
      <c r="G18">
        <f t="shared" si="0"/>
        <v>1</v>
      </c>
    </row>
    <row r="19" spans="1:7" x14ac:dyDescent="0.25">
      <c r="A19" s="36" t="s">
        <v>937</v>
      </c>
      <c r="B19" s="37" t="s">
        <v>938</v>
      </c>
      <c r="C19" s="63">
        <v>1</v>
      </c>
      <c r="D19" s="58">
        <f>+VLOOKUP(A19,[1]Base!$A$11:$O$1318,15,FALSE)</f>
        <v>5.7051021100481707</v>
      </c>
      <c r="E19" s="58">
        <f>+VLOOKUP(A19,[1]Base!$A$11:$R$1579,18,FALSE)</f>
        <v>7.1313776375602131</v>
      </c>
      <c r="F19">
        <f>+VLOOKUP(A19,[1]Base!$A$11:$O$1264,15,FALSE)</f>
        <v>5.7051021100481707</v>
      </c>
      <c r="G19">
        <f t="shared" si="0"/>
        <v>1</v>
      </c>
    </row>
    <row r="20" spans="1:7" x14ac:dyDescent="0.25">
      <c r="A20" s="36" t="s">
        <v>939</v>
      </c>
      <c r="B20" s="37" t="s">
        <v>940</v>
      </c>
      <c r="C20" s="63">
        <v>1</v>
      </c>
      <c r="D20" s="58">
        <f>+VLOOKUP(A20,[1]Base!$A$11:$O$1318,15,FALSE)</f>
        <v>5.8891376619852087</v>
      </c>
      <c r="E20" s="58">
        <f>+VLOOKUP(A20,[1]Base!$A$11:$R$1579,18,FALSE)</f>
        <v>7.3614220774815102</v>
      </c>
      <c r="F20">
        <f>+VLOOKUP(A20,[1]Base!$A$11:$O$1264,15,FALSE)</f>
        <v>5.8891376619852087</v>
      </c>
      <c r="G20">
        <f t="shared" si="0"/>
        <v>1</v>
      </c>
    </row>
    <row r="21" spans="1:7" x14ac:dyDescent="0.25">
      <c r="A21" s="36" t="s">
        <v>941</v>
      </c>
      <c r="B21" s="37" t="s">
        <v>942</v>
      </c>
      <c r="C21" s="63">
        <v>1</v>
      </c>
      <c r="D21" s="58">
        <f>+VLOOKUP(A21,[1]Base!$A$11:$O$1318,15,FALSE)</f>
        <v>5.8891376619852087</v>
      </c>
      <c r="E21" s="58">
        <f>+VLOOKUP(A21,[1]Base!$A$11:$R$1579,18,FALSE)</f>
        <v>7.3614220774815102</v>
      </c>
      <c r="F21">
        <f>+VLOOKUP(A21,[1]Base!$A$11:$O$1264,15,FALSE)</f>
        <v>5.8891376619852087</v>
      </c>
      <c r="G21">
        <f t="shared" si="0"/>
        <v>1</v>
      </c>
    </row>
    <row r="22" spans="1:7" x14ac:dyDescent="0.25">
      <c r="A22" s="36" t="s">
        <v>943</v>
      </c>
      <c r="B22" s="37" t="s">
        <v>944</v>
      </c>
      <c r="C22" s="63">
        <v>1</v>
      </c>
      <c r="D22" s="58">
        <f>+VLOOKUP(A22,[1]Base!$A$11:$O$1318,15,FALSE)</f>
        <v>5.5210665581111344</v>
      </c>
      <c r="E22" s="58">
        <f>+VLOOKUP(A22,[1]Base!$A$11:$R$1579,18,FALSE)</f>
        <v>6.9013331976389178</v>
      </c>
      <c r="F22">
        <f>+VLOOKUP(A22,[1]Base!$A$11:$O$1264,15,FALSE)</f>
        <v>5.5210665581111344</v>
      </c>
      <c r="G22">
        <f t="shared" si="0"/>
        <v>1</v>
      </c>
    </row>
    <row r="23" spans="1:7" x14ac:dyDescent="0.25">
      <c r="A23" s="36" t="s">
        <v>945</v>
      </c>
      <c r="B23" s="37" t="s">
        <v>946</v>
      </c>
      <c r="C23" s="63">
        <v>1</v>
      </c>
      <c r="D23" s="58">
        <f>+VLOOKUP(A23,[1]Base!$A$11:$O$1318,15,FALSE)</f>
        <v>5.5210665581111344</v>
      </c>
      <c r="E23" s="58">
        <f>+VLOOKUP(A23,[1]Base!$A$11:$R$1579,18,FALSE)</f>
        <v>6.9013331976389178</v>
      </c>
      <c r="F23">
        <f>+VLOOKUP(A23,[1]Base!$A$11:$O$1264,15,FALSE)</f>
        <v>5.5210665581111344</v>
      </c>
      <c r="G23">
        <f t="shared" si="0"/>
        <v>1</v>
      </c>
    </row>
    <row r="24" spans="1:7" x14ac:dyDescent="0.25">
      <c r="A24" s="36" t="s">
        <v>947</v>
      </c>
      <c r="B24" s="37" t="s">
        <v>948</v>
      </c>
      <c r="C24" s="63">
        <v>1</v>
      </c>
      <c r="D24" s="58">
        <f>+VLOOKUP(A24,[1]Base!$A$11:$O$1318,15,FALSE)</f>
        <v>5.5210665581111344</v>
      </c>
      <c r="E24" s="58">
        <f>+VLOOKUP(A24,[1]Base!$A$11:$R$1579,18,FALSE)</f>
        <v>6.9013331976389178</v>
      </c>
      <c r="F24">
        <f>+VLOOKUP(A24,[1]Base!$A$11:$O$1264,15,FALSE)</f>
        <v>5.5210665581111344</v>
      </c>
      <c r="G24">
        <f t="shared" si="0"/>
        <v>1</v>
      </c>
    </row>
    <row r="25" spans="1:7" x14ac:dyDescent="0.25">
      <c r="A25" s="36" t="s">
        <v>949</v>
      </c>
      <c r="B25" s="37" t="s">
        <v>950</v>
      </c>
      <c r="C25" s="63">
        <v>1</v>
      </c>
      <c r="D25" s="58">
        <f>+VLOOKUP(A25,[1]Base!$A$11:$O$1318,15,FALSE)</f>
        <v>5.5210665581111344</v>
      </c>
      <c r="E25" s="58">
        <f>+VLOOKUP(A25,[1]Base!$A$11:$R$1579,18,FALSE)</f>
        <v>6.9013331976389178</v>
      </c>
      <c r="F25">
        <f>+VLOOKUP(A25,[1]Base!$A$11:$O$1264,15,FALSE)</f>
        <v>5.5210665581111344</v>
      </c>
      <c r="G25">
        <f t="shared" si="0"/>
        <v>1</v>
      </c>
    </row>
    <row r="26" spans="1:7" x14ac:dyDescent="0.25">
      <c r="A26" s="36" t="s">
        <v>951</v>
      </c>
      <c r="B26" s="37" t="s">
        <v>952</v>
      </c>
      <c r="C26" s="63">
        <v>1</v>
      </c>
      <c r="D26" s="58">
        <f>+VLOOKUP(A26,[1]Base!$A$11:$O$1318,15,FALSE)</f>
        <v>5.5210665581111344</v>
      </c>
      <c r="E26" s="58">
        <f>+VLOOKUP(A26,[1]Base!$A$11:$R$1579,18,FALSE)</f>
        <v>6.9013331976389178</v>
      </c>
      <c r="F26">
        <f>+VLOOKUP(A26,[1]Base!$A$11:$O$1264,15,FALSE)</f>
        <v>5.5210665581111344</v>
      </c>
      <c r="G26">
        <f t="shared" si="0"/>
        <v>1</v>
      </c>
    </row>
    <row r="27" spans="1:7" x14ac:dyDescent="0.25">
      <c r="A27" s="36" t="s">
        <v>983</v>
      </c>
      <c r="B27" s="37" t="s">
        <v>984</v>
      </c>
      <c r="C27" s="63">
        <v>1</v>
      </c>
      <c r="D27" s="58">
        <f>+VLOOKUP(A27,[1]Base!$A$11:$O$1318,15,FALSE)</f>
        <v>6.6048314750736887</v>
      </c>
      <c r="E27" s="58">
        <f>+VLOOKUP(A27,[1]Base!$A$11:$R$1579,18,FALSE)</f>
        <v>8.2560393438421098</v>
      </c>
      <c r="F27">
        <f>+VLOOKUP(A27,[1]Base!$A$11:$O$1264,15,FALSE)</f>
        <v>6.6048314750736887</v>
      </c>
      <c r="G27">
        <f t="shared" si="0"/>
        <v>1</v>
      </c>
    </row>
    <row r="28" spans="1:7" x14ac:dyDescent="0.25">
      <c r="A28" s="36" t="s">
        <v>985</v>
      </c>
      <c r="B28" s="37" t="s">
        <v>986</v>
      </c>
      <c r="C28" s="63">
        <v>1</v>
      </c>
      <c r="D28" s="58">
        <f>+VLOOKUP(A28,[1]Base!$A$11:$O$1318,15,FALSE)</f>
        <v>0.2433358964500833</v>
      </c>
      <c r="E28" s="58">
        <f>+VLOOKUP(A28,[1]Base!$A$11:$R$1579,18,FALSE)</f>
        <v>0.30416987056260408</v>
      </c>
      <c r="F28">
        <f>+VLOOKUP(A28,[1]Base!$A$11:$O$1264,15,FALSE)</f>
        <v>0.2433358964500833</v>
      </c>
      <c r="G28">
        <f t="shared" si="0"/>
        <v>1</v>
      </c>
    </row>
    <row r="29" spans="1:7" x14ac:dyDescent="0.25">
      <c r="A29" s="36" t="s">
        <v>987</v>
      </c>
      <c r="B29" s="37" t="s">
        <v>988</v>
      </c>
      <c r="C29" s="63">
        <v>1</v>
      </c>
      <c r="D29" s="58">
        <f>+VLOOKUP(A29,[1]Base!$A$11:$O$1318,15,FALSE)</f>
        <v>11.297738049468153</v>
      </c>
      <c r="E29" s="58">
        <f>+VLOOKUP(A29,[1]Base!$A$11:$R$1579,18,FALSE)</f>
        <v>14.122172561835191</v>
      </c>
      <c r="F29">
        <f>+VLOOKUP(A29,[1]Base!$A$11:$O$1264,15,FALSE)</f>
        <v>11.297738049468153</v>
      </c>
      <c r="G29">
        <f t="shared" si="0"/>
        <v>1</v>
      </c>
    </row>
    <row r="30" spans="1:7" ht="26.25" customHeight="1" x14ac:dyDescent="0.25">
      <c r="A30" s="36" t="s">
        <v>1009</v>
      </c>
      <c r="B30" s="37" t="s">
        <v>1010</v>
      </c>
      <c r="C30" s="63">
        <v>1</v>
      </c>
      <c r="D30" s="58">
        <f>+VLOOKUP(A30,[1]Base!$A$11:$O$1318,15,FALSE)</f>
        <v>0</v>
      </c>
      <c r="E30" s="58">
        <f>+VLOOKUP(A30,[1]Base!$A$11:$R$1579,18,FALSE)</f>
        <v>0</v>
      </c>
      <c r="F30">
        <f>+VLOOKUP(A30,[1]Base!$A$11:$O$1264,15,FALSE)</f>
        <v>0</v>
      </c>
      <c r="G30" t="e">
        <f t="shared" si="0"/>
        <v>#DIV/0!</v>
      </c>
    </row>
    <row r="31" spans="1:7" x14ac:dyDescent="0.25">
      <c r="A31" s="36" t="s">
        <v>1013</v>
      </c>
      <c r="B31" s="37" t="s">
        <v>1014</v>
      </c>
      <c r="C31" s="63">
        <v>1</v>
      </c>
      <c r="D31" s="58">
        <f>+VLOOKUP(A31,[1]Base!$A$11:$O$1318,15,FALSE)</f>
        <v>0</v>
      </c>
      <c r="E31" s="58">
        <f>+VLOOKUP(A31,[1]Base!$A$11:$R$1579,18,FALSE)</f>
        <v>0</v>
      </c>
      <c r="F31">
        <f>+VLOOKUP(A31,[1]Base!$A$11:$O$1264,15,FALSE)</f>
        <v>0</v>
      </c>
      <c r="G31" t="e">
        <f t="shared" si="0"/>
        <v>#DIV/0!</v>
      </c>
    </row>
    <row r="32" spans="1:7" x14ac:dyDescent="0.25">
      <c r="A32" s="36" t="s">
        <v>1015</v>
      </c>
      <c r="B32" s="37" t="s">
        <v>1016</v>
      </c>
      <c r="C32" s="63">
        <v>1</v>
      </c>
      <c r="D32" s="58">
        <f>+VLOOKUP(A32,[1]Base!$A$11:$O$1318,15,FALSE)</f>
        <v>0</v>
      </c>
      <c r="E32" s="58">
        <f>+VLOOKUP(A32,[1]Base!$A$11:$R$1579,18,FALSE)</f>
        <v>0</v>
      </c>
      <c r="F32">
        <f>+VLOOKUP(A32,[1]Base!$A$11:$O$1264,15,FALSE)</f>
        <v>0</v>
      </c>
      <c r="G32" t="e">
        <f t="shared" si="0"/>
        <v>#DIV/0!</v>
      </c>
    </row>
    <row r="33" spans="1:7" x14ac:dyDescent="0.25">
      <c r="A33" s="36" t="s">
        <v>1021</v>
      </c>
      <c r="B33" s="37" t="s">
        <v>1022</v>
      </c>
      <c r="C33" s="63">
        <v>1</v>
      </c>
      <c r="D33" s="58">
        <f>+VLOOKUP(A33,[1]Base!$A$11:$O$1318,15,FALSE)</f>
        <v>8.6905677303601173E-2</v>
      </c>
      <c r="E33" s="58">
        <f>+VLOOKUP(A33,[1]Base!$A$11:$R$1579,18,FALSE)</f>
        <v>0.10863209662950146</v>
      </c>
      <c r="F33">
        <f>+VLOOKUP(A33,[1]Base!$A$11:$O$1264,15,FALSE)</f>
        <v>8.6905677303601173E-2</v>
      </c>
      <c r="G33">
        <f t="shared" si="0"/>
        <v>1</v>
      </c>
    </row>
    <row r="34" spans="1:7" x14ac:dyDescent="0.25">
      <c r="A34" s="36" t="s">
        <v>1023</v>
      </c>
      <c r="B34" s="37" t="s">
        <v>1024</v>
      </c>
      <c r="C34" s="63">
        <v>1</v>
      </c>
      <c r="D34" s="58">
        <f>+VLOOKUP(A34,[1]Base!$A$11:$O$1318,15,FALSE)</f>
        <v>7.8215109573241062</v>
      </c>
      <c r="E34" s="58">
        <f>+VLOOKUP(A34,[1]Base!$A$11:$R$1579,18,FALSE)</f>
        <v>8.690567730360117</v>
      </c>
      <c r="F34">
        <f>+VLOOKUP(A34,[1]Base!$A$11:$O$1264,15,FALSE)</f>
        <v>7.8215109573241062</v>
      </c>
      <c r="G34">
        <f t="shared" si="0"/>
        <v>1</v>
      </c>
    </row>
    <row r="35" spans="1:7" x14ac:dyDescent="0.25">
      <c r="A35" s="36" t="s">
        <v>1025</v>
      </c>
      <c r="B35" s="37" t="s">
        <v>1026</v>
      </c>
      <c r="C35" s="63">
        <v>1</v>
      </c>
      <c r="D35" s="58">
        <f>+VLOOKUP(A35,[1]Base!$A$11:$O$1318,15,FALSE)</f>
        <v>11.042133116222269</v>
      </c>
      <c r="E35" s="58">
        <f>+VLOOKUP(A35,[1]Base!$A$11:$R$1579,18,FALSE)</f>
        <v>13.802666395277836</v>
      </c>
      <c r="F35">
        <f>+VLOOKUP(A35,[1]Base!$A$11:$O$1264,15,FALSE)</f>
        <v>11.042133116222269</v>
      </c>
      <c r="G35">
        <f t="shared" si="0"/>
        <v>1</v>
      </c>
    </row>
    <row r="36" spans="1:7" x14ac:dyDescent="0.25">
      <c r="A36" s="36" t="s">
        <v>1027</v>
      </c>
      <c r="B36" s="37" t="s">
        <v>1028</v>
      </c>
      <c r="C36" s="63">
        <v>1</v>
      </c>
      <c r="D36" s="58" t="e">
        <f>+VLOOKUP(A36,[1]Base!$A$11:$O$1318,15,FALSE)</f>
        <v>#VALUE!</v>
      </c>
      <c r="E36" s="58" t="e">
        <f>+VLOOKUP(A36,[1]Base!$A$11:$R$1579,18,FALSE)</f>
        <v>#VALUE!</v>
      </c>
      <c r="F36" t="e">
        <f>+VLOOKUP(A36,[1]Base!$A$11:$O$1264,15,FALSE)</f>
        <v>#VALUE!</v>
      </c>
      <c r="G36" t="e">
        <f t="shared" si="0"/>
        <v>#VALUE!</v>
      </c>
    </row>
    <row r="37" spans="1:7" x14ac:dyDescent="0.25">
      <c r="A37" s="36" t="s">
        <v>1127</v>
      </c>
      <c r="B37" s="37" t="s">
        <v>1128</v>
      </c>
      <c r="C37" s="63">
        <v>1</v>
      </c>
      <c r="D37" s="58">
        <f>+VLOOKUP(A37,[1]Base!$A$11:$O$1318,15,FALSE)</f>
        <v>177.28758169934639</v>
      </c>
      <c r="E37" s="58">
        <f>+VLOOKUP(A37,[1]Base!$A$11:$R$1579,18,FALSE)</f>
        <v>221.60947712418297</v>
      </c>
      <c r="F37">
        <f>+VLOOKUP(A37,[1]Base!$A$11:$O$1264,15,FALSE)</f>
        <v>177.28758169934639</v>
      </c>
      <c r="G37">
        <f t="shared" si="0"/>
        <v>1</v>
      </c>
    </row>
    <row r="38" spans="1:7" x14ac:dyDescent="0.25">
      <c r="A38" s="36" t="s">
        <v>1129</v>
      </c>
      <c r="B38" s="37" t="s">
        <v>1130</v>
      </c>
      <c r="C38" s="63">
        <v>1</v>
      </c>
      <c r="D38" s="58">
        <f>+VLOOKUP(A38,[1]Base!$A$11:$O$1318,15,FALSE)</f>
        <v>195.01633986928101</v>
      </c>
      <c r="E38" s="58">
        <f>+VLOOKUP(A38,[1]Base!$A$11:$R$1579,18,FALSE)</f>
        <v>243.77042483660125</v>
      </c>
      <c r="F38">
        <f>+VLOOKUP(A38,[1]Base!$A$11:$O$1264,15,FALSE)</f>
        <v>195.01633986928101</v>
      </c>
      <c r="G38">
        <f t="shared" si="0"/>
        <v>1</v>
      </c>
    </row>
    <row r="39" spans="1:7" x14ac:dyDescent="0.25">
      <c r="A39" s="36" t="s">
        <v>1131</v>
      </c>
      <c r="B39" s="37" t="s">
        <v>1132</v>
      </c>
      <c r="C39" s="63">
        <v>1</v>
      </c>
      <c r="D39" s="58">
        <f>+VLOOKUP(A39,[1]Base!$A$11:$O$1318,15,FALSE)</f>
        <v>97.508169934640506</v>
      </c>
      <c r="E39" s="58">
        <f>+VLOOKUP(A39,[1]Base!$A$11:$R$1579,18,FALSE)</f>
        <v>121.88521241830063</v>
      </c>
      <c r="F39">
        <f>+VLOOKUP(A39,[1]Base!$A$11:$O$1264,15,FALSE)</f>
        <v>97.508169934640506</v>
      </c>
      <c r="G39">
        <f t="shared" si="0"/>
        <v>1</v>
      </c>
    </row>
    <row r="40" spans="1:7" x14ac:dyDescent="0.25">
      <c r="A40" s="36" t="s">
        <v>1133</v>
      </c>
      <c r="B40" s="37" t="s">
        <v>1134</v>
      </c>
      <c r="C40" s="63">
        <v>1</v>
      </c>
      <c r="D40" s="58">
        <f>+VLOOKUP(A40,[1]Base!$A$11:$O$1318,15,FALSE)</f>
        <v>106.37254901960782</v>
      </c>
      <c r="E40" s="58">
        <f>+VLOOKUP(A40,[1]Base!$A$11:$R$1579,18,FALSE)</f>
        <v>132.96568627450975</v>
      </c>
      <c r="F40">
        <f>+VLOOKUP(A40,[1]Base!$A$11:$O$1264,15,FALSE)</f>
        <v>106.37254901960782</v>
      </c>
      <c r="G40">
        <f t="shared" si="0"/>
        <v>1</v>
      </c>
    </row>
    <row r="41" spans="1:7" x14ac:dyDescent="0.25">
      <c r="A41" s="36" t="s">
        <v>1135</v>
      </c>
      <c r="B41" s="37" t="s">
        <v>1136</v>
      </c>
      <c r="C41" s="63">
        <v>1</v>
      </c>
      <c r="D41" s="58">
        <f>+VLOOKUP(A41,[1]Base!$A$11:$O$1318,15,FALSE)</f>
        <v>546.04575163398692</v>
      </c>
      <c r="E41" s="58">
        <f>+VLOOKUP(A41,[1]Base!$A$11:$R$1579,18,FALSE)</f>
        <v>682.55718954248357</v>
      </c>
      <c r="F41">
        <f>+VLOOKUP(A41,[1]Base!$A$11:$O$1264,15,FALSE)</f>
        <v>546.04575163398692</v>
      </c>
      <c r="G41">
        <f t="shared" si="0"/>
        <v>1</v>
      </c>
    </row>
    <row r="42" spans="1:7" x14ac:dyDescent="0.25">
      <c r="A42" s="36" t="s">
        <v>1137</v>
      </c>
      <c r="B42" s="37" t="s">
        <v>1138</v>
      </c>
      <c r="C42" s="63">
        <v>1</v>
      </c>
      <c r="D42" s="58">
        <f>+VLOOKUP(A42,[1]Base!$A$11:$O$1318,15,FALSE)</f>
        <v>546.04575163398692</v>
      </c>
      <c r="E42" s="58">
        <f>+VLOOKUP(A42,[1]Base!$A$11:$R$1579,18,FALSE)</f>
        <v>682.55718954248357</v>
      </c>
      <c r="F42">
        <f>+VLOOKUP(A42,[1]Base!$A$11:$O$1264,15,FALSE)</f>
        <v>546.04575163398692</v>
      </c>
      <c r="G42">
        <f t="shared" si="0"/>
        <v>1</v>
      </c>
    </row>
    <row r="43" spans="1:7" x14ac:dyDescent="0.25">
      <c r="A43" s="36" t="s">
        <v>1139</v>
      </c>
      <c r="B43" s="37" t="s">
        <v>1140</v>
      </c>
      <c r="C43" s="63">
        <v>1</v>
      </c>
      <c r="D43" s="58">
        <f>+VLOOKUP(A43,[1]Base!$A$11:$O$1318,15,FALSE)</f>
        <v>88.643790849673195</v>
      </c>
      <c r="E43" s="58">
        <f>+VLOOKUP(A43,[1]Base!$A$11:$R$1579,18,FALSE)</f>
        <v>110.80473856209149</v>
      </c>
      <c r="F43">
        <f>+VLOOKUP(A43,[1]Base!$A$11:$O$1264,15,FALSE)</f>
        <v>88.643790849673195</v>
      </c>
      <c r="G43">
        <f t="shared" si="0"/>
        <v>1</v>
      </c>
    </row>
    <row r="44" spans="1:7" x14ac:dyDescent="0.25">
      <c r="A44" s="36" t="s">
        <v>1141</v>
      </c>
      <c r="B44" s="37" t="s">
        <v>1142</v>
      </c>
      <c r="C44" s="63">
        <v>1</v>
      </c>
      <c r="D44" s="58">
        <f>+VLOOKUP(A44,[1]Base!$A$11:$O$1318,15,FALSE)</f>
        <v>70.915032679738559</v>
      </c>
      <c r="E44" s="58">
        <f>+VLOOKUP(A44,[1]Base!$A$11:$R$1579,18,FALSE)</f>
        <v>88.643790849673195</v>
      </c>
      <c r="F44">
        <f>+VLOOKUP(A44,[1]Base!$A$11:$O$1264,15,FALSE)</f>
        <v>70.915032679738559</v>
      </c>
      <c r="G44">
        <f t="shared" si="0"/>
        <v>1</v>
      </c>
    </row>
    <row r="45" spans="1:7" x14ac:dyDescent="0.25">
      <c r="A45" s="36" t="s">
        <v>1143</v>
      </c>
      <c r="B45" s="37" t="s">
        <v>1144</v>
      </c>
      <c r="C45" s="63">
        <v>1</v>
      </c>
      <c r="D45" s="58">
        <f>+VLOOKUP(A45,[1]Base!$A$11:$O$1318,15,FALSE)</f>
        <v>88.643790849673195</v>
      </c>
      <c r="E45" s="58">
        <f>+VLOOKUP(A45,[1]Base!$A$11:$R$1579,18,FALSE)</f>
        <v>110.80473856209149</v>
      </c>
      <c r="F45">
        <f>+VLOOKUP(A45,[1]Base!$A$11:$O$1264,15,FALSE)</f>
        <v>88.643790849673195</v>
      </c>
      <c r="G45">
        <f t="shared" si="0"/>
        <v>1</v>
      </c>
    </row>
    <row r="46" spans="1:7" x14ac:dyDescent="0.25">
      <c r="A46" s="36" t="s">
        <v>1145</v>
      </c>
      <c r="B46" s="37" t="s">
        <v>1146</v>
      </c>
      <c r="C46" s="63">
        <v>1</v>
      </c>
      <c r="D46" s="58">
        <f>+VLOOKUP(A46,[1]Base!$A$11:$O$1318,15,FALSE)</f>
        <v>913.03104575163377</v>
      </c>
      <c r="E46" s="58">
        <f>+VLOOKUP(A46,[1]Base!$A$11:$R$1579,18,FALSE)</f>
        <v>1141.2888071895422</v>
      </c>
      <c r="F46">
        <f>+VLOOKUP(A46,[1]Base!$A$11:$O$1264,15,FALSE)</f>
        <v>913.03104575163377</v>
      </c>
      <c r="G46">
        <f t="shared" si="0"/>
        <v>1</v>
      </c>
    </row>
    <row r="47" spans="1:7" x14ac:dyDescent="0.25">
      <c r="A47" s="36" t="s">
        <v>1149</v>
      </c>
      <c r="B47" s="37" t="s">
        <v>1150</v>
      </c>
      <c r="C47" s="63">
        <v>4.5</v>
      </c>
      <c r="D47" s="58" t="e">
        <f>+VLOOKUP(A47,[1]Base!$A$11:$O$1318,15,FALSE)</f>
        <v>#REF!</v>
      </c>
      <c r="E47" s="58" t="e">
        <f>+VLOOKUP(A47,[1]Base!$A$11:$R$1579,18,FALSE)</f>
        <v>#REF!</v>
      </c>
      <c r="F47" t="e">
        <f>+VLOOKUP(A47,[1]Base!$A$11:$O$1264,15,FALSE)</f>
        <v>#REF!</v>
      </c>
      <c r="G47" t="e">
        <f t="shared" si="0"/>
        <v>#REF!</v>
      </c>
    </row>
    <row r="48" spans="1:7" x14ac:dyDescent="0.25">
      <c r="A48" s="36" t="s">
        <v>1151</v>
      </c>
      <c r="B48" s="37" t="s">
        <v>1152</v>
      </c>
      <c r="C48" s="63">
        <v>3</v>
      </c>
      <c r="D48" s="58" t="e">
        <f>+VLOOKUP(A48,[1]Base!$A$11:$O$1318,15,FALSE)</f>
        <v>#REF!</v>
      </c>
      <c r="E48" s="58" t="e">
        <f>+VLOOKUP(A48,[1]Base!$A$11:$R$1579,18,FALSE)</f>
        <v>#REF!</v>
      </c>
      <c r="F48" t="e">
        <f>+VLOOKUP(A48,[1]Base!$A$11:$O$1264,15,FALSE)</f>
        <v>#REF!</v>
      </c>
      <c r="G48" t="e">
        <f t="shared" si="0"/>
        <v>#REF!</v>
      </c>
    </row>
    <row r="49" spans="1:7" x14ac:dyDescent="0.25">
      <c r="A49" s="36" t="s">
        <v>1153</v>
      </c>
      <c r="B49" s="37" t="s">
        <v>1154</v>
      </c>
      <c r="C49" s="63">
        <v>3</v>
      </c>
      <c r="D49" s="58" t="e">
        <f>+VLOOKUP(A49,[1]Base!$A$11:$O$1318,15,FALSE)</f>
        <v>#REF!</v>
      </c>
      <c r="E49" s="58" t="e">
        <f>+VLOOKUP(A49,[1]Base!$A$11:$R$1579,18,FALSE)</f>
        <v>#REF!</v>
      </c>
      <c r="F49" t="e">
        <f>+VLOOKUP(A49,[1]Base!$A$11:$O$1264,15,FALSE)</f>
        <v>#REF!</v>
      </c>
      <c r="G49" t="e">
        <f t="shared" si="0"/>
        <v>#REF!</v>
      </c>
    </row>
    <row r="50" spans="1:7" x14ac:dyDescent="0.25">
      <c r="A50" s="36" t="s">
        <v>1155</v>
      </c>
      <c r="B50" s="37" t="s">
        <v>1156</v>
      </c>
      <c r="C50" s="63">
        <v>4.5</v>
      </c>
      <c r="D50" s="58" t="e">
        <f>+VLOOKUP(A50,[1]Base!$A$11:$O$1318,15,FALSE)</f>
        <v>#REF!</v>
      </c>
      <c r="E50" s="58" t="e">
        <f>+VLOOKUP(A50,[1]Base!$A$11:$R$1579,18,FALSE)</f>
        <v>#REF!</v>
      </c>
      <c r="F50" t="e">
        <f>+VLOOKUP(A50,[1]Base!$A$11:$O$1264,15,FALSE)</f>
        <v>#REF!</v>
      </c>
      <c r="G50" t="e">
        <f t="shared" si="0"/>
        <v>#REF!</v>
      </c>
    </row>
    <row r="51" spans="1:7" x14ac:dyDescent="0.25">
      <c r="A51" s="36" t="s">
        <v>1185</v>
      </c>
      <c r="B51" s="37" t="s">
        <v>1186</v>
      </c>
      <c r="C51" s="63">
        <v>1</v>
      </c>
      <c r="D51" s="58">
        <f>+VLOOKUP(A51,[1]Base!$A$11:$O$1318,15,FALSE)</f>
        <v>2.3924621751814907</v>
      </c>
      <c r="E51" s="58">
        <f>+VLOOKUP(A51,[1]Base!$A$11:$R$1579,18,FALSE)</f>
        <v>2.9905777189768634</v>
      </c>
      <c r="F51">
        <f>+VLOOKUP(A51,[1]Base!$A$11:$O$1264,15,FALSE)</f>
        <v>2.3924621751814907</v>
      </c>
      <c r="G51">
        <f t="shared" si="0"/>
        <v>1</v>
      </c>
    </row>
    <row r="52" spans="1:7" x14ac:dyDescent="0.25">
      <c r="A52" s="36" t="s">
        <v>1187</v>
      </c>
      <c r="B52" s="37" t="s">
        <v>1188</v>
      </c>
      <c r="C52" s="63">
        <v>1</v>
      </c>
      <c r="D52" s="58">
        <f>+VLOOKUP(A52,[1]Base!$A$11:$O$1318,15,FALSE)</f>
        <v>2.5764977271185296</v>
      </c>
      <c r="E52" s="58">
        <f>+VLOOKUP(A52,[1]Base!$A$11:$R$1579,18,FALSE)</f>
        <v>3.2206221588981618</v>
      </c>
      <c r="F52">
        <f>+VLOOKUP(A52,[1]Base!$A$11:$O$1264,15,FALSE)</f>
        <v>2.5764977271185296</v>
      </c>
      <c r="G52">
        <f t="shared" si="0"/>
        <v>1</v>
      </c>
    </row>
    <row r="53" spans="1:7" x14ac:dyDescent="0.25">
      <c r="A53" s="36" t="s">
        <v>1189</v>
      </c>
      <c r="B53" s="37" t="s">
        <v>1190</v>
      </c>
      <c r="C53" s="63">
        <v>1</v>
      </c>
      <c r="D53" s="58">
        <f>+VLOOKUP(A53,[1]Base!$A$11:$O$1318,15,FALSE)</f>
        <v>2.6071703191080355</v>
      </c>
      <c r="E53" s="58">
        <f>+VLOOKUP(A53,[1]Base!$A$11:$R$1579,18,FALSE)</f>
        <v>3.2589628988850441</v>
      </c>
      <c r="F53">
        <f>+VLOOKUP(A53,[1]Base!$A$11:$O$1264,15,FALSE)</f>
        <v>2.6071703191080355</v>
      </c>
      <c r="G53">
        <f t="shared" si="0"/>
        <v>1</v>
      </c>
    </row>
    <row r="54" spans="1:7" x14ac:dyDescent="0.25">
      <c r="A54" s="36" t="s">
        <v>1191</v>
      </c>
      <c r="B54" s="37" t="s">
        <v>1192</v>
      </c>
      <c r="C54" s="63">
        <v>1</v>
      </c>
      <c r="D54" s="58">
        <f>+VLOOKUP(A54,[1]Base!$A$11:$O$1318,15,FALSE)</f>
        <v>3.4762270921440472</v>
      </c>
      <c r="E54" s="58">
        <f>+VLOOKUP(A54,[1]Base!$A$11:$R$1579,18,FALSE)</f>
        <v>4.3452838651800585</v>
      </c>
      <c r="F54">
        <f>+VLOOKUP(A54,[1]Base!$A$11:$O$1264,15,FALSE)</f>
        <v>3.4762270921440472</v>
      </c>
      <c r="G54">
        <f t="shared" si="0"/>
        <v>1</v>
      </c>
    </row>
    <row r="55" spans="1:7" x14ac:dyDescent="0.25">
      <c r="A55" s="36" t="s">
        <v>1193</v>
      </c>
      <c r="B55" s="37" t="s">
        <v>1194</v>
      </c>
      <c r="C55" s="63">
        <v>1</v>
      </c>
      <c r="D55" s="58">
        <f>+VLOOKUP(A55,[1]Base!$A$11:$O$1318,15,FALSE)</f>
        <v>2.6071703191080355</v>
      </c>
      <c r="E55" s="58">
        <f>+VLOOKUP(A55,[1]Base!$A$11:$R$1579,18,FALSE)</f>
        <v>3.2589628988850441</v>
      </c>
      <c r="F55">
        <f>+VLOOKUP(A55,[1]Base!$A$11:$O$1264,15,FALSE)</f>
        <v>2.6071703191080355</v>
      </c>
      <c r="G55">
        <f t="shared" si="0"/>
        <v>1</v>
      </c>
    </row>
    <row r="56" spans="1:7" x14ac:dyDescent="0.25">
      <c r="A56" s="36" t="s">
        <v>1195</v>
      </c>
      <c r="B56" s="37" t="s">
        <v>1196</v>
      </c>
      <c r="C56" s="63">
        <v>1</v>
      </c>
      <c r="D56" s="58">
        <f>+VLOOKUP(A56,[1]Base!$A$11:$O$1318,15,FALSE)</f>
        <v>2.7809816737152375</v>
      </c>
      <c r="E56" s="58">
        <f>+VLOOKUP(A56,[1]Base!$A$11:$R$1579,18,FALSE)</f>
        <v>3.4762270921440468</v>
      </c>
      <c r="F56">
        <f>+VLOOKUP(A56,[1]Base!$A$11:$O$1264,15,FALSE)</f>
        <v>2.7809816737152375</v>
      </c>
      <c r="G56">
        <f t="shared" si="0"/>
        <v>1</v>
      </c>
    </row>
    <row r="57" spans="1:7" x14ac:dyDescent="0.25">
      <c r="A57" s="36" t="s">
        <v>1258</v>
      </c>
      <c r="B57" s="37" t="s">
        <v>1259</v>
      </c>
      <c r="C57" s="63">
        <v>100</v>
      </c>
      <c r="D57" s="58">
        <f>+VLOOKUP(A57,[1]Base!$A$11:$O$1318,15,FALSE)</f>
        <v>0</v>
      </c>
      <c r="E57" s="58">
        <f>+VLOOKUP(A57,[1]Base!$A$11:$R$1579,18,FALSE)</f>
        <v>0</v>
      </c>
      <c r="F57">
        <f>+VLOOKUP(A57,[1]Base!$A$11:$O$1264,15,FALSE)</f>
        <v>0</v>
      </c>
      <c r="G57" t="e">
        <f t="shared" si="0"/>
        <v>#DIV/0!</v>
      </c>
    </row>
    <row r="58" spans="1:7" x14ac:dyDescent="0.25">
      <c r="A58" s="36" t="s">
        <v>1260</v>
      </c>
      <c r="B58" s="37" t="s">
        <v>1261</v>
      </c>
      <c r="C58" s="63">
        <v>1</v>
      </c>
      <c r="D58" s="58">
        <f>+VLOOKUP(A58,[1]Base!$A$11:$O$1318,15,FALSE)</f>
        <v>0</v>
      </c>
      <c r="E58" s="58">
        <f>+VLOOKUP(A58,[1]Base!$A$11:$R$1579,18,FALSE)</f>
        <v>0</v>
      </c>
      <c r="F58">
        <f>+VLOOKUP(A58,[1]Base!$A$11:$O$1264,15,FALSE)</f>
        <v>0</v>
      </c>
      <c r="G58" t="e">
        <f t="shared" si="0"/>
        <v>#DIV/0!</v>
      </c>
    </row>
    <row r="59" spans="1:7" x14ac:dyDescent="0.25">
      <c r="A59" s="36" t="s">
        <v>1282</v>
      </c>
      <c r="B59" s="37" t="s">
        <v>1283</v>
      </c>
      <c r="C59" s="63">
        <v>1</v>
      </c>
      <c r="D59" s="58">
        <f>+VLOOKUP(A59,[1]Base!$A$11:$O$1318,15,FALSE)</f>
        <v>0</v>
      </c>
      <c r="E59" s="58">
        <f>+VLOOKUP(A59,[1]Base!$A$11:$R$1579,18,FALSE)</f>
        <v>0</v>
      </c>
      <c r="F59">
        <f>+VLOOKUP(A59,[1]Base!$A$11:$O$1264,15,FALSE)</f>
        <v>0</v>
      </c>
      <c r="G59" t="e">
        <f t="shared" si="0"/>
        <v>#DIV/0!</v>
      </c>
    </row>
    <row r="60" spans="1:7" x14ac:dyDescent="0.25">
      <c r="A60" s="36" t="s">
        <v>1518</v>
      </c>
      <c r="B60" s="37" t="s">
        <v>1519</v>
      </c>
      <c r="C60" s="63">
        <v>1</v>
      </c>
      <c r="D60" s="58">
        <f>+VLOOKUP(A60,[1]Base!$A$11:$O$1318,15,FALSE)</f>
        <v>0</v>
      </c>
      <c r="E60" s="58">
        <f>+VLOOKUP(A60,[1]Base!$A$11:$R$1579,18,FALSE)</f>
        <v>0</v>
      </c>
      <c r="F60">
        <f>+VLOOKUP(A60,[1]Base!$A$11:$O$1264,15,FALSE)</f>
        <v>0</v>
      </c>
      <c r="G60" t="e">
        <f t="shared" si="0"/>
        <v>#DIV/0!</v>
      </c>
    </row>
    <row r="61" spans="1:7" x14ac:dyDescent="0.25">
      <c r="A61" s="40" t="s">
        <v>1562</v>
      </c>
      <c r="B61" s="35" t="s">
        <v>1563</v>
      </c>
      <c r="C61" s="63">
        <v>2</v>
      </c>
      <c r="D61" s="58">
        <f>+VLOOKUP(A61,[1]Base!$A$11:$O$1318,15,FALSE)</f>
        <v>0</v>
      </c>
      <c r="E61" s="58">
        <f>+VLOOKUP(A61,[1]Base!$A$11:$R$1579,18,FALSE)</f>
        <v>0</v>
      </c>
      <c r="F61">
        <f>+VLOOKUP(A61,[1]Base!$A$11:$O$1264,15,FALSE)</f>
        <v>0</v>
      </c>
      <c r="G61" t="e">
        <f t="shared" si="0"/>
        <v>#DIV/0!</v>
      </c>
    </row>
    <row r="62" spans="1:7" x14ac:dyDescent="0.25">
      <c r="A62" s="40" t="s">
        <v>1564</v>
      </c>
      <c r="B62" s="35" t="s">
        <v>1565</v>
      </c>
      <c r="C62" s="63">
        <v>1</v>
      </c>
      <c r="D62" s="58">
        <f>+VLOOKUP(A62,[1]Base!$A$11:$O$1318,15,FALSE)</f>
        <v>0</v>
      </c>
      <c r="E62" s="58">
        <f>+VLOOKUP(A62,[1]Base!$A$11:$R$1579,18,FALSE)</f>
        <v>0</v>
      </c>
      <c r="F62">
        <f>+VLOOKUP(A62,[1]Base!$A$11:$O$1264,15,FALSE)</f>
        <v>0</v>
      </c>
      <c r="G62" t="e">
        <f t="shared" si="0"/>
        <v>#DIV/0!</v>
      </c>
    </row>
    <row r="63" spans="1:7" x14ac:dyDescent="0.25">
      <c r="A63" s="40" t="s">
        <v>1566</v>
      </c>
      <c r="B63" s="35" t="s">
        <v>1567</v>
      </c>
      <c r="C63" s="63">
        <v>1</v>
      </c>
      <c r="D63" s="58">
        <f>+VLOOKUP(A63,[1]Base!$A$11:$O$1318,15,FALSE)</f>
        <v>0</v>
      </c>
      <c r="E63" s="58">
        <f>+VLOOKUP(A63,[1]Base!$A$11:$R$1579,18,FALSE)</f>
        <v>0</v>
      </c>
      <c r="F63">
        <f>+VLOOKUP(A63,[1]Base!$A$11:$O$1264,15,FALSE)</f>
        <v>0</v>
      </c>
      <c r="G63" t="e">
        <f t="shared" si="0"/>
        <v>#DIV/0!</v>
      </c>
    </row>
    <row r="64" spans="1:7" x14ac:dyDescent="0.25">
      <c r="A64" s="40" t="s">
        <v>1568</v>
      </c>
      <c r="B64" s="35" t="s">
        <v>1569</v>
      </c>
      <c r="C64" s="63">
        <v>1</v>
      </c>
      <c r="D64" s="58">
        <f>+VLOOKUP(A64,[1]Base!$A$11:$O$1318,15,FALSE)</f>
        <v>0</v>
      </c>
      <c r="E64" s="58">
        <f>+VLOOKUP(A64,[1]Base!$A$11:$R$1579,18,FALSE)</f>
        <v>0</v>
      </c>
      <c r="F64">
        <f>+VLOOKUP(A64,[1]Base!$A$11:$O$1264,15,FALSE)</f>
        <v>0</v>
      </c>
      <c r="G64" t="e">
        <f t="shared" si="0"/>
        <v>#DIV/0!</v>
      </c>
    </row>
    <row r="65" spans="1:7" x14ac:dyDescent="0.25">
      <c r="A65" s="40" t="s">
        <v>1570</v>
      </c>
      <c r="B65" s="35" t="s">
        <v>1571</v>
      </c>
      <c r="C65" s="63">
        <v>1</v>
      </c>
      <c r="D65" s="58">
        <f>+VLOOKUP(A65,[1]Base!$A$11:$O$1318,15,FALSE)</f>
        <v>0</v>
      </c>
      <c r="E65" s="58">
        <f>+VLOOKUP(A65,[1]Base!$A$11:$R$1579,18,FALSE)</f>
        <v>0</v>
      </c>
      <c r="F65">
        <f>+VLOOKUP(A65,[1]Base!$A$11:$O$1264,15,FALSE)</f>
        <v>0</v>
      </c>
      <c r="G65" t="e">
        <f t="shared" si="0"/>
        <v>#DIV/0!</v>
      </c>
    </row>
    <row r="66" spans="1:7" x14ac:dyDescent="0.25">
      <c r="A66" s="40" t="s">
        <v>1572</v>
      </c>
      <c r="B66" s="35" t="s">
        <v>1573</v>
      </c>
      <c r="C66" s="63">
        <v>100</v>
      </c>
      <c r="D66" s="58">
        <f>+VLOOKUP(A66,[1]Base!$A$11:$O$1318,15,FALSE)</f>
        <v>0</v>
      </c>
      <c r="E66" s="58">
        <f>+VLOOKUP(A66,[1]Base!$A$11:$R$1579,18,FALSE)</f>
        <v>0</v>
      </c>
      <c r="F66">
        <f>+VLOOKUP(A66,[1]Base!$A$11:$O$1264,15,FALSE)</f>
        <v>0</v>
      </c>
      <c r="G66" t="e">
        <f t="shared" si="0"/>
        <v>#DIV/0!</v>
      </c>
    </row>
    <row r="67" spans="1:7" x14ac:dyDescent="0.25">
      <c r="A67" s="385" t="s">
        <v>2095</v>
      </c>
      <c r="B67" s="260" t="s">
        <v>2178</v>
      </c>
      <c r="C67" s="327">
        <v>1</v>
      </c>
      <c r="D67" s="58" t="e">
        <f>+VLOOKUP(A67,[1]Base!$A$11:$O$1318,15,FALSE)</f>
        <v>#N/A</v>
      </c>
      <c r="E67" s="58" t="e">
        <f>+VLOOKUP(A67,[1]Base!$A$11:$R$1579,18,FALSE)</f>
        <v>#N/A</v>
      </c>
      <c r="F67" t="e">
        <f>+VLOOKUP(A67,[1]Base!$A$11:$O$1264,15,FALSE)</f>
        <v>#N/A</v>
      </c>
      <c r="G67" t="e">
        <f t="shared" si="0"/>
        <v>#N/A</v>
      </c>
    </row>
    <row r="68" spans="1:7" x14ac:dyDescent="0.25">
      <c r="A68" s="385" t="s">
        <v>2096</v>
      </c>
      <c r="B68" s="260" t="s">
        <v>2179</v>
      </c>
      <c r="C68" s="327">
        <v>1</v>
      </c>
      <c r="D68" s="58" t="e">
        <f>+VLOOKUP(A68,[1]Base!$A$11:$O$1318,15,FALSE)</f>
        <v>#N/A</v>
      </c>
      <c r="E68" s="58" t="e">
        <f>+VLOOKUP(A68,[1]Base!$A$11:$R$1579,18,FALSE)</f>
        <v>#N/A</v>
      </c>
      <c r="F68" t="e">
        <f>+VLOOKUP(A68,[1]Base!$A$11:$O$1264,15,FALSE)</f>
        <v>#N/A</v>
      </c>
      <c r="G68" t="e">
        <f t="shared" si="0"/>
        <v>#N/A</v>
      </c>
    </row>
    <row r="69" spans="1:7" x14ac:dyDescent="0.25">
      <c r="A69" s="385" t="s">
        <v>2097</v>
      </c>
      <c r="B69" s="260" t="s">
        <v>2180</v>
      </c>
      <c r="C69" s="327">
        <v>1</v>
      </c>
      <c r="D69" s="58" t="e">
        <f>+VLOOKUP(A69,[1]Base!$A$11:$O$1318,15,FALSE)</f>
        <v>#N/A</v>
      </c>
      <c r="E69" s="58" t="e">
        <f>+VLOOKUP(A69,[1]Base!$A$11:$R$1579,18,FALSE)</f>
        <v>#N/A</v>
      </c>
      <c r="F69" t="e">
        <f>+VLOOKUP(A69,[1]Base!$A$11:$O$1264,15,FALSE)</f>
        <v>#N/A</v>
      </c>
      <c r="G69" t="e">
        <f t="shared" ref="G69:G132" si="1">+F69/D69</f>
        <v>#N/A</v>
      </c>
    </row>
    <row r="70" spans="1:7" x14ac:dyDescent="0.25">
      <c r="A70" s="385" t="s">
        <v>2098</v>
      </c>
      <c r="B70" s="260" t="s">
        <v>2181</v>
      </c>
      <c r="C70" s="327">
        <v>1</v>
      </c>
      <c r="D70" s="58" t="e">
        <f>+VLOOKUP(A70,[1]Base!$A$11:$O$1318,15,FALSE)</f>
        <v>#N/A</v>
      </c>
      <c r="E70" s="58" t="e">
        <f>+VLOOKUP(A70,[1]Base!$A$11:$R$1579,18,FALSE)</f>
        <v>#N/A</v>
      </c>
      <c r="F70" t="e">
        <f>+VLOOKUP(A70,[1]Base!$A$11:$O$1264,15,FALSE)</f>
        <v>#N/A</v>
      </c>
      <c r="G70" t="e">
        <f t="shared" si="1"/>
        <v>#N/A</v>
      </c>
    </row>
    <row r="71" spans="1:7" x14ac:dyDescent="0.25">
      <c r="A71" s="385" t="s">
        <v>2099</v>
      </c>
      <c r="B71" s="260" t="s">
        <v>2182</v>
      </c>
      <c r="C71" s="327">
        <v>1</v>
      </c>
      <c r="D71" s="58" t="e">
        <f>+VLOOKUP(A71,[1]Base!$A$11:$O$1318,15,FALSE)</f>
        <v>#N/A</v>
      </c>
      <c r="E71" s="58" t="e">
        <f>+VLOOKUP(A71,[1]Base!$A$11:$R$1579,18,FALSE)</f>
        <v>#N/A</v>
      </c>
      <c r="F71" t="e">
        <f>+VLOOKUP(A71,[1]Base!$A$11:$O$1264,15,FALSE)</f>
        <v>#N/A</v>
      </c>
      <c r="G71" t="e">
        <f t="shared" si="1"/>
        <v>#N/A</v>
      </c>
    </row>
    <row r="72" spans="1:7" x14ac:dyDescent="0.25">
      <c r="A72" s="385" t="s">
        <v>2100</v>
      </c>
      <c r="B72" s="260" t="s">
        <v>2183</v>
      </c>
      <c r="C72" s="327">
        <v>1</v>
      </c>
      <c r="D72" s="58" t="e">
        <f>+VLOOKUP(A72,[1]Base!$A$11:$O$1318,15,FALSE)</f>
        <v>#N/A</v>
      </c>
      <c r="E72" s="58" t="e">
        <f>+VLOOKUP(A72,[1]Base!$A$11:$R$1579,18,FALSE)</f>
        <v>#N/A</v>
      </c>
      <c r="F72" t="e">
        <f>+VLOOKUP(A72,[1]Base!$A$11:$O$1264,15,FALSE)</f>
        <v>#N/A</v>
      </c>
      <c r="G72" t="e">
        <f t="shared" si="1"/>
        <v>#N/A</v>
      </c>
    </row>
    <row r="73" spans="1:7" x14ac:dyDescent="0.25">
      <c r="A73" s="385" t="s">
        <v>2101</v>
      </c>
      <c r="B73" s="260" t="s">
        <v>2184</v>
      </c>
      <c r="C73" s="327">
        <v>1</v>
      </c>
      <c r="D73" s="58" t="e">
        <f>+VLOOKUP(A73,[1]Base!$A$11:$O$1318,15,FALSE)</f>
        <v>#N/A</v>
      </c>
      <c r="E73" s="58" t="e">
        <f>+VLOOKUP(A73,[1]Base!$A$11:$R$1579,18,FALSE)</f>
        <v>#N/A</v>
      </c>
      <c r="F73" t="e">
        <f>+VLOOKUP(A73,[1]Base!$A$11:$O$1264,15,FALSE)</f>
        <v>#N/A</v>
      </c>
      <c r="G73" t="e">
        <f t="shared" si="1"/>
        <v>#N/A</v>
      </c>
    </row>
    <row r="74" spans="1:7" x14ac:dyDescent="0.25">
      <c r="A74" s="385" t="s">
        <v>2102</v>
      </c>
      <c r="B74" s="260" t="s">
        <v>2185</v>
      </c>
      <c r="C74" s="327">
        <v>1</v>
      </c>
      <c r="D74" s="58" t="e">
        <f>+VLOOKUP(A74,[1]Base!$A$11:$O$1318,15,FALSE)</f>
        <v>#N/A</v>
      </c>
      <c r="E74" s="58" t="e">
        <f>+VLOOKUP(A74,[1]Base!$A$11:$R$1579,18,FALSE)</f>
        <v>#N/A</v>
      </c>
      <c r="F74" t="e">
        <f>+VLOOKUP(A74,[1]Base!$A$11:$O$1264,15,FALSE)</f>
        <v>#N/A</v>
      </c>
      <c r="G74" t="e">
        <f t="shared" si="1"/>
        <v>#N/A</v>
      </c>
    </row>
    <row r="75" spans="1:7" x14ac:dyDescent="0.25">
      <c r="A75" s="385" t="s">
        <v>2103</v>
      </c>
      <c r="B75" s="260" t="s">
        <v>2186</v>
      </c>
      <c r="C75" s="327">
        <v>1</v>
      </c>
      <c r="D75" s="58" t="e">
        <f>+VLOOKUP(A75,[1]Base!$A$11:$O$1318,15,FALSE)</f>
        <v>#N/A</v>
      </c>
      <c r="E75" s="58" t="e">
        <f>+VLOOKUP(A75,[1]Base!$A$11:$R$1579,18,FALSE)</f>
        <v>#N/A</v>
      </c>
      <c r="F75" t="e">
        <f>+VLOOKUP(A75,[1]Base!$A$11:$O$1264,15,FALSE)</f>
        <v>#N/A</v>
      </c>
      <c r="G75" t="e">
        <f t="shared" si="1"/>
        <v>#N/A</v>
      </c>
    </row>
    <row r="76" spans="1:7" x14ac:dyDescent="0.25">
      <c r="A76" s="385" t="s">
        <v>2098</v>
      </c>
      <c r="B76" s="260" t="s">
        <v>2181</v>
      </c>
      <c r="C76" s="327">
        <v>1</v>
      </c>
      <c r="D76" s="58" t="e">
        <f>+VLOOKUP(A76,[1]Base!$A$11:$O$1318,15,FALSE)</f>
        <v>#N/A</v>
      </c>
      <c r="E76" s="58" t="e">
        <f>+VLOOKUP(A76,[1]Base!$A$11:$R$1579,18,FALSE)</f>
        <v>#N/A</v>
      </c>
      <c r="F76" t="e">
        <f>+VLOOKUP(A76,[1]Base!$A$11:$O$1264,15,FALSE)</f>
        <v>#N/A</v>
      </c>
      <c r="G76" t="e">
        <f t="shared" si="1"/>
        <v>#N/A</v>
      </c>
    </row>
    <row r="77" spans="1:7" x14ac:dyDescent="0.25">
      <c r="A77" s="385" t="s">
        <v>2103</v>
      </c>
      <c r="B77" s="260" t="s">
        <v>2186</v>
      </c>
      <c r="C77" s="327">
        <v>1</v>
      </c>
      <c r="D77" s="58" t="e">
        <f>+VLOOKUP(A77,[1]Base!$A$11:$O$1318,15,FALSE)</f>
        <v>#N/A</v>
      </c>
      <c r="E77" s="58" t="e">
        <f>+VLOOKUP(A77,[1]Base!$A$11:$R$1579,18,FALSE)</f>
        <v>#N/A</v>
      </c>
      <c r="F77" t="e">
        <f>+VLOOKUP(A77,[1]Base!$A$11:$O$1264,15,FALSE)</f>
        <v>#N/A</v>
      </c>
      <c r="G77" t="e">
        <f t="shared" si="1"/>
        <v>#N/A</v>
      </c>
    </row>
    <row r="78" spans="1:7" x14ac:dyDescent="0.25">
      <c r="A78" s="385" t="s">
        <v>2104</v>
      </c>
      <c r="B78" s="260" t="s">
        <v>2187</v>
      </c>
      <c r="C78" s="327">
        <v>1</v>
      </c>
      <c r="D78" s="58" t="e">
        <f>+VLOOKUP(A78,[1]Base!$A$11:$O$1318,15,FALSE)</f>
        <v>#N/A</v>
      </c>
      <c r="E78" s="58" t="e">
        <f>+VLOOKUP(A78,[1]Base!$A$11:$R$1579,18,FALSE)</f>
        <v>#N/A</v>
      </c>
      <c r="F78" t="e">
        <f>+VLOOKUP(A78,[1]Base!$A$11:$O$1264,15,FALSE)</f>
        <v>#N/A</v>
      </c>
      <c r="G78" t="e">
        <f t="shared" si="1"/>
        <v>#N/A</v>
      </c>
    </row>
    <row r="79" spans="1:7" x14ac:dyDescent="0.25">
      <c r="A79" s="385" t="s">
        <v>2105</v>
      </c>
      <c r="B79" s="260" t="s">
        <v>2188</v>
      </c>
      <c r="C79" s="327">
        <v>1</v>
      </c>
      <c r="D79" s="58" t="e">
        <f>+VLOOKUP(A79,[1]Base!$A$11:$O$1318,15,FALSE)</f>
        <v>#N/A</v>
      </c>
      <c r="E79" s="58" t="e">
        <f>+VLOOKUP(A79,[1]Base!$A$11:$R$1579,18,FALSE)</f>
        <v>#N/A</v>
      </c>
      <c r="F79" t="e">
        <f>+VLOOKUP(A79,[1]Base!$A$11:$O$1264,15,FALSE)</f>
        <v>#N/A</v>
      </c>
      <c r="G79" t="e">
        <f t="shared" si="1"/>
        <v>#N/A</v>
      </c>
    </row>
    <row r="80" spans="1:7" x14ac:dyDescent="0.25">
      <c r="A80" s="385" t="s">
        <v>2106</v>
      </c>
      <c r="B80" s="260" t="s">
        <v>2189</v>
      </c>
      <c r="C80" s="327">
        <v>1</v>
      </c>
      <c r="D80" s="58" t="e">
        <f>+VLOOKUP(A80,[1]Base!$A$11:$O$1318,15,FALSE)</f>
        <v>#N/A</v>
      </c>
      <c r="E80" s="58" t="e">
        <f>+VLOOKUP(A80,[1]Base!$A$11:$R$1579,18,FALSE)</f>
        <v>#N/A</v>
      </c>
      <c r="F80" t="e">
        <f>+VLOOKUP(A80,[1]Base!$A$11:$O$1264,15,FALSE)</f>
        <v>#N/A</v>
      </c>
      <c r="G80" t="e">
        <f t="shared" si="1"/>
        <v>#N/A</v>
      </c>
    </row>
    <row r="81" spans="1:7" x14ac:dyDescent="0.25">
      <c r="A81" s="385" t="s">
        <v>2107</v>
      </c>
      <c r="B81" s="260" t="s">
        <v>2190</v>
      </c>
      <c r="C81" s="327">
        <v>1</v>
      </c>
      <c r="D81" s="58" t="e">
        <f>+VLOOKUP(A81,[1]Base!$A$11:$O$1318,15,FALSE)</f>
        <v>#N/A</v>
      </c>
      <c r="E81" s="58" t="e">
        <f>+VLOOKUP(A81,[1]Base!$A$11:$R$1579,18,FALSE)</f>
        <v>#N/A</v>
      </c>
      <c r="F81" t="e">
        <f>+VLOOKUP(A81,[1]Base!$A$11:$O$1264,15,FALSE)</f>
        <v>#N/A</v>
      </c>
      <c r="G81" t="e">
        <f t="shared" si="1"/>
        <v>#N/A</v>
      </c>
    </row>
    <row r="82" spans="1:7" x14ac:dyDescent="0.25">
      <c r="A82" s="385" t="s">
        <v>2108</v>
      </c>
      <c r="B82" s="260" t="s">
        <v>2191</v>
      </c>
      <c r="C82" s="327">
        <v>1</v>
      </c>
      <c r="D82" s="58" t="e">
        <f>+VLOOKUP(A82,[1]Base!$A$11:$O$1318,15,FALSE)</f>
        <v>#N/A</v>
      </c>
      <c r="E82" s="58" t="e">
        <f>+VLOOKUP(A82,[1]Base!$A$11:$R$1579,18,FALSE)</f>
        <v>#N/A</v>
      </c>
      <c r="F82" t="e">
        <f>+VLOOKUP(A82,[1]Base!$A$11:$O$1264,15,FALSE)</f>
        <v>#N/A</v>
      </c>
      <c r="G82" t="e">
        <f t="shared" si="1"/>
        <v>#N/A</v>
      </c>
    </row>
    <row r="83" spans="1:7" x14ac:dyDescent="0.25">
      <c r="A83" s="385" t="s">
        <v>2109</v>
      </c>
      <c r="B83" s="260" t="s">
        <v>2192</v>
      </c>
      <c r="C83" s="327">
        <v>1</v>
      </c>
      <c r="D83" s="58" t="e">
        <f>+VLOOKUP(A83,[1]Base!$A$11:$O$1318,15,FALSE)</f>
        <v>#N/A</v>
      </c>
      <c r="E83" s="58" t="e">
        <f>+VLOOKUP(A83,[1]Base!$A$11:$R$1579,18,FALSE)</f>
        <v>#N/A</v>
      </c>
      <c r="F83" t="e">
        <f>+VLOOKUP(A83,[1]Base!$A$11:$O$1264,15,FALSE)</f>
        <v>#N/A</v>
      </c>
      <c r="G83" t="e">
        <f t="shared" si="1"/>
        <v>#N/A</v>
      </c>
    </row>
    <row r="84" spans="1:7" x14ac:dyDescent="0.25">
      <c r="A84" s="385" t="s">
        <v>2110</v>
      </c>
      <c r="B84" s="260" t="s">
        <v>2193</v>
      </c>
      <c r="C84" s="327">
        <v>1</v>
      </c>
      <c r="D84" s="58" t="e">
        <f>+VLOOKUP(A84,[1]Base!$A$11:$O$1318,15,FALSE)</f>
        <v>#N/A</v>
      </c>
      <c r="E84" s="58" t="e">
        <f>+VLOOKUP(A84,[1]Base!$A$11:$R$1579,18,FALSE)</f>
        <v>#N/A</v>
      </c>
      <c r="F84" t="e">
        <f>+VLOOKUP(A84,[1]Base!$A$11:$O$1264,15,FALSE)</f>
        <v>#N/A</v>
      </c>
      <c r="G84" t="e">
        <f t="shared" si="1"/>
        <v>#N/A</v>
      </c>
    </row>
    <row r="85" spans="1:7" x14ac:dyDescent="0.25">
      <c r="A85" s="385" t="s">
        <v>2111</v>
      </c>
      <c r="B85" s="260" t="s">
        <v>2194</v>
      </c>
      <c r="C85" s="327">
        <v>1</v>
      </c>
      <c r="D85" s="58" t="e">
        <f>+VLOOKUP(A85,[1]Base!$A$11:$O$1318,15,FALSE)</f>
        <v>#N/A</v>
      </c>
      <c r="E85" s="58" t="e">
        <f>+VLOOKUP(A85,[1]Base!$A$11:$R$1579,18,FALSE)</f>
        <v>#N/A</v>
      </c>
      <c r="F85" t="e">
        <f>+VLOOKUP(A85,[1]Base!$A$11:$O$1264,15,FALSE)</f>
        <v>#N/A</v>
      </c>
      <c r="G85" t="e">
        <f t="shared" si="1"/>
        <v>#N/A</v>
      </c>
    </row>
    <row r="86" spans="1:7" x14ac:dyDescent="0.25">
      <c r="A86" s="385" t="s">
        <v>2112</v>
      </c>
      <c r="B86" s="260" t="s">
        <v>2195</v>
      </c>
      <c r="C86" s="327">
        <v>1</v>
      </c>
      <c r="D86" s="58" t="e">
        <f>+VLOOKUP(A86,[1]Base!$A$11:$O$1318,15,FALSE)</f>
        <v>#N/A</v>
      </c>
      <c r="E86" s="58" t="e">
        <f>+VLOOKUP(A86,[1]Base!$A$11:$R$1579,18,FALSE)</f>
        <v>#N/A</v>
      </c>
      <c r="F86" t="e">
        <f>+VLOOKUP(A86,[1]Base!$A$11:$O$1264,15,FALSE)</f>
        <v>#N/A</v>
      </c>
      <c r="G86" t="e">
        <f t="shared" si="1"/>
        <v>#N/A</v>
      </c>
    </row>
    <row r="87" spans="1:7" x14ac:dyDescent="0.25">
      <c r="A87" s="385" t="s">
        <v>2113</v>
      </c>
      <c r="B87" s="260" t="s">
        <v>2196</v>
      </c>
      <c r="C87" s="327">
        <v>1</v>
      </c>
      <c r="D87" s="58" t="e">
        <f>+VLOOKUP(A87,[1]Base!$A$11:$O$1318,15,FALSE)</f>
        <v>#N/A</v>
      </c>
      <c r="E87" s="58" t="e">
        <f>+VLOOKUP(A87,[1]Base!$A$11:$R$1579,18,FALSE)</f>
        <v>#N/A</v>
      </c>
      <c r="F87" t="e">
        <f>+VLOOKUP(A87,[1]Base!$A$11:$O$1264,15,FALSE)</f>
        <v>#N/A</v>
      </c>
      <c r="G87" t="e">
        <f t="shared" si="1"/>
        <v>#N/A</v>
      </c>
    </row>
    <row r="88" spans="1:7" x14ac:dyDescent="0.25">
      <c r="A88" s="385" t="s">
        <v>2114</v>
      </c>
      <c r="B88" s="260" t="s">
        <v>2197</v>
      </c>
      <c r="C88" s="327">
        <v>1</v>
      </c>
      <c r="D88" s="58" t="e">
        <f>+VLOOKUP(A88,[1]Base!$A$11:$O$1318,15,FALSE)</f>
        <v>#N/A</v>
      </c>
      <c r="E88" s="58" t="e">
        <f>+VLOOKUP(A88,[1]Base!$A$11:$R$1579,18,FALSE)</f>
        <v>#N/A</v>
      </c>
      <c r="F88" t="e">
        <f>+VLOOKUP(A88,[1]Base!$A$11:$O$1264,15,FALSE)</f>
        <v>#N/A</v>
      </c>
      <c r="G88" t="e">
        <f t="shared" si="1"/>
        <v>#N/A</v>
      </c>
    </row>
    <row r="89" spans="1:7" x14ac:dyDescent="0.25">
      <c r="A89" s="385" t="s">
        <v>2115</v>
      </c>
      <c r="B89" s="260" t="s">
        <v>2198</v>
      </c>
      <c r="C89" s="327">
        <v>1</v>
      </c>
      <c r="D89" s="58" t="e">
        <f>+VLOOKUP(A89,[1]Base!$A$11:$O$1318,15,FALSE)</f>
        <v>#N/A</v>
      </c>
      <c r="E89" s="58" t="e">
        <f>+VLOOKUP(A89,[1]Base!$A$11:$R$1579,18,FALSE)</f>
        <v>#N/A</v>
      </c>
      <c r="F89" t="e">
        <f>+VLOOKUP(A89,[1]Base!$A$11:$O$1264,15,FALSE)</f>
        <v>#N/A</v>
      </c>
      <c r="G89" t="e">
        <f t="shared" si="1"/>
        <v>#N/A</v>
      </c>
    </row>
    <row r="90" spans="1:7" x14ac:dyDescent="0.25">
      <c r="A90" s="385" t="s">
        <v>2116</v>
      </c>
      <c r="B90" s="260" t="s">
        <v>2199</v>
      </c>
      <c r="C90" s="327">
        <v>1</v>
      </c>
      <c r="D90" s="58" t="e">
        <f>+VLOOKUP(A90,[1]Base!$A$11:$O$1318,15,FALSE)</f>
        <v>#N/A</v>
      </c>
      <c r="E90" s="58" t="e">
        <f>+VLOOKUP(A90,[1]Base!$A$11:$R$1579,18,FALSE)</f>
        <v>#N/A</v>
      </c>
      <c r="F90" t="e">
        <f>+VLOOKUP(A90,[1]Base!$A$11:$O$1264,15,FALSE)</f>
        <v>#N/A</v>
      </c>
      <c r="G90" t="e">
        <f t="shared" si="1"/>
        <v>#N/A</v>
      </c>
    </row>
    <row r="91" spans="1:7" x14ac:dyDescent="0.25">
      <c r="A91" s="385" t="s">
        <v>2117</v>
      </c>
      <c r="B91" s="260" t="s">
        <v>2200</v>
      </c>
      <c r="C91" s="327">
        <v>1</v>
      </c>
      <c r="D91" s="58" t="e">
        <f>+VLOOKUP(A91,[1]Base!$A$11:$O$1318,15,FALSE)</f>
        <v>#N/A</v>
      </c>
      <c r="E91" s="58" t="e">
        <f>+VLOOKUP(A91,[1]Base!$A$11:$R$1579,18,FALSE)</f>
        <v>#N/A</v>
      </c>
      <c r="F91" t="e">
        <f>+VLOOKUP(A91,[1]Base!$A$11:$O$1264,15,FALSE)</f>
        <v>#N/A</v>
      </c>
      <c r="G91" t="e">
        <f t="shared" si="1"/>
        <v>#N/A</v>
      </c>
    </row>
    <row r="92" spans="1:7" x14ac:dyDescent="0.25">
      <c r="A92" s="390" t="s">
        <v>2118</v>
      </c>
      <c r="B92" s="260" t="s">
        <v>2201</v>
      </c>
      <c r="C92" s="327">
        <v>1</v>
      </c>
      <c r="D92" s="58" t="e">
        <f>+VLOOKUP(A92,[1]Base!$A$11:$O$1318,15,FALSE)</f>
        <v>#N/A</v>
      </c>
      <c r="E92" s="58" t="e">
        <f>+VLOOKUP(A92,[1]Base!$A$11:$R$1579,18,FALSE)</f>
        <v>#N/A</v>
      </c>
      <c r="F92" t="e">
        <f>+VLOOKUP(A92,[1]Base!$A$11:$O$1264,15,FALSE)</f>
        <v>#N/A</v>
      </c>
      <c r="G92" t="e">
        <f t="shared" si="1"/>
        <v>#N/A</v>
      </c>
    </row>
    <row r="93" spans="1:7" x14ac:dyDescent="0.25">
      <c r="A93" s="164" t="s">
        <v>2121</v>
      </c>
      <c r="B93" s="260" t="s">
        <v>2159</v>
      </c>
      <c r="C93" s="327">
        <v>10</v>
      </c>
      <c r="D93" s="58">
        <f>+VLOOKUP(A93,[1]Base!$A$11:$O$1318,15,FALSE)</f>
        <v>11.169117647058824</v>
      </c>
      <c r="E93" s="58">
        <f>+VLOOKUP(A93,[1]Base!$A$11:$R$1579,18,FALSE)</f>
        <v>13.1401384083045</v>
      </c>
      <c r="F93">
        <f>+VLOOKUP(A93,[1]Base!$A$11:$O$1264,15,FALSE)</f>
        <v>11.169117647058824</v>
      </c>
      <c r="G93">
        <f t="shared" si="1"/>
        <v>1</v>
      </c>
    </row>
    <row r="94" spans="1:7" x14ac:dyDescent="0.25">
      <c r="A94" s="164" t="s">
        <v>2122</v>
      </c>
      <c r="B94" s="260" t="s">
        <v>2160</v>
      </c>
      <c r="C94" s="327">
        <v>200</v>
      </c>
      <c r="D94" s="58">
        <f>+VLOOKUP(A94,[1]Base!$A$11:$O$1318,15,FALSE)</f>
        <v>220.44311145510838</v>
      </c>
      <c r="E94" s="58">
        <f>+VLOOKUP(A94,[1]Base!$A$11:$R$1579,18,FALSE)</f>
        <v>259.34483700600987</v>
      </c>
      <c r="F94">
        <f>+VLOOKUP(A94,[1]Base!$A$11:$O$1264,15,FALSE)</f>
        <v>220.44311145510838</v>
      </c>
      <c r="G94">
        <f t="shared" si="1"/>
        <v>1</v>
      </c>
    </row>
    <row r="95" spans="1:7" x14ac:dyDescent="0.25">
      <c r="A95" s="164" t="s">
        <v>2123</v>
      </c>
      <c r="B95" s="260" t="s">
        <v>2161</v>
      </c>
      <c r="C95" s="327">
        <v>1000</v>
      </c>
      <c r="D95" s="58">
        <f>+VLOOKUP(A95,[1]Base!$A$11:$O$1318,15,FALSE)</f>
        <v>1050.1489938080495</v>
      </c>
      <c r="E95" s="58">
        <f>+VLOOKUP(A95,[1]Base!$A$11:$R$1579,18,FALSE)</f>
        <v>1235.4694044800583</v>
      </c>
      <c r="F95">
        <f>+VLOOKUP(A95,[1]Base!$A$11:$O$1264,15,FALSE)</f>
        <v>1050.1489938080495</v>
      </c>
      <c r="G95">
        <f t="shared" si="1"/>
        <v>1</v>
      </c>
    </row>
    <row r="96" spans="1:7" x14ac:dyDescent="0.25">
      <c r="A96" s="168" t="s">
        <v>2124</v>
      </c>
      <c r="B96" s="260" t="s">
        <v>2127</v>
      </c>
      <c r="C96" s="327">
        <v>25</v>
      </c>
      <c r="D96" s="58">
        <f>+VLOOKUP(A96,[1]Base!$A$11:$O$1318,15,FALSE)</f>
        <v>138.60958978328173</v>
      </c>
      <c r="E96" s="58">
        <f>+VLOOKUP(A96,[1]Base!$A$11:$R$1579,18,FALSE)</f>
        <v>163.07010562739029</v>
      </c>
      <c r="F96">
        <f>+VLOOKUP(A96,[1]Base!$A$11:$O$1264,15,FALSE)</f>
        <v>138.60958978328173</v>
      </c>
      <c r="G96">
        <f t="shared" si="1"/>
        <v>1</v>
      </c>
    </row>
    <row r="97" spans="1:7" x14ac:dyDescent="0.25">
      <c r="A97" s="168" t="s">
        <v>2125</v>
      </c>
      <c r="B97" s="260" t="s">
        <v>2128</v>
      </c>
      <c r="C97" s="327">
        <v>200</v>
      </c>
      <c r="D97" s="58">
        <f>+VLOOKUP(A97,[1]Base!$A$11:$O$1318,15,FALSE)</f>
        <v>990.04738390092882</v>
      </c>
      <c r="E97" s="58">
        <f>+VLOOKUP(A97,[1]Base!$A$11:$R$1579,18,FALSE)</f>
        <v>1164.7616281187397</v>
      </c>
      <c r="F97">
        <f>+VLOOKUP(A97,[1]Base!$A$11:$O$1264,15,FALSE)</f>
        <v>990.04738390092882</v>
      </c>
      <c r="G97">
        <f t="shared" si="1"/>
        <v>1</v>
      </c>
    </row>
    <row r="98" spans="1:7" x14ac:dyDescent="0.25">
      <c r="A98" s="168" t="s">
        <v>2126</v>
      </c>
      <c r="B98" s="260" t="s">
        <v>2129</v>
      </c>
      <c r="C98" s="327">
        <v>1000</v>
      </c>
      <c r="D98" s="58">
        <f>+VLOOKUP(A98,[1]Base!$A$11:$O$1318,15,FALSE)</f>
        <v>4856.1811919504644</v>
      </c>
      <c r="E98" s="58">
        <f>+VLOOKUP(A98,[1]Base!$A$11:$R$1579,18,FALSE)</f>
        <v>5713.1543434711348</v>
      </c>
      <c r="F98">
        <f>+VLOOKUP(A98,[1]Base!$A$11:$O$1264,15,FALSE)</f>
        <v>4856.1811919504644</v>
      </c>
      <c r="G98">
        <f t="shared" si="1"/>
        <v>1</v>
      </c>
    </row>
    <row r="99" spans="1:7" x14ac:dyDescent="0.25">
      <c r="A99" s="168" t="s">
        <v>2130</v>
      </c>
      <c r="B99" s="260" t="s">
        <v>2133</v>
      </c>
      <c r="C99" s="327">
        <v>0</v>
      </c>
      <c r="D99" s="58">
        <f>+VLOOKUP(A99,[1]Base!$A$11:$O$1318,15,FALSE)</f>
        <v>27.630269607843132</v>
      </c>
      <c r="E99" s="58">
        <f>+VLOOKUP(A99,[1]Base!$A$11:$R$1579,18,FALSE)</f>
        <v>32.506199538638981</v>
      </c>
      <c r="F99">
        <f>+VLOOKUP(A99,[1]Base!$A$11:$O$1264,15,FALSE)</f>
        <v>27.630269607843132</v>
      </c>
      <c r="G99">
        <f t="shared" si="1"/>
        <v>1</v>
      </c>
    </row>
    <row r="100" spans="1:7" x14ac:dyDescent="0.25">
      <c r="A100" s="168" t="s">
        <v>2131</v>
      </c>
      <c r="B100" s="260" t="s">
        <v>2134</v>
      </c>
      <c r="C100" s="327">
        <v>0</v>
      </c>
      <c r="D100" s="58">
        <f>+VLOOKUP(A100,[1]Base!$A$11:$O$1318,15,FALSE)</f>
        <v>159.87794117647056</v>
      </c>
      <c r="E100" s="58">
        <f>+VLOOKUP(A100,[1]Base!$A$11:$R$1579,18,FALSE)</f>
        <v>188.09169550173007</v>
      </c>
      <c r="F100">
        <f>+VLOOKUP(A100,[1]Base!$A$11:$O$1264,15,FALSE)</f>
        <v>159.87794117647056</v>
      </c>
      <c r="G100">
        <f t="shared" si="1"/>
        <v>1</v>
      </c>
    </row>
    <row r="101" spans="1:7" x14ac:dyDescent="0.25">
      <c r="A101" s="168" t="s">
        <v>2132</v>
      </c>
      <c r="B101" s="260" t="s">
        <v>2135</v>
      </c>
      <c r="C101" s="327">
        <v>0</v>
      </c>
      <c r="D101" s="58">
        <f>+VLOOKUP(A101,[1]Base!$A$11:$O$1318,15,FALSE)</f>
        <v>605.79166666666663</v>
      </c>
      <c r="E101" s="58">
        <f>+VLOOKUP(A101,[1]Base!$A$11:$R$1579,18,FALSE)</f>
        <v>712.69607843137248</v>
      </c>
      <c r="F101">
        <f>+VLOOKUP(A101,[1]Base!$A$11:$O$1264,15,FALSE)</f>
        <v>605.79166666666663</v>
      </c>
      <c r="G101">
        <f t="shared" si="1"/>
        <v>1</v>
      </c>
    </row>
    <row r="102" spans="1:7" x14ac:dyDescent="0.25">
      <c r="A102" s="39">
        <v>8507413</v>
      </c>
      <c r="B102" s="35" t="s">
        <v>310</v>
      </c>
      <c r="C102" s="63">
        <v>1</v>
      </c>
      <c r="D102" s="58">
        <f>+VLOOKUP(A102,[1]Base!$A$11:$O$1318,15,FALSE)</f>
        <v>26.779303212074296</v>
      </c>
      <c r="E102" s="58">
        <f>+VLOOKUP(A102,[1]Base!$A$11:$R$1579,18,FALSE)</f>
        <v>33.474129015092871</v>
      </c>
      <c r="F102">
        <f>+VLOOKUP(A102,[1]Base!$A$11:$O$1264,15,FALSE)</f>
        <v>26.779303212074296</v>
      </c>
      <c r="G102">
        <f t="shared" si="1"/>
        <v>1</v>
      </c>
    </row>
    <row r="103" spans="1:7" x14ac:dyDescent="0.25">
      <c r="A103" s="38">
        <v>3556266</v>
      </c>
      <c r="B103" s="41" t="s">
        <v>1596</v>
      </c>
      <c r="C103" s="63"/>
      <c r="D103" s="58">
        <f>+VLOOKUP(A103,[1]Base!$A$11:$O$1318,15,FALSE)</f>
        <v>36.062099651702781</v>
      </c>
      <c r="E103" s="58">
        <f>+VLOOKUP(A103,[1]Base!$A$11:$R$1579,18,FALSE)</f>
        <v>45.077624564628472</v>
      </c>
      <c r="F103">
        <f>+VLOOKUP(A103,[1]Base!$A$11:$O$1264,15,FALSE)</f>
        <v>36.062099651702781</v>
      </c>
      <c r="G103">
        <f t="shared" si="1"/>
        <v>1</v>
      </c>
    </row>
    <row r="104" spans="1:7" x14ac:dyDescent="0.25">
      <c r="A104" s="36">
        <v>8512200</v>
      </c>
      <c r="B104" s="35" t="s">
        <v>362</v>
      </c>
      <c r="C104" s="63">
        <v>1</v>
      </c>
      <c r="D104" s="58">
        <f>+VLOOKUP(A104,[1]Base!$A$11:$O$1318,15,FALSE)</f>
        <v>364.24545917182661</v>
      </c>
      <c r="E104" s="58">
        <f>+VLOOKUP(A104,[1]Base!$A$11:$R$1579,18,FALSE)</f>
        <v>455.30682396478323</v>
      </c>
      <c r="F104">
        <f>+VLOOKUP(A104,[1]Base!$A$11:$O$1264,15,FALSE)</f>
        <v>364.24545917182661</v>
      </c>
      <c r="G104">
        <f t="shared" si="1"/>
        <v>1</v>
      </c>
    </row>
    <row r="105" spans="1:7" x14ac:dyDescent="0.25">
      <c r="A105" s="38">
        <v>8506669</v>
      </c>
      <c r="B105" s="37" t="s">
        <v>1655</v>
      </c>
      <c r="C105" s="63"/>
      <c r="D105" s="58">
        <f>+VLOOKUP(A105,[1]Base!$A$11:$O$1318,15,FALSE)</f>
        <v>24.588980456656344</v>
      </c>
      <c r="E105" s="58">
        <f>+VLOOKUP(A105,[1]Base!$A$11:$R$1579,18,FALSE)</f>
        <v>30.73622557082043</v>
      </c>
      <c r="F105">
        <f>+VLOOKUP(A105,[1]Base!$A$11:$O$1264,15,FALSE)</f>
        <v>24.588980456656344</v>
      </c>
      <c r="G105">
        <f t="shared" si="1"/>
        <v>1</v>
      </c>
    </row>
    <row r="106" spans="1:7" x14ac:dyDescent="0.25">
      <c r="A106" s="38">
        <v>4024327</v>
      </c>
      <c r="B106" s="37" t="s">
        <v>1632</v>
      </c>
      <c r="C106" s="63"/>
      <c r="D106" s="58">
        <f>+VLOOKUP(A106,[1]Base!$A$11:$O$1318,15,FALSE)</f>
        <v>759.83339396284828</v>
      </c>
      <c r="E106" s="58">
        <f>+VLOOKUP(A106,[1]Base!$A$11:$R$1579,18,FALSE)</f>
        <v>949.79174245356035</v>
      </c>
      <c r="F106">
        <f>+VLOOKUP(A106,[1]Base!$A$11:$O$1264,15,FALSE)</f>
        <v>759.83339396284828</v>
      </c>
      <c r="G106">
        <f t="shared" si="1"/>
        <v>1</v>
      </c>
    </row>
    <row r="107" spans="1:7" x14ac:dyDescent="0.25">
      <c r="A107" s="38">
        <v>3559256</v>
      </c>
      <c r="B107" s="37" t="s">
        <v>143</v>
      </c>
      <c r="C107" s="63">
        <v>1</v>
      </c>
      <c r="D107" s="58">
        <f>+VLOOKUP(A107,[1]Base!$A$11:$O$1318,15,FALSE)</f>
        <v>32.30726064241486</v>
      </c>
      <c r="E107" s="58">
        <f>+VLOOKUP(A107,[1]Base!$A$11:$R$1579,18,FALSE)</f>
        <v>40.384075803018575</v>
      </c>
      <c r="F107">
        <f>+VLOOKUP(A107,[1]Base!$A$11:$O$1264,15,FALSE)</f>
        <v>32.30726064241486</v>
      </c>
      <c r="G107">
        <f t="shared" si="1"/>
        <v>1</v>
      </c>
    </row>
    <row r="108" spans="1:7" x14ac:dyDescent="0.25">
      <c r="A108" s="38">
        <v>8512906</v>
      </c>
      <c r="B108" s="37" t="s">
        <v>1679</v>
      </c>
      <c r="C108" s="63"/>
      <c r="D108" s="58">
        <f>+VLOOKUP(A108,[1]Base!$A$11:$O$1318,15,FALSE)</f>
        <v>14.91505495356037</v>
      </c>
      <c r="E108" s="58">
        <f>+VLOOKUP(A108,[1]Base!$A$11:$R$1579,18,FALSE)</f>
        <v>18.643818691950461</v>
      </c>
      <c r="F108">
        <f>+VLOOKUP(A108,[1]Base!$A$11:$O$1264,15,FALSE)</f>
        <v>14.91505495356037</v>
      </c>
      <c r="G108">
        <f t="shared" si="1"/>
        <v>1</v>
      </c>
    </row>
    <row r="109" spans="1:7" x14ac:dyDescent="0.25">
      <c r="A109" s="38">
        <v>8506920</v>
      </c>
      <c r="B109" s="37" t="s">
        <v>1656</v>
      </c>
      <c r="C109" s="63"/>
      <c r="D109" s="58">
        <f>+VLOOKUP(A109,[1]Base!$A$11:$O$1318,15,FALSE)</f>
        <v>15.071506578947369</v>
      </c>
      <c r="E109" s="58">
        <f>+VLOOKUP(A109,[1]Base!$A$11:$R$1579,18,FALSE)</f>
        <v>18.839383223684212</v>
      </c>
      <c r="F109">
        <f>+VLOOKUP(A109,[1]Base!$A$11:$O$1264,15,FALSE)</f>
        <v>15.071506578947369</v>
      </c>
      <c r="G109">
        <f t="shared" si="1"/>
        <v>1</v>
      </c>
    </row>
    <row r="110" spans="1:7" x14ac:dyDescent="0.25">
      <c r="A110" s="38">
        <v>8517680</v>
      </c>
      <c r="B110" s="37" t="s">
        <v>1693</v>
      </c>
      <c r="C110" s="63"/>
      <c r="D110" s="58">
        <f>+VLOOKUP(A110,[1]Base!$A$11:$O$1318,15,FALSE)</f>
        <v>291.57367917956651</v>
      </c>
      <c r="E110" s="58">
        <f>+VLOOKUP(A110,[1]Base!$A$11:$R$1579,18,FALSE)</f>
        <v>364.46709897445811</v>
      </c>
      <c r="F110">
        <f>+VLOOKUP(A110,[1]Base!$A$11:$O$1264,15,FALSE)</f>
        <v>291.57367917956651</v>
      </c>
      <c r="G110">
        <f t="shared" si="1"/>
        <v>1</v>
      </c>
    </row>
    <row r="111" spans="1:7" x14ac:dyDescent="0.25">
      <c r="A111" s="38">
        <v>4040688</v>
      </c>
      <c r="B111" s="37" t="s">
        <v>1639</v>
      </c>
      <c r="C111" s="63"/>
      <c r="D111" s="58">
        <f>+VLOOKUP(A111,[1]Base!$A$11:$O$1318,15,FALSE)</f>
        <v>15010.307918150153</v>
      </c>
      <c r="E111" s="58">
        <f>+VLOOKUP(A111,[1]Base!$A$11:$R$1579,18,FALSE)</f>
        <v>18762.884897687691</v>
      </c>
      <c r="F111" t="e">
        <f>+VLOOKUP(A111,[1]Base!$A$11:$O$1264,15,FALSE)</f>
        <v>#N/A</v>
      </c>
      <c r="G111" t="e">
        <f t="shared" si="1"/>
        <v>#N/A</v>
      </c>
    </row>
    <row r="112" spans="1:7" x14ac:dyDescent="0.25">
      <c r="A112" s="38">
        <v>8504278</v>
      </c>
      <c r="B112" s="37" t="s">
        <v>1654</v>
      </c>
      <c r="C112" s="63"/>
      <c r="D112" s="58">
        <f>+VLOOKUP(A112,[1]Base!$A$11:$O$1318,15,FALSE)</f>
        <v>41.485755998452007</v>
      </c>
      <c r="E112" s="58">
        <f>+VLOOKUP(A112,[1]Base!$A$11:$R$1579,18,FALSE)</f>
        <v>51.857194998065005</v>
      </c>
      <c r="F112">
        <f>+VLOOKUP(A112,[1]Base!$A$11:$O$1264,15,FALSE)</f>
        <v>41.485755998452007</v>
      </c>
      <c r="G112">
        <f t="shared" si="1"/>
        <v>1</v>
      </c>
    </row>
    <row r="113" spans="1:7" x14ac:dyDescent="0.25">
      <c r="A113" s="36">
        <v>8510105</v>
      </c>
      <c r="B113" s="35" t="s">
        <v>336</v>
      </c>
      <c r="C113" s="63">
        <v>1</v>
      </c>
      <c r="D113" s="58">
        <f>+VLOOKUP(A113,[1]Base!$A$11:$O$1318,15,FALSE)</f>
        <v>14.471775348297212</v>
      </c>
      <c r="E113" s="58">
        <f>+VLOOKUP(A113,[1]Base!$A$11:$R$1579,18,FALSE)</f>
        <v>16.079750386996903</v>
      </c>
      <c r="F113">
        <f>+VLOOKUP(A113,[1]Base!$A$11:$O$1264,15,FALSE)</f>
        <v>14.471775348297212</v>
      </c>
      <c r="G113">
        <f t="shared" si="1"/>
        <v>1</v>
      </c>
    </row>
    <row r="114" spans="1:7" x14ac:dyDescent="0.25">
      <c r="A114" s="36">
        <v>8503858</v>
      </c>
      <c r="B114" s="35" t="s">
        <v>281</v>
      </c>
      <c r="C114" s="63">
        <v>1</v>
      </c>
      <c r="D114" s="58">
        <f>+VLOOKUP(A114,[1]Base!$A$11:$O$1318,15,FALSE)</f>
        <v>67.117747291021672</v>
      </c>
      <c r="E114" s="58">
        <f>+VLOOKUP(A114,[1]Base!$A$11:$R$1579,18,FALSE)</f>
        <v>83.897184113777087</v>
      </c>
      <c r="F114">
        <f>+VLOOKUP(A114,[1]Base!$A$11:$O$1264,15,FALSE)</f>
        <v>67.117747291021672</v>
      </c>
      <c r="G114">
        <f t="shared" si="1"/>
        <v>1</v>
      </c>
    </row>
    <row r="115" spans="1:7" x14ac:dyDescent="0.25">
      <c r="A115" s="38">
        <v>8506897</v>
      </c>
      <c r="B115" s="37" t="s">
        <v>9</v>
      </c>
      <c r="C115" s="63">
        <v>1</v>
      </c>
      <c r="D115" s="58">
        <f>+VLOOKUP(A115,[1]Base!$A$11:$O$1318,15,FALSE)</f>
        <v>28.761023800309594</v>
      </c>
      <c r="E115" s="58">
        <f>+VLOOKUP(A115,[1]Base!$A$11:$R$1579,18,FALSE)</f>
        <v>35.951279750386988</v>
      </c>
      <c r="F115">
        <f>+VLOOKUP(A115,[1]Base!$A$11:$O$1264,15,FALSE)</f>
        <v>28.761023800309594</v>
      </c>
      <c r="G115">
        <f t="shared" si="1"/>
        <v>1</v>
      </c>
    </row>
    <row r="116" spans="1:7" x14ac:dyDescent="0.25">
      <c r="A116" s="36" t="s">
        <v>549</v>
      </c>
      <c r="B116" s="35" t="s">
        <v>1775</v>
      </c>
      <c r="C116" s="63">
        <v>1000</v>
      </c>
      <c r="D116" s="58">
        <f>+VLOOKUP(A116,[1]Base!$A$11:$O$1318,15,FALSE)</f>
        <v>1460.4700692041522</v>
      </c>
      <c r="E116" s="58">
        <f>+VLOOKUP(A116,[1]Base!$A$11:$R$1579,18,FALSE)</f>
        <v>1825.5875865051901</v>
      </c>
      <c r="F116">
        <f>+VLOOKUP(A116,[1]Base!$A$11:$O$1264,15,FALSE)</f>
        <v>1460.4700692041522</v>
      </c>
      <c r="G116">
        <f t="shared" si="1"/>
        <v>1</v>
      </c>
    </row>
    <row r="117" spans="1:7" x14ac:dyDescent="0.25">
      <c r="A117" s="38">
        <v>8512528</v>
      </c>
      <c r="B117" s="37" t="s">
        <v>1674</v>
      </c>
      <c r="C117" s="63"/>
      <c r="D117" s="58">
        <f>+VLOOKUP(A117,[1]Base!$A$11:$O$1318,15,FALSE)</f>
        <v>326.14948839009293</v>
      </c>
      <c r="E117" s="58">
        <f>+VLOOKUP(A117,[1]Base!$A$11:$R$1579,18,FALSE)</f>
        <v>407.68686048761612</v>
      </c>
      <c r="F117">
        <f>+VLOOKUP(A117,[1]Base!$A$11:$O$1264,15,FALSE)</f>
        <v>326.14948839009293</v>
      </c>
      <c r="G117">
        <f t="shared" si="1"/>
        <v>1</v>
      </c>
    </row>
    <row r="118" spans="1:7" x14ac:dyDescent="0.25">
      <c r="A118" s="36">
        <v>3556645</v>
      </c>
      <c r="B118" s="41" t="s">
        <v>114</v>
      </c>
      <c r="C118" s="63">
        <v>1</v>
      </c>
      <c r="D118" s="58">
        <f>+VLOOKUP(A118,[1]Base!$A$11:$O$1318,15,FALSE)</f>
        <v>89.125275928792561</v>
      </c>
      <c r="E118" s="58">
        <f>+VLOOKUP(A118,[1]Base!$A$11:$R$1579,18,FALSE)</f>
        <v>111.40659491099069</v>
      </c>
      <c r="F118">
        <f>+VLOOKUP(A118,[1]Base!$A$11:$O$1264,15,FALSE)</f>
        <v>89.125275928792561</v>
      </c>
      <c r="G118">
        <f t="shared" si="1"/>
        <v>1</v>
      </c>
    </row>
    <row r="119" spans="1:7" x14ac:dyDescent="0.25">
      <c r="A119" s="38">
        <v>8515622</v>
      </c>
      <c r="B119" s="37" t="s">
        <v>1684</v>
      </c>
      <c r="C119" s="63"/>
      <c r="D119" s="58">
        <f>+VLOOKUP(A119,[1]Base!$A$11:$O$1318,15,FALSE)</f>
        <v>105.81344930340556</v>
      </c>
      <c r="E119" s="58">
        <f>+VLOOKUP(A119,[1]Base!$A$11:$R$1579,18,FALSE)</f>
        <v>132.26681162925695</v>
      </c>
      <c r="F119">
        <f>+VLOOKUP(A119,[1]Base!$A$11:$O$1264,15,FALSE)</f>
        <v>105.81344930340556</v>
      </c>
      <c r="G119">
        <f t="shared" si="1"/>
        <v>1</v>
      </c>
    </row>
    <row r="120" spans="1:7" x14ac:dyDescent="0.25">
      <c r="A120" s="38">
        <v>8515262</v>
      </c>
      <c r="B120" s="37" t="s">
        <v>1683</v>
      </c>
      <c r="C120" s="63"/>
      <c r="D120" s="58">
        <f>+VLOOKUP(A120,[1]Base!$A$11:$O$1318,15,FALSE)</f>
        <v>721.58097155572761</v>
      </c>
      <c r="E120" s="58">
        <f>+VLOOKUP(A120,[1]Base!$A$11:$R$1579,18,FALSE)</f>
        <v>901.97621444465949</v>
      </c>
      <c r="F120">
        <f>+VLOOKUP(A120,[1]Base!$A$11:$O$1264,15,FALSE)</f>
        <v>721.58097155572761</v>
      </c>
      <c r="G120">
        <f t="shared" si="1"/>
        <v>1</v>
      </c>
    </row>
    <row r="121" spans="1:7" x14ac:dyDescent="0.25">
      <c r="A121" s="36" t="s">
        <v>548</v>
      </c>
      <c r="B121" s="35" t="s">
        <v>1774</v>
      </c>
      <c r="C121" s="63">
        <v>200</v>
      </c>
      <c r="D121" s="58">
        <f>+VLOOKUP(A121,[1]Base!$A$11:$O$1318,15,FALSE)</f>
        <v>307.48674740484432</v>
      </c>
      <c r="E121" s="58">
        <f>+VLOOKUP(A121,[1]Base!$A$11:$R$1579,18,FALSE)</f>
        <v>384.35843425605538</v>
      </c>
      <c r="F121">
        <f>+VLOOKUP(A121,[1]Base!$A$11:$O$1264,15,FALSE)</f>
        <v>307.48674740484432</v>
      </c>
      <c r="G121">
        <f t="shared" si="1"/>
        <v>1</v>
      </c>
    </row>
    <row r="122" spans="1:7" x14ac:dyDescent="0.25">
      <c r="A122" s="38">
        <v>8507236</v>
      </c>
      <c r="B122" s="37" t="s">
        <v>1659</v>
      </c>
      <c r="C122" s="63"/>
      <c r="D122" s="58">
        <f>+VLOOKUP(A122,[1]Base!$A$11:$O$1318,15,FALSE)</f>
        <v>69.751349651702796</v>
      </c>
      <c r="E122" s="58">
        <f>+VLOOKUP(A122,[1]Base!$A$11:$R$1579,18,FALSE)</f>
        <v>87.189187064628484</v>
      </c>
      <c r="F122">
        <f>+VLOOKUP(A122,[1]Base!$A$11:$O$1264,15,FALSE)</f>
        <v>69.751349651702796</v>
      </c>
      <c r="G122">
        <f t="shared" si="1"/>
        <v>1</v>
      </c>
    </row>
    <row r="123" spans="1:7" x14ac:dyDescent="0.25">
      <c r="A123" s="36" t="s">
        <v>552</v>
      </c>
      <c r="B123" s="35" t="s">
        <v>1778</v>
      </c>
      <c r="C123" s="63">
        <v>1000</v>
      </c>
      <c r="D123" s="58">
        <f>+VLOOKUP(A123,[1]Base!$A$11:$O$1318,15,FALSE)</f>
        <v>2660.7142973856207</v>
      </c>
      <c r="E123" s="58">
        <f>+VLOOKUP(A123,[1]Base!$A$11:$R$1579,18,FALSE)</f>
        <v>3325.8928717320259</v>
      </c>
      <c r="F123">
        <f>+VLOOKUP(A123,[1]Base!$A$11:$O$1264,15,FALSE)</f>
        <v>2660.7142973856207</v>
      </c>
      <c r="G123">
        <f t="shared" si="1"/>
        <v>1</v>
      </c>
    </row>
    <row r="124" spans="1:7" x14ac:dyDescent="0.25">
      <c r="A124" s="36" t="s">
        <v>547</v>
      </c>
      <c r="B124" s="35" t="s">
        <v>1773</v>
      </c>
      <c r="C124" s="63">
        <v>25</v>
      </c>
      <c r="D124" s="58">
        <f>+VLOOKUP(A124,[1]Base!$A$11:$O$1318,15,FALSE)</f>
        <v>46.120477941176468</v>
      </c>
      <c r="E124" s="58">
        <f>+VLOOKUP(A124,[1]Base!$A$11:$R$1579,18,FALSE)</f>
        <v>57.650597426470583</v>
      </c>
      <c r="F124">
        <f>+VLOOKUP(A124,[1]Base!$A$11:$O$1264,15,FALSE)</f>
        <v>46.120477941176468</v>
      </c>
      <c r="G124">
        <f t="shared" si="1"/>
        <v>1</v>
      </c>
    </row>
    <row r="125" spans="1:7" x14ac:dyDescent="0.25">
      <c r="A125" s="38">
        <v>8511978</v>
      </c>
      <c r="B125" s="37" t="s">
        <v>354</v>
      </c>
      <c r="C125" s="63"/>
      <c r="D125" s="58">
        <f>+VLOOKUP(A125,[1]Base!$A$11:$O$1318,15,FALSE)</f>
        <v>25.006184791021671</v>
      </c>
      <c r="E125" s="58">
        <f>+VLOOKUP(A125,[1]Base!$A$11:$R$1579,18,FALSE)</f>
        <v>31.257730988777087</v>
      </c>
      <c r="F125">
        <f>+VLOOKUP(A125,[1]Base!$A$11:$O$1264,15,FALSE)</f>
        <v>25.006184791021671</v>
      </c>
      <c r="G125">
        <f t="shared" si="1"/>
        <v>1</v>
      </c>
    </row>
    <row r="126" spans="1:7" x14ac:dyDescent="0.25">
      <c r="A126" s="36" t="s">
        <v>536</v>
      </c>
      <c r="B126" s="35" t="s">
        <v>1764</v>
      </c>
      <c r="C126" s="63">
        <v>1000</v>
      </c>
      <c r="D126" s="58">
        <f>+VLOOKUP(A126,[1]Base!$A$11:$O$1318,15,FALSE)</f>
        <v>2503.8810371517025</v>
      </c>
      <c r="E126" s="58">
        <f>+VLOOKUP(A126,[1]Base!$A$11:$R$1579,18,FALSE)</f>
        <v>3129.8512964396277</v>
      </c>
      <c r="F126">
        <f>+VLOOKUP(A126,[1]Base!$A$11:$O$1264,15,FALSE)</f>
        <v>2503.8810371517025</v>
      </c>
      <c r="G126">
        <f t="shared" si="1"/>
        <v>1</v>
      </c>
    </row>
    <row r="127" spans="1:7" x14ac:dyDescent="0.25">
      <c r="A127" s="36">
        <v>8514721</v>
      </c>
      <c r="B127" s="35" t="s">
        <v>392</v>
      </c>
      <c r="C127" s="63">
        <v>1</v>
      </c>
      <c r="D127" s="58">
        <f>+VLOOKUP(A127,[1]Base!$A$11:$O$1318,15,FALSE)</f>
        <v>10.951613777089783</v>
      </c>
      <c r="E127" s="58">
        <f>+VLOOKUP(A127,[1]Base!$A$11:$R$1579,18,FALSE)</f>
        <v>13.689517221362228</v>
      </c>
      <c r="F127">
        <f>+VLOOKUP(A127,[1]Base!$A$11:$O$1264,15,FALSE)</f>
        <v>10.951613777089783</v>
      </c>
      <c r="G127">
        <f t="shared" si="1"/>
        <v>1</v>
      </c>
    </row>
    <row r="128" spans="1:7" x14ac:dyDescent="0.25">
      <c r="A128" s="36">
        <v>3557049</v>
      </c>
      <c r="B128" s="35" t="s">
        <v>118</v>
      </c>
      <c r="C128" s="63">
        <v>1</v>
      </c>
      <c r="D128" s="58">
        <f>+VLOOKUP(A128,[1]Base!$A$11:$O$1318,15,FALSE)</f>
        <v>52.776348297213609</v>
      </c>
      <c r="E128" s="58">
        <f>+VLOOKUP(A128,[1]Base!$A$11:$R$1579,18,FALSE)</f>
        <v>65.970435371517013</v>
      </c>
      <c r="F128">
        <f>+VLOOKUP(A128,[1]Base!$A$11:$O$1264,15,FALSE)</f>
        <v>52.776348297213609</v>
      </c>
      <c r="G128">
        <f t="shared" si="1"/>
        <v>1</v>
      </c>
    </row>
    <row r="129" spans="1:7" x14ac:dyDescent="0.25">
      <c r="A129" s="38">
        <v>8511970</v>
      </c>
      <c r="B129" s="37" t="s">
        <v>1673</v>
      </c>
      <c r="C129" s="63"/>
      <c r="D129" s="58">
        <f>+VLOOKUP(A129,[1]Base!$A$11:$O$1318,15,FALSE)</f>
        <v>39.816938660990701</v>
      </c>
      <c r="E129" s="58">
        <f>+VLOOKUP(A129,[1]Base!$A$11:$R$1579,18,FALSE)</f>
        <v>49.771173326238376</v>
      </c>
      <c r="F129">
        <f>+VLOOKUP(A129,[1]Base!$A$11:$O$1264,15,FALSE)</f>
        <v>39.816938660990701</v>
      </c>
      <c r="G129">
        <f t="shared" si="1"/>
        <v>1</v>
      </c>
    </row>
    <row r="130" spans="1:7" x14ac:dyDescent="0.25">
      <c r="A130" s="36" t="s">
        <v>551</v>
      </c>
      <c r="B130" s="35" t="s">
        <v>1777</v>
      </c>
      <c r="C130" s="63">
        <v>200</v>
      </c>
      <c r="D130" s="58">
        <f>+VLOOKUP(A130,[1]Base!$A$11:$O$1318,15,FALSE)</f>
        <v>521.26691950464397</v>
      </c>
      <c r="E130" s="58">
        <f>+VLOOKUP(A130,[1]Base!$A$11:$R$1579,18,FALSE)</f>
        <v>651.5836493808049</v>
      </c>
      <c r="F130">
        <f>+VLOOKUP(A130,[1]Base!$A$11:$O$1264,15,FALSE)</f>
        <v>521.26691950464397</v>
      </c>
      <c r="G130">
        <f t="shared" si="1"/>
        <v>1</v>
      </c>
    </row>
    <row r="131" spans="1:7" x14ac:dyDescent="0.25">
      <c r="A131" s="40">
        <v>8517737</v>
      </c>
      <c r="B131" s="35" t="s">
        <v>421</v>
      </c>
      <c r="C131" s="63">
        <v>1</v>
      </c>
      <c r="D131" s="58">
        <f>+VLOOKUP(A131,[1]Base!$A$11:$O$1318,15,FALSE)</f>
        <v>52.672047213622292</v>
      </c>
      <c r="E131" s="58">
        <f>+VLOOKUP(A131,[1]Base!$A$11:$R$1579,18,FALSE)</f>
        <v>65.840059017027855</v>
      </c>
      <c r="F131">
        <f>+VLOOKUP(A131,[1]Base!$A$11:$O$1264,15,FALSE)</f>
        <v>52.672047213622292</v>
      </c>
      <c r="G131">
        <f t="shared" si="1"/>
        <v>1</v>
      </c>
    </row>
    <row r="132" spans="1:7" x14ac:dyDescent="0.25">
      <c r="A132" s="36">
        <v>3556372</v>
      </c>
      <c r="B132" s="41" t="s">
        <v>111</v>
      </c>
      <c r="C132" s="63">
        <v>1</v>
      </c>
      <c r="D132" s="58">
        <f>+VLOOKUP(A132,[1]Base!$A$11:$O$1318,15,FALSE)</f>
        <v>5.3454305340557271</v>
      </c>
      <c r="E132" s="58">
        <f>+VLOOKUP(A132,[1]Base!$A$11:$R$1579,18,FALSE)</f>
        <v>6.6817881675696587</v>
      </c>
      <c r="F132">
        <f>+VLOOKUP(A132,[1]Base!$A$11:$O$1264,15,FALSE)</f>
        <v>5.3454305340557271</v>
      </c>
      <c r="G132">
        <f t="shared" si="1"/>
        <v>1</v>
      </c>
    </row>
    <row r="133" spans="1:7" x14ac:dyDescent="0.25">
      <c r="A133" s="36" t="s">
        <v>535</v>
      </c>
      <c r="B133" s="35" t="s">
        <v>1763</v>
      </c>
      <c r="C133" s="63">
        <v>200</v>
      </c>
      <c r="D133" s="58">
        <f>+VLOOKUP(A133,[1]Base!$A$11:$O$1318,15,FALSE)</f>
        <v>514.54865325077401</v>
      </c>
      <c r="E133" s="58">
        <f>+VLOOKUP(A133,[1]Base!$A$11:$R$1579,18,FALSE)</f>
        <v>643.18581656346748</v>
      </c>
      <c r="F133">
        <f>+VLOOKUP(A133,[1]Base!$A$11:$O$1264,15,FALSE)</f>
        <v>514.54865325077401</v>
      </c>
      <c r="G133">
        <f t="shared" ref="G133:G195" si="2">+F133/D133</f>
        <v>1</v>
      </c>
    </row>
    <row r="134" spans="1:7" x14ac:dyDescent="0.25">
      <c r="A134" s="36">
        <v>3556113</v>
      </c>
      <c r="B134" s="41" t="s">
        <v>106</v>
      </c>
      <c r="C134" s="63">
        <v>1</v>
      </c>
      <c r="D134" s="58">
        <f>+VLOOKUP(A134,[1]Base!$A$11:$O$1318,15,FALSE)</f>
        <v>109.22930979102168</v>
      </c>
      <c r="E134" s="58">
        <f>+VLOOKUP(A134,[1]Base!$A$11:$R$1579,18,FALSE)</f>
        <v>136.53663723877708</v>
      </c>
      <c r="F134">
        <f>+VLOOKUP(A134,[1]Base!$A$11:$O$1264,15,FALSE)</f>
        <v>109.22930979102168</v>
      </c>
      <c r="G134">
        <f t="shared" si="2"/>
        <v>1</v>
      </c>
    </row>
    <row r="135" spans="1:7" x14ac:dyDescent="0.25">
      <c r="A135" s="36" t="s">
        <v>550</v>
      </c>
      <c r="B135" s="35" t="s">
        <v>1776</v>
      </c>
      <c r="C135" s="63">
        <v>25</v>
      </c>
      <c r="D135" s="58">
        <f>+VLOOKUP(A135,[1]Base!$A$11:$O$1318,15,FALSE)</f>
        <v>77.072790247678029</v>
      </c>
      <c r="E135" s="58">
        <f>+VLOOKUP(A135,[1]Base!$A$11:$R$1579,18,FALSE)</f>
        <v>96.340987809597536</v>
      </c>
      <c r="F135">
        <f>+VLOOKUP(A135,[1]Base!$A$11:$O$1264,15,FALSE)</f>
        <v>77.072790247678029</v>
      </c>
      <c r="G135">
        <f t="shared" si="2"/>
        <v>1</v>
      </c>
    </row>
    <row r="136" spans="1:7" x14ac:dyDescent="0.25">
      <c r="A136" s="38">
        <v>3555861</v>
      </c>
      <c r="B136" s="41" t="s">
        <v>1594</v>
      </c>
      <c r="C136" s="63"/>
      <c r="D136" s="58">
        <f>+VLOOKUP(A136,[1]Base!$A$11:$O$1318,15,FALSE)</f>
        <v>402.02852670278639</v>
      </c>
      <c r="E136" s="58">
        <f>+VLOOKUP(A136,[1]Base!$A$11:$R$1579,18,FALSE)</f>
        <v>502.53565837848299</v>
      </c>
      <c r="F136">
        <f>+VLOOKUP(A136,[1]Base!$A$11:$O$1264,15,FALSE)</f>
        <v>402.02852670278639</v>
      </c>
      <c r="G136">
        <f t="shared" si="2"/>
        <v>1</v>
      </c>
    </row>
    <row r="137" spans="1:7" x14ac:dyDescent="0.25">
      <c r="A137" s="38">
        <v>8513217</v>
      </c>
      <c r="B137" s="37" t="s">
        <v>11</v>
      </c>
      <c r="C137" s="63">
        <v>1</v>
      </c>
      <c r="D137" s="58">
        <f>+VLOOKUP(A137,[1]Base!$A$11:$O$1318,15,FALSE)</f>
        <v>3.5983873839009282</v>
      </c>
      <c r="E137" s="58">
        <f>+VLOOKUP(A137,[1]Base!$A$11:$R$1579,18,FALSE)</f>
        <v>4.4979842298761596</v>
      </c>
      <c r="F137">
        <f>+VLOOKUP(A137,[1]Base!$A$11:$O$1264,15,FALSE)</f>
        <v>3.5983873839009282</v>
      </c>
      <c r="G137">
        <f t="shared" si="2"/>
        <v>1</v>
      </c>
    </row>
    <row r="138" spans="1:7" x14ac:dyDescent="0.25">
      <c r="A138" s="38">
        <v>3556697</v>
      </c>
      <c r="B138" s="41" t="s">
        <v>1598</v>
      </c>
      <c r="C138" s="63"/>
      <c r="D138" s="58">
        <f>+VLOOKUP(A138,[1]Base!$A$11:$O$1318,15,FALSE)</f>
        <v>103.90995452786379</v>
      </c>
      <c r="E138" s="58">
        <f>+VLOOKUP(A138,[1]Base!$A$11:$R$1579,18,FALSE)</f>
        <v>129.88744315982973</v>
      </c>
      <c r="F138">
        <f>+VLOOKUP(A138,[1]Base!$A$11:$O$1264,15,FALSE)</f>
        <v>103.90995452786379</v>
      </c>
      <c r="G138">
        <f t="shared" si="2"/>
        <v>1</v>
      </c>
    </row>
    <row r="139" spans="1:7" x14ac:dyDescent="0.25">
      <c r="A139" s="38">
        <v>8512556</v>
      </c>
      <c r="B139" s="37" t="s">
        <v>1675</v>
      </c>
      <c r="C139" s="63"/>
      <c r="D139" s="58">
        <f>+VLOOKUP(A139,[1]Base!$A$11:$O$1318,15,FALSE)</f>
        <v>112.30619175696593</v>
      </c>
      <c r="E139" s="58">
        <f>+VLOOKUP(A139,[1]Base!$A$11:$R$1579,18,FALSE)</f>
        <v>140.38273969620741</v>
      </c>
      <c r="F139">
        <f>+VLOOKUP(A139,[1]Base!$A$11:$O$1264,15,FALSE)</f>
        <v>112.30619175696593</v>
      </c>
      <c r="G139">
        <f t="shared" si="2"/>
        <v>1</v>
      </c>
    </row>
    <row r="140" spans="1:7" x14ac:dyDescent="0.25">
      <c r="A140" s="36">
        <v>8514246</v>
      </c>
      <c r="B140" s="35" t="s">
        <v>389</v>
      </c>
      <c r="C140" s="63">
        <v>1</v>
      </c>
      <c r="D140" s="58">
        <f>+VLOOKUP(A140,[1]Base!$A$11:$O$1318,15,FALSE)</f>
        <v>99.190330495356008</v>
      </c>
      <c r="E140" s="58">
        <f>+VLOOKUP(A140,[1]Base!$A$11:$R$1579,18,FALSE)</f>
        <v>123.987913119195</v>
      </c>
      <c r="F140">
        <f>+VLOOKUP(A140,[1]Base!$A$11:$O$1264,15,FALSE)</f>
        <v>99.190330495356008</v>
      </c>
      <c r="G140">
        <f t="shared" si="2"/>
        <v>1</v>
      </c>
    </row>
    <row r="141" spans="1:7" x14ac:dyDescent="0.25">
      <c r="A141" s="36" t="s">
        <v>493</v>
      </c>
      <c r="B141" s="35" t="s">
        <v>1743</v>
      </c>
      <c r="C141" s="63">
        <v>25</v>
      </c>
      <c r="D141" s="58">
        <f>+VLOOKUP(A141,[1]Base!$A$11:$O$1318,15,FALSE)</f>
        <v>71.194307275541803</v>
      </c>
      <c r="E141" s="58">
        <f>+VLOOKUP(A141,[1]Base!$A$11:$R$1579,18,FALSE)</f>
        <v>88.992884094427254</v>
      </c>
      <c r="F141">
        <f>+VLOOKUP(A141,[1]Base!$A$11:$O$1264,15,FALSE)</f>
        <v>71.194307275541803</v>
      </c>
      <c r="G141">
        <f t="shared" si="2"/>
        <v>1</v>
      </c>
    </row>
    <row r="142" spans="1:7" x14ac:dyDescent="0.25">
      <c r="A142" s="40">
        <v>3554159</v>
      </c>
      <c r="B142" s="41" t="s">
        <v>95</v>
      </c>
      <c r="C142" s="63">
        <v>1</v>
      </c>
      <c r="D142" s="58">
        <f>+VLOOKUP(A142,[1]Base!$A$11:$O$1318,15,FALSE)</f>
        <v>5.9451617647058805</v>
      </c>
      <c r="E142" s="58">
        <f>+VLOOKUP(A142,[1]Base!$A$11:$R$1579,18,FALSE)</f>
        <v>7.4314522058823504</v>
      </c>
      <c r="F142">
        <f>+VLOOKUP(A142,[1]Base!$A$11:$O$1264,15,FALSE)</f>
        <v>5.9451617647058805</v>
      </c>
      <c r="G142">
        <f t="shared" si="2"/>
        <v>1</v>
      </c>
    </row>
    <row r="143" spans="1:7" x14ac:dyDescent="0.25">
      <c r="A143" s="36">
        <v>8513986</v>
      </c>
      <c r="B143" s="35" t="s">
        <v>388</v>
      </c>
      <c r="C143" s="63">
        <v>1</v>
      </c>
      <c r="D143" s="58">
        <f>+VLOOKUP(A143,[1]Base!$A$11:$O$1318,15,FALSE)</f>
        <v>552.03956017801852</v>
      </c>
      <c r="E143" s="58">
        <f>+VLOOKUP(A143,[1]Base!$A$11:$R$1579,18,FALSE)</f>
        <v>690.04945022252309</v>
      </c>
      <c r="F143">
        <f>+VLOOKUP(A143,[1]Base!$A$11:$O$1264,15,FALSE)</f>
        <v>552.03956017801852</v>
      </c>
      <c r="G143">
        <f t="shared" si="2"/>
        <v>1</v>
      </c>
    </row>
    <row r="144" spans="1:7" x14ac:dyDescent="0.25">
      <c r="A144" s="38">
        <v>8570997</v>
      </c>
      <c r="B144" s="37" t="s">
        <v>1706</v>
      </c>
      <c r="C144" s="63"/>
      <c r="D144" s="58">
        <f>+VLOOKUP(A144,[1]Base!$A$11:$O$1318,15,FALSE)</f>
        <v>124.09221420278639</v>
      </c>
      <c r="E144" s="58">
        <f>+VLOOKUP(A144,[1]Base!$A$11:$R$1579,18,FALSE)</f>
        <v>155.11526775348298</v>
      </c>
      <c r="F144">
        <f>+VLOOKUP(A144,[1]Base!$A$11:$O$1264,15,FALSE)</f>
        <v>124.09221420278639</v>
      </c>
      <c r="G144">
        <f t="shared" si="2"/>
        <v>1</v>
      </c>
    </row>
    <row r="145" spans="1:7" x14ac:dyDescent="0.25">
      <c r="A145" s="36">
        <v>8500559</v>
      </c>
      <c r="B145" s="35" t="s">
        <v>246</v>
      </c>
      <c r="C145" s="63">
        <v>1</v>
      </c>
      <c r="D145" s="58">
        <f>+VLOOKUP(A145,[1]Base!$A$11:$O$1318,15,FALSE)</f>
        <v>18.617743421052626</v>
      </c>
      <c r="E145" s="58">
        <f>+VLOOKUP(A145,[1]Base!$A$11:$R$1579,18,FALSE)</f>
        <v>23.272179276315782</v>
      </c>
      <c r="F145" t="e">
        <f>+VLOOKUP(A145,[1]Base!$A$11:$O$1264,15,FALSE)</f>
        <v>#N/A</v>
      </c>
      <c r="G145" t="e">
        <f t="shared" si="2"/>
        <v>#N/A</v>
      </c>
    </row>
    <row r="146" spans="1:7" x14ac:dyDescent="0.25">
      <c r="A146" s="38">
        <v>8515871</v>
      </c>
      <c r="B146" s="37" t="s">
        <v>1687</v>
      </c>
      <c r="C146" s="63"/>
      <c r="D146" s="58">
        <f>+VLOOKUP(A146,[1]Base!$A$11:$O$1318,15,FALSE)</f>
        <v>15.931990518575853</v>
      </c>
      <c r="E146" s="58">
        <f>+VLOOKUP(A146,[1]Base!$A$11:$R$1579,18,FALSE)</f>
        <v>19.914988148219816</v>
      </c>
      <c r="F146">
        <f>+VLOOKUP(A146,[1]Base!$A$11:$O$1264,15,FALSE)</f>
        <v>15.931990518575853</v>
      </c>
      <c r="G146">
        <f t="shared" si="2"/>
        <v>1</v>
      </c>
    </row>
    <row r="147" spans="1:7" x14ac:dyDescent="0.25">
      <c r="A147" s="36">
        <v>8513985</v>
      </c>
      <c r="B147" s="35" t="s">
        <v>387</v>
      </c>
      <c r="C147" s="63">
        <v>1</v>
      </c>
      <c r="D147" s="58">
        <f>+VLOOKUP(A147,[1]Base!$A$11:$O$1318,15,FALSE)</f>
        <v>398.66481675696588</v>
      </c>
      <c r="E147" s="58">
        <f>+VLOOKUP(A147,[1]Base!$A$11:$R$1579,18,FALSE)</f>
        <v>498.33102094620733</v>
      </c>
      <c r="F147">
        <f>+VLOOKUP(A147,[1]Base!$A$11:$O$1264,15,FALSE)</f>
        <v>398.66481675696588</v>
      </c>
      <c r="G147">
        <f t="shared" si="2"/>
        <v>1</v>
      </c>
    </row>
    <row r="148" spans="1:7" x14ac:dyDescent="0.25">
      <c r="A148" s="36">
        <v>3558018</v>
      </c>
      <c r="B148" s="35" t="s">
        <v>134</v>
      </c>
      <c r="C148" s="63">
        <v>1</v>
      </c>
      <c r="D148" s="58">
        <f>+VLOOKUP(A148,[1]Base!$A$11:$O$1318,15,FALSE)</f>
        <v>87.482533862229076</v>
      </c>
      <c r="E148" s="58">
        <f>+VLOOKUP(A148,[1]Base!$A$11:$R$1579,18,FALSE)</f>
        <v>109.35316732778634</v>
      </c>
      <c r="F148">
        <f>+VLOOKUP(A148,[1]Base!$A$11:$O$1264,15,FALSE)</f>
        <v>87.482533862229076</v>
      </c>
      <c r="G148">
        <f t="shared" si="2"/>
        <v>1</v>
      </c>
    </row>
    <row r="149" spans="1:7" x14ac:dyDescent="0.25">
      <c r="A149" s="38">
        <v>8580126</v>
      </c>
      <c r="B149" s="37" t="s">
        <v>1707</v>
      </c>
      <c r="C149" s="63"/>
      <c r="D149" s="58">
        <f>+VLOOKUP(A149,[1]Base!$A$11:$O$1318,15,FALSE)</f>
        <v>55.644628095975236</v>
      </c>
      <c r="E149" s="58">
        <f>+VLOOKUP(A149,[1]Base!$A$11:$R$1579,18,FALSE)</f>
        <v>69.555785119969045</v>
      </c>
      <c r="F149">
        <f>+VLOOKUP(A149,[1]Base!$A$11:$O$1264,15,FALSE)</f>
        <v>55.644628095975236</v>
      </c>
      <c r="G149">
        <f t="shared" si="2"/>
        <v>1</v>
      </c>
    </row>
    <row r="150" spans="1:7" x14ac:dyDescent="0.25">
      <c r="A150" s="38">
        <v>8510417</v>
      </c>
      <c r="B150" s="37" t="s">
        <v>1668</v>
      </c>
      <c r="C150" s="63"/>
      <c r="D150" s="58">
        <f>+VLOOKUP(A150,[1]Base!$A$11:$O$1318,15,FALSE)</f>
        <v>59.738445626934983</v>
      </c>
      <c r="E150" s="58">
        <f>+VLOOKUP(A150,[1]Base!$A$11:$R$1579,18,FALSE)</f>
        <v>74.673057033668726</v>
      </c>
      <c r="F150">
        <f>+VLOOKUP(A150,[1]Base!$A$11:$O$1264,15,FALSE)</f>
        <v>59.738445626934983</v>
      </c>
      <c r="G150">
        <f t="shared" si="2"/>
        <v>1</v>
      </c>
    </row>
    <row r="151" spans="1:7" x14ac:dyDescent="0.25">
      <c r="A151" s="36">
        <v>8515506</v>
      </c>
      <c r="B151" s="35" t="s">
        <v>399</v>
      </c>
      <c r="C151" s="63">
        <v>1</v>
      </c>
      <c r="D151" s="58">
        <f>+VLOOKUP(A151,[1]Base!$A$11:$O$1318,15,FALSE)</f>
        <v>4.3284949690402472</v>
      </c>
      <c r="E151" s="58">
        <f>+VLOOKUP(A151,[1]Base!$A$11:$R$1579,18,FALSE)</f>
        <v>5.4106187113003088</v>
      </c>
      <c r="F151">
        <f>+VLOOKUP(A151,[1]Base!$A$11:$O$1264,15,FALSE)</f>
        <v>4.3284949690402472</v>
      </c>
      <c r="G151">
        <f t="shared" si="2"/>
        <v>1</v>
      </c>
    </row>
    <row r="152" spans="1:7" x14ac:dyDescent="0.25">
      <c r="A152" s="36">
        <v>8514719</v>
      </c>
      <c r="B152" s="35" t="s">
        <v>391</v>
      </c>
      <c r="C152" s="63">
        <v>1</v>
      </c>
      <c r="D152" s="58">
        <f>+VLOOKUP(A152,[1]Base!$A$11:$O$1318,15,FALSE)</f>
        <v>12.385753676470587</v>
      </c>
      <c r="E152" s="58">
        <f>+VLOOKUP(A152,[1]Base!$A$11:$R$1579,18,FALSE)</f>
        <v>15.482192095588234</v>
      </c>
      <c r="F152">
        <f>+VLOOKUP(A152,[1]Base!$A$11:$O$1264,15,FALSE)</f>
        <v>12.385753676470587</v>
      </c>
      <c r="G152">
        <f t="shared" si="2"/>
        <v>1</v>
      </c>
    </row>
    <row r="153" spans="1:7" x14ac:dyDescent="0.25">
      <c r="A153" s="36">
        <v>8500862</v>
      </c>
      <c r="B153" s="35" t="s">
        <v>257</v>
      </c>
      <c r="C153" s="63">
        <v>1</v>
      </c>
      <c r="D153" s="58">
        <f>+VLOOKUP(A153,[1]Base!$A$11:$O$1318,15,FALSE)</f>
        <v>252.669375</v>
      </c>
      <c r="E153" s="58">
        <f>+VLOOKUP(A153,[1]Base!$A$11:$R$1579,18,FALSE)</f>
        <v>315.83671874999999</v>
      </c>
      <c r="F153" t="e">
        <f>+VLOOKUP(A153,[1]Base!$A$11:$O$1264,15,FALSE)</f>
        <v>#N/A</v>
      </c>
      <c r="G153" t="e">
        <f t="shared" si="2"/>
        <v>#N/A</v>
      </c>
    </row>
    <row r="154" spans="1:7" x14ac:dyDescent="0.25">
      <c r="A154" s="36">
        <v>8508265</v>
      </c>
      <c r="B154" s="35" t="s">
        <v>329</v>
      </c>
      <c r="C154" s="63">
        <v>1</v>
      </c>
      <c r="D154" s="58">
        <f>+VLOOKUP(A154,[1]Base!$A$11:$O$1318,15,FALSE)</f>
        <v>74.960735294117669</v>
      </c>
      <c r="E154" s="58">
        <f>+VLOOKUP(A154,[1]Base!$A$11:$R$1579,18,FALSE)</f>
        <v>93.700919117647075</v>
      </c>
      <c r="F154">
        <f>+VLOOKUP(A154,[1]Base!$A$11:$O$1264,15,FALSE)</f>
        <v>74.960735294117669</v>
      </c>
      <c r="G154">
        <f t="shared" si="2"/>
        <v>1</v>
      </c>
    </row>
    <row r="155" spans="1:7" x14ac:dyDescent="0.25">
      <c r="A155" s="36" t="s">
        <v>697</v>
      </c>
      <c r="B155" s="35" t="s">
        <v>698</v>
      </c>
      <c r="C155" s="63">
        <v>1</v>
      </c>
      <c r="D155" s="58">
        <f>+VLOOKUP(A155,[1]Base!$A$11:$O$1318,15,FALSE)</f>
        <v>746.67655727554188</v>
      </c>
      <c r="E155" s="58">
        <f>+VLOOKUP(A155,[1]Base!$A$11:$R$1579,18,FALSE)</f>
        <v>933.3456965944273</v>
      </c>
      <c r="F155">
        <f>+VLOOKUP(A155,[1]Base!$A$11:$O$1264,15,FALSE)</f>
        <v>746.67655727554188</v>
      </c>
      <c r="G155">
        <f t="shared" si="2"/>
        <v>1</v>
      </c>
    </row>
    <row r="156" spans="1:7" x14ac:dyDescent="0.25">
      <c r="A156" s="36">
        <v>8507908</v>
      </c>
      <c r="B156" s="35" t="s">
        <v>317</v>
      </c>
      <c r="C156" s="63">
        <v>1</v>
      </c>
      <c r="D156" s="58">
        <f>+VLOOKUP(A156,[1]Base!$A$11:$O$1318,15,FALSE)</f>
        <v>11.968549342105263</v>
      </c>
      <c r="E156" s="58">
        <f>+VLOOKUP(A156,[1]Base!$A$11:$R$1579,18,FALSE)</f>
        <v>14.960686677631578</v>
      </c>
      <c r="F156" t="e">
        <f>+VLOOKUP(A156,[1]Base!$A$11:$O$1264,15,FALSE)</f>
        <v>#N/A</v>
      </c>
      <c r="G156" t="e">
        <f t="shared" si="2"/>
        <v>#N/A</v>
      </c>
    </row>
    <row r="157" spans="1:7" x14ac:dyDescent="0.25">
      <c r="A157" s="163">
        <v>3558005</v>
      </c>
      <c r="B157" s="260" t="s">
        <v>2170</v>
      </c>
      <c r="C157" s="327" t="s">
        <v>2167</v>
      </c>
      <c r="D157" s="58">
        <f>+VLOOKUP(A157,[1]Base!$A$11:$O$1318,15,FALSE)</f>
        <v>49.569089976780191</v>
      </c>
      <c r="E157" s="58">
        <f>+VLOOKUP(A157,[1]Base!$A$11:$R$1579,18,FALSE)</f>
        <v>61.961362470975239</v>
      </c>
      <c r="F157">
        <f>+VLOOKUP(A157,[1]Base!$A$11:$O$1264,15,FALSE)</f>
        <v>49.569089976780191</v>
      </c>
      <c r="G157">
        <f t="shared" si="2"/>
        <v>1</v>
      </c>
    </row>
    <row r="158" spans="1:7" x14ac:dyDescent="0.25">
      <c r="A158" s="38">
        <v>3558406</v>
      </c>
      <c r="B158" s="37" t="s">
        <v>1605</v>
      </c>
      <c r="C158" s="63">
        <v>1</v>
      </c>
      <c r="D158" s="58">
        <f>+VLOOKUP(A158,[1]Base!$A$11:$O$1318,15,FALSE)</f>
        <v>16.010216331269348</v>
      </c>
      <c r="E158" s="58">
        <f>+VLOOKUP(A158,[1]Base!$A$11:$R$1579,18,FALSE)</f>
        <v>20.012770414086685</v>
      </c>
      <c r="F158">
        <f>+VLOOKUP(A158,[1]Base!$A$11:$O$1264,15,FALSE)</f>
        <v>16.010216331269348</v>
      </c>
      <c r="G158">
        <f t="shared" si="2"/>
        <v>1</v>
      </c>
    </row>
    <row r="159" spans="1:7" x14ac:dyDescent="0.25">
      <c r="A159" s="387">
        <v>4026125</v>
      </c>
      <c r="B159" s="260" t="s">
        <v>1968</v>
      </c>
      <c r="C159" s="327">
        <v>5</v>
      </c>
      <c r="D159" s="58">
        <f>+VLOOKUP(A159,[1]Base!$A$11:$O$1318,15,FALSE)</f>
        <v>299.99599167956649</v>
      </c>
      <c r="E159" s="58">
        <f>+VLOOKUP(A159,[1]Base!$A$11:$R$1579,18,FALSE)</f>
        <v>374.99498959945811</v>
      </c>
      <c r="F159">
        <f>+VLOOKUP(A159,[1]Base!$A$11:$O$1264,15,FALSE)</f>
        <v>299.99599167956649</v>
      </c>
      <c r="G159">
        <f t="shared" si="2"/>
        <v>1</v>
      </c>
    </row>
    <row r="160" spans="1:7" x14ac:dyDescent="0.25">
      <c r="A160" s="36">
        <v>8502367</v>
      </c>
      <c r="B160" s="35" t="s">
        <v>270</v>
      </c>
      <c r="C160" s="63">
        <v>1</v>
      </c>
      <c r="D160" s="58">
        <f>+VLOOKUP(A160,[1]Base!$A$11:$O$1318,15,FALSE)</f>
        <v>177.46829373065015</v>
      </c>
      <c r="E160" s="58">
        <f>+VLOOKUP(A160,[1]Base!$A$11:$R$1579,18,FALSE)</f>
        <v>221.83536716331267</v>
      </c>
      <c r="F160">
        <f>+VLOOKUP(A160,[1]Base!$A$11:$O$1264,15,FALSE)</f>
        <v>177.46829373065015</v>
      </c>
      <c r="G160">
        <f t="shared" si="2"/>
        <v>1</v>
      </c>
    </row>
    <row r="161" spans="1:7" x14ac:dyDescent="0.25">
      <c r="A161" s="38">
        <v>3559316</v>
      </c>
      <c r="B161" s="37" t="s">
        <v>145</v>
      </c>
      <c r="C161" s="63">
        <v>1</v>
      </c>
      <c r="D161" s="58">
        <f>+VLOOKUP(A161,[1]Base!$A$11:$O$1318,15,FALSE)</f>
        <v>247.94975096749226</v>
      </c>
      <c r="E161" s="58">
        <f>+VLOOKUP(A161,[1]Base!$A$11:$R$1579,18,FALSE)</f>
        <v>309.93718870936533</v>
      </c>
      <c r="F161">
        <f>+VLOOKUP(A161,[1]Base!$A$11:$O$1264,15,FALSE)</f>
        <v>247.94975096749226</v>
      </c>
      <c r="G161">
        <f t="shared" si="2"/>
        <v>1</v>
      </c>
    </row>
    <row r="162" spans="1:7" x14ac:dyDescent="0.25">
      <c r="A162" s="38">
        <v>8584771</v>
      </c>
      <c r="B162" s="37" t="s">
        <v>1727</v>
      </c>
      <c r="C162" s="63">
        <v>1</v>
      </c>
      <c r="D162" s="58">
        <f>+VLOOKUP(A162,[1]Base!$A$11:$O$1318,15,FALSE)</f>
        <v>249.85324574303405</v>
      </c>
      <c r="E162" s="58">
        <f>+VLOOKUP(A162,[1]Base!$A$11:$R$1579,18,FALSE)</f>
        <v>312.31655717879255</v>
      </c>
      <c r="F162">
        <f>+VLOOKUP(A162,[1]Base!$A$11:$O$1264,15,FALSE)</f>
        <v>249.85324574303405</v>
      </c>
      <c r="G162">
        <f t="shared" si="2"/>
        <v>1</v>
      </c>
    </row>
    <row r="163" spans="1:7" x14ac:dyDescent="0.25">
      <c r="A163" s="36">
        <v>8507905</v>
      </c>
      <c r="B163" s="35" t="s">
        <v>316</v>
      </c>
      <c r="C163" s="63">
        <v>1</v>
      </c>
      <c r="D163" s="58">
        <f>+VLOOKUP(A163,[1]Base!$A$11:$O$1318,15,FALSE)</f>
        <v>1.6948926083591329</v>
      </c>
      <c r="E163" s="58">
        <f>+VLOOKUP(A163,[1]Base!$A$11:$R$1579,18,FALSE)</f>
        <v>2.118615760448916</v>
      </c>
      <c r="F163">
        <f>+VLOOKUP(A163,[1]Base!$A$11:$O$1264,15,FALSE)</f>
        <v>1.6948926083591329</v>
      </c>
      <c r="G163">
        <f t="shared" si="2"/>
        <v>1</v>
      </c>
    </row>
    <row r="164" spans="1:7" x14ac:dyDescent="0.25">
      <c r="A164" s="38">
        <v>8518190</v>
      </c>
      <c r="B164" s="37" t="s">
        <v>1694</v>
      </c>
      <c r="C164" s="63"/>
      <c r="D164" s="58">
        <f>+VLOOKUP(A164,[1]Base!$A$11:$O$1318,15,FALSE)</f>
        <v>84.144899187306507</v>
      </c>
      <c r="E164" s="58">
        <f>+VLOOKUP(A164,[1]Base!$A$11:$R$1579,18,FALSE)</f>
        <v>105.18112398413312</v>
      </c>
      <c r="F164">
        <f>+VLOOKUP(A164,[1]Base!$A$11:$O$1264,15,FALSE)</f>
        <v>84.144899187306507</v>
      </c>
      <c r="G164">
        <f t="shared" si="2"/>
        <v>1</v>
      </c>
    </row>
    <row r="165" spans="1:7" x14ac:dyDescent="0.25">
      <c r="A165" s="36">
        <v>8519958</v>
      </c>
      <c r="B165" s="35" t="s">
        <v>441</v>
      </c>
      <c r="C165" s="63">
        <v>1</v>
      </c>
      <c r="D165" s="58">
        <f>+VLOOKUP(A165,[1]Base!$A$11:$O$1318,15,FALSE)</f>
        <v>9.0741942724458209</v>
      </c>
      <c r="E165" s="58">
        <f>+VLOOKUP(A165,[1]Base!$A$11:$R$1579,18,FALSE)</f>
        <v>11.342742840557275</v>
      </c>
      <c r="F165" t="e">
        <f>+VLOOKUP(A165,[1]Base!$A$11:$O$1264,15,FALSE)</f>
        <v>#N/A</v>
      </c>
      <c r="G165" t="e">
        <f t="shared" si="2"/>
        <v>#N/A</v>
      </c>
    </row>
    <row r="166" spans="1:7" x14ac:dyDescent="0.25">
      <c r="A166" s="36">
        <v>8500819</v>
      </c>
      <c r="B166" s="35" t="s">
        <v>249</v>
      </c>
      <c r="C166" s="63">
        <v>1</v>
      </c>
      <c r="D166" s="58">
        <f>+VLOOKUP(A166,[1]Base!$A$11:$O$1318,15,FALSE)</f>
        <v>28.030916215170276</v>
      </c>
      <c r="E166" s="58">
        <f>+VLOOKUP(A166,[1]Base!$A$11:$R$1579,18,FALSE)</f>
        <v>35.038645268962846</v>
      </c>
      <c r="F166">
        <f>+VLOOKUP(A166,[1]Base!$A$11:$O$1264,15,FALSE)</f>
        <v>28.030916215170276</v>
      </c>
      <c r="G166">
        <f t="shared" si="2"/>
        <v>1</v>
      </c>
    </row>
    <row r="167" spans="1:7" x14ac:dyDescent="0.25">
      <c r="A167" s="38">
        <v>3557988</v>
      </c>
      <c r="B167" s="37" t="s">
        <v>1600</v>
      </c>
      <c r="C167" s="63">
        <v>1</v>
      </c>
      <c r="D167" s="58">
        <f>+VLOOKUP(A167,[1]Base!$A$11:$O$1318,15,FALSE)</f>
        <v>111.96721323529412</v>
      </c>
      <c r="E167" s="58">
        <f>+VLOOKUP(A167,[1]Base!$A$11:$R$1579,18,FALSE)</f>
        <v>139.95901654411765</v>
      </c>
      <c r="F167">
        <f>+VLOOKUP(A167,[1]Base!$A$11:$O$1264,15,FALSE)</f>
        <v>111.96721323529412</v>
      </c>
      <c r="G167">
        <f t="shared" si="2"/>
        <v>1</v>
      </c>
    </row>
    <row r="168" spans="1:7" x14ac:dyDescent="0.25">
      <c r="A168" s="38">
        <v>3558862</v>
      </c>
      <c r="B168" s="37" t="s">
        <v>1609</v>
      </c>
      <c r="C168" s="63">
        <v>1</v>
      </c>
      <c r="D168" s="58">
        <f>+VLOOKUP(A168,[1]Base!$A$11:$O$1318,15,FALSE)</f>
        <v>34.210755417956648</v>
      </c>
      <c r="E168" s="58">
        <f>+VLOOKUP(A168,[1]Base!$A$11:$R$1579,18,FALSE)</f>
        <v>42.76344427244581</v>
      </c>
      <c r="F168">
        <f>+VLOOKUP(A168,[1]Base!$A$11:$O$1264,15,FALSE)</f>
        <v>34.210755417956648</v>
      </c>
      <c r="G168">
        <f t="shared" si="2"/>
        <v>1</v>
      </c>
    </row>
    <row r="169" spans="1:7" x14ac:dyDescent="0.25">
      <c r="A169" s="38">
        <v>8582929</v>
      </c>
      <c r="B169" s="37" t="s">
        <v>1721</v>
      </c>
      <c r="C169" s="63">
        <v>1</v>
      </c>
      <c r="D169" s="58">
        <f>+VLOOKUP(A169,[1]Base!$A$11:$O$1318,15,FALSE)</f>
        <v>43.258874419504643</v>
      </c>
      <c r="E169" s="58">
        <f>+VLOOKUP(A169,[1]Base!$A$11:$R$1579,18,FALSE)</f>
        <v>54.073593024380799</v>
      </c>
      <c r="F169">
        <f>+VLOOKUP(A169,[1]Base!$A$11:$O$1264,15,FALSE)</f>
        <v>43.258874419504643</v>
      </c>
      <c r="G169">
        <f t="shared" si="2"/>
        <v>1</v>
      </c>
    </row>
    <row r="170" spans="1:7" x14ac:dyDescent="0.25">
      <c r="A170" s="163">
        <v>3558294</v>
      </c>
      <c r="B170" s="260" t="s">
        <v>2171</v>
      </c>
      <c r="C170" s="327" t="s">
        <v>2167</v>
      </c>
      <c r="D170" s="58">
        <f>+VLOOKUP(A170,[1]Base!$A$11:$O$1318,15,FALSE)</f>
        <v>102.03253502321981</v>
      </c>
      <c r="E170" s="58">
        <f>+VLOOKUP(A170,[1]Base!$A$11:$R$1579,18,FALSE)</f>
        <v>127.54066877902476</v>
      </c>
      <c r="F170">
        <f>+VLOOKUP(A170,[1]Base!$A$11:$O$1264,15,FALSE)</f>
        <v>102.03253502321981</v>
      </c>
      <c r="G170">
        <f t="shared" si="2"/>
        <v>1</v>
      </c>
    </row>
    <row r="171" spans="1:7" x14ac:dyDescent="0.25">
      <c r="A171" s="387">
        <v>4026126</v>
      </c>
      <c r="B171" s="260" t="s">
        <v>1964</v>
      </c>
      <c r="C171" s="327">
        <v>4</v>
      </c>
      <c r="D171" s="58">
        <f>+VLOOKUP(A171,[1]Base!$A$11:$O$1318,15,FALSE)</f>
        <v>17.001076625386993</v>
      </c>
      <c r="E171" s="58">
        <f>+VLOOKUP(A171,[1]Base!$A$11:$R$1579,18,FALSE)</f>
        <v>21.25134578173374</v>
      </c>
      <c r="F171">
        <f>+VLOOKUP(A171,[1]Base!$A$11:$O$1264,15,FALSE)</f>
        <v>17.001076625386993</v>
      </c>
      <c r="G171">
        <f t="shared" si="2"/>
        <v>1</v>
      </c>
    </row>
    <row r="172" spans="1:7" x14ac:dyDescent="0.25">
      <c r="A172" s="163">
        <v>3562334</v>
      </c>
      <c r="B172" s="260" t="s">
        <v>2168</v>
      </c>
      <c r="C172" s="327" t="s">
        <v>2167</v>
      </c>
      <c r="D172" s="58">
        <f>+VLOOKUP(A172,[1]Base!$A$11:$O$1318,15,FALSE)</f>
        <v>526.40756888544888</v>
      </c>
      <c r="E172" s="58">
        <f>+VLOOKUP(A172,[1]Base!$A$11:$R$1579,18,FALSE)</f>
        <v>658.00946110681105</v>
      </c>
      <c r="F172">
        <f>+VLOOKUP(A172,[1]Base!$A$11:$O$1264,15,FALSE)</f>
        <v>526.40756888544888</v>
      </c>
      <c r="G172">
        <f t="shared" si="2"/>
        <v>1</v>
      </c>
    </row>
    <row r="173" spans="1:7" x14ac:dyDescent="0.25">
      <c r="A173" s="36">
        <v>8512564</v>
      </c>
      <c r="B173" s="35" t="s">
        <v>363</v>
      </c>
      <c r="C173" s="63">
        <v>1</v>
      </c>
      <c r="D173" s="58">
        <f>+VLOOKUP(A173,[1]Base!$A$11:$O$1318,15,FALSE)</f>
        <v>589.74440189628478</v>
      </c>
      <c r="E173" s="58">
        <f>+VLOOKUP(A173,[1]Base!$A$11:$R$1579,18,FALSE)</f>
        <v>737.18050237035595</v>
      </c>
      <c r="F173">
        <f>+VLOOKUP(A173,[1]Base!$A$11:$O$1264,15,FALSE)</f>
        <v>589.74440189628478</v>
      </c>
      <c r="G173">
        <f t="shared" si="2"/>
        <v>1</v>
      </c>
    </row>
    <row r="174" spans="1:7" x14ac:dyDescent="0.25">
      <c r="A174" s="38">
        <v>8511316</v>
      </c>
      <c r="B174" s="37" t="s">
        <v>1671</v>
      </c>
      <c r="C174" s="63"/>
      <c r="D174" s="58">
        <f>+VLOOKUP(A174,[1]Base!$A$11:$O$1318,15,FALSE)</f>
        <v>141.79732314241488</v>
      </c>
      <c r="E174" s="58">
        <f>+VLOOKUP(A174,[1]Base!$A$11:$R$1579,18,FALSE)</f>
        <v>177.24665392801859</v>
      </c>
      <c r="F174">
        <f>+VLOOKUP(A174,[1]Base!$A$11:$O$1264,15,FALSE)</f>
        <v>141.79732314241488</v>
      </c>
      <c r="G174">
        <f t="shared" si="2"/>
        <v>1</v>
      </c>
    </row>
    <row r="175" spans="1:7" x14ac:dyDescent="0.25">
      <c r="A175" s="36">
        <v>8516146</v>
      </c>
      <c r="B175" s="35" t="s">
        <v>403</v>
      </c>
      <c r="C175" s="63">
        <v>1</v>
      </c>
      <c r="D175" s="58">
        <f>+VLOOKUP(A175,[1]Base!$A$11:$O$1318,15,FALSE)</f>
        <v>43.936831462848311</v>
      </c>
      <c r="E175" s="58">
        <f>+VLOOKUP(A175,[1]Base!$A$11:$R$1579,18,FALSE)</f>
        <v>54.921039328560383</v>
      </c>
      <c r="F175">
        <f>+VLOOKUP(A175,[1]Base!$A$11:$O$1264,15,FALSE)</f>
        <v>43.936831462848311</v>
      </c>
      <c r="G175">
        <f t="shared" si="2"/>
        <v>1</v>
      </c>
    </row>
    <row r="176" spans="1:7" x14ac:dyDescent="0.25">
      <c r="A176" s="36">
        <v>8502404</v>
      </c>
      <c r="B176" s="35" t="s">
        <v>271</v>
      </c>
      <c r="C176" s="63">
        <v>1</v>
      </c>
      <c r="D176" s="58">
        <f>+VLOOKUP(A176,[1]Base!$A$11:$O$1318,15,FALSE)</f>
        <v>177.46829373065015</v>
      </c>
      <c r="E176" s="58">
        <f>+VLOOKUP(A176,[1]Base!$A$11:$R$1579,18,FALSE)</f>
        <v>221.83536716331267</v>
      </c>
      <c r="F176">
        <f>+VLOOKUP(A176,[1]Base!$A$11:$O$1264,15,FALSE)</f>
        <v>177.46829373065015</v>
      </c>
      <c r="G176">
        <f t="shared" si="2"/>
        <v>1</v>
      </c>
    </row>
    <row r="177" spans="1:7" x14ac:dyDescent="0.25">
      <c r="A177" s="36">
        <v>1997021</v>
      </c>
      <c r="B177" s="35" t="s">
        <v>89</v>
      </c>
      <c r="C177" s="63">
        <v>1</v>
      </c>
      <c r="D177" s="58">
        <f>+VLOOKUP(A177,[1]Base!$A$11:$O$1318,15,FALSE)</f>
        <v>2.0077958591331271</v>
      </c>
      <c r="E177" s="58">
        <f>+VLOOKUP(A177,[1]Base!$A$11:$R$1579,18,FALSE)</f>
        <v>2.5097448239164089</v>
      </c>
      <c r="F177">
        <f>+VLOOKUP(A177,[1]Base!$A$11:$O$1264,15,FALSE)</f>
        <v>2.0077958591331271</v>
      </c>
      <c r="G177">
        <f t="shared" si="2"/>
        <v>1</v>
      </c>
    </row>
    <row r="178" spans="1:7" x14ac:dyDescent="0.25">
      <c r="A178" s="387">
        <v>4026124</v>
      </c>
      <c r="B178" s="260" t="s">
        <v>1967</v>
      </c>
      <c r="C178" s="327">
        <v>32</v>
      </c>
      <c r="D178" s="58">
        <f>+VLOOKUP(A178,[1]Base!$A$11:$O$1318,15,FALSE)</f>
        <v>234.20808320433437</v>
      </c>
      <c r="E178" s="58">
        <f>+VLOOKUP(A178,[1]Base!$A$11:$R$1579,18,FALSE)</f>
        <v>292.76010400541793</v>
      </c>
      <c r="F178">
        <f>+VLOOKUP(A178,[1]Base!$A$11:$O$1264,15,FALSE)</f>
        <v>234.20808320433437</v>
      </c>
      <c r="G178">
        <f t="shared" si="2"/>
        <v>1</v>
      </c>
    </row>
    <row r="179" spans="1:7" x14ac:dyDescent="0.25">
      <c r="A179" s="36">
        <v>8510101</v>
      </c>
      <c r="B179" s="35" t="s">
        <v>335</v>
      </c>
      <c r="C179" s="63">
        <v>1</v>
      </c>
      <c r="D179" s="58">
        <f>+VLOOKUP(A179,[1]Base!$A$11:$O$1318,15,FALSE)</f>
        <v>3.4680110294117652</v>
      </c>
      <c r="E179" s="58">
        <f>+VLOOKUP(A179,[1]Base!$A$11:$R$1579,18,FALSE)</f>
        <v>3.8533455882352947</v>
      </c>
      <c r="F179">
        <f>+VLOOKUP(A179,[1]Base!$A$11:$O$1264,15,FALSE)</f>
        <v>3.4680110294117652</v>
      </c>
      <c r="G179">
        <f t="shared" si="2"/>
        <v>1</v>
      </c>
    </row>
    <row r="180" spans="1:7" x14ac:dyDescent="0.25">
      <c r="A180" s="36">
        <v>3556365</v>
      </c>
      <c r="B180" s="41" t="s">
        <v>110</v>
      </c>
      <c r="C180" s="63">
        <v>1</v>
      </c>
      <c r="D180" s="58">
        <f>+VLOOKUP(A180,[1]Base!$A$11:$O$1318,15,FALSE)</f>
        <v>2476.8899825851395</v>
      </c>
      <c r="E180" s="58">
        <f>+VLOOKUP(A180,[1]Base!$A$11:$R$1579,18,FALSE)</f>
        <v>3096.1124782314241</v>
      </c>
      <c r="F180">
        <f>+VLOOKUP(A180,[1]Base!$A$11:$O$1264,15,FALSE)</f>
        <v>2476.8899825851395</v>
      </c>
      <c r="G180">
        <f t="shared" si="2"/>
        <v>1</v>
      </c>
    </row>
    <row r="181" spans="1:7" x14ac:dyDescent="0.25">
      <c r="A181" s="36">
        <v>3555726</v>
      </c>
      <c r="B181" s="41" t="s">
        <v>103</v>
      </c>
      <c r="C181" s="63">
        <v>1</v>
      </c>
      <c r="D181" s="58">
        <f>+VLOOKUP(A181,[1]Base!$A$11:$O$1318,15,FALSE)</f>
        <v>2115.9560828173376</v>
      </c>
      <c r="E181" s="58">
        <f>+VLOOKUP(A181,[1]Base!$A$11:$R$1579,18,FALSE)</f>
        <v>2644.9451035216716</v>
      </c>
      <c r="F181">
        <f>+VLOOKUP(A181,[1]Base!$A$11:$O$1264,15,FALSE)</f>
        <v>2115.9560828173376</v>
      </c>
      <c r="G181">
        <f t="shared" si="2"/>
        <v>1</v>
      </c>
    </row>
    <row r="182" spans="1:7" x14ac:dyDescent="0.25">
      <c r="A182" s="38">
        <v>3556621</v>
      </c>
      <c r="B182" s="41" t="s">
        <v>1597</v>
      </c>
      <c r="C182" s="63"/>
      <c r="D182" s="58">
        <f>+VLOOKUP(A182,[1]Base!$A$11:$O$1318,15,FALSE)</f>
        <v>138.82474226006192</v>
      </c>
      <c r="E182" s="58">
        <f>+VLOOKUP(A182,[1]Base!$A$11:$R$1579,18,FALSE)</f>
        <v>173.53092782507738</v>
      </c>
      <c r="F182">
        <f>+VLOOKUP(A182,[1]Base!$A$11:$O$1264,15,FALSE)</f>
        <v>138.82474226006192</v>
      </c>
      <c r="G182">
        <f t="shared" si="2"/>
        <v>1</v>
      </c>
    </row>
    <row r="183" spans="1:7" x14ac:dyDescent="0.25">
      <c r="A183" s="36">
        <v>3556586</v>
      </c>
      <c r="B183" s="41" t="s">
        <v>113</v>
      </c>
      <c r="C183" s="63">
        <v>1</v>
      </c>
      <c r="D183" s="58">
        <f>+VLOOKUP(A183,[1]Base!$A$11:$O$1318,15,FALSE)</f>
        <v>4.6935487616099074</v>
      </c>
      <c r="E183" s="58">
        <f>+VLOOKUP(A183,[1]Base!$A$11:$R$1579,18,FALSE)</f>
        <v>5.8669359520123843</v>
      </c>
      <c r="F183">
        <f>+VLOOKUP(A183,[1]Base!$A$11:$O$1264,15,FALSE)</f>
        <v>4.6935487616099074</v>
      </c>
      <c r="G183">
        <f t="shared" si="2"/>
        <v>1</v>
      </c>
    </row>
    <row r="184" spans="1:7" x14ac:dyDescent="0.25">
      <c r="A184" s="163">
        <v>3558008</v>
      </c>
      <c r="B184" s="260" t="s">
        <v>2173</v>
      </c>
      <c r="C184" s="327" t="s">
        <v>2167</v>
      </c>
      <c r="D184" s="58">
        <f>+VLOOKUP(A184,[1]Base!$A$11:$O$1318,15,FALSE)</f>
        <v>51.863713815789467</v>
      </c>
      <c r="E184" s="58">
        <f>+VLOOKUP(A184,[1]Base!$A$11:$R$1579,18,FALSE)</f>
        <v>64.829642269736823</v>
      </c>
      <c r="F184">
        <f>+VLOOKUP(A184,[1]Base!$A$11:$O$1264,15,FALSE)</f>
        <v>51.863713815789467</v>
      </c>
      <c r="G184">
        <f t="shared" si="2"/>
        <v>1</v>
      </c>
    </row>
    <row r="185" spans="1:7" x14ac:dyDescent="0.25">
      <c r="A185" s="163">
        <v>3558009</v>
      </c>
      <c r="B185" s="260" t="s">
        <v>2172</v>
      </c>
      <c r="C185" s="327" t="s">
        <v>2167</v>
      </c>
      <c r="D185" s="58">
        <f>+VLOOKUP(A185,[1]Base!$A$11:$O$1318,15,FALSE)</f>
        <v>51.811563273993812</v>
      </c>
      <c r="E185" s="58">
        <f>+VLOOKUP(A185,[1]Base!$A$11:$R$1579,18,FALSE)</f>
        <v>64.764454092492258</v>
      </c>
      <c r="F185">
        <f>+VLOOKUP(A185,[1]Base!$A$11:$O$1264,15,FALSE)</f>
        <v>51.811563273993812</v>
      </c>
      <c r="G185">
        <f t="shared" si="2"/>
        <v>1</v>
      </c>
    </row>
    <row r="186" spans="1:7" x14ac:dyDescent="0.25">
      <c r="A186" s="168">
        <v>3559117</v>
      </c>
      <c r="B186" s="260" t="s">
        <v>2176</v>
      </c>
      <c r="C186" s="327" t="s">
        <v>2167</v>
      </c>
      <c r="D186" s="58">
        <f>+VLOOKUP(A186,[1]Base!$A$11:$O$1318,15,FALSE)</f>
        <v>664.55435410216728</v>
      </c>
      <c r="E186" s="58">
        <f>+VLOOKUP(A186,[1]Base!$A$11:$R$1579,18,FALSE)</f>
        <v>830.69294262770904</v>
      </c>
      <c r="F186">
        <f>+VLOOKUP(A186,[1]Base!$A$11:$O$1264,15,FALSE)</f>
        <v>664.55435410216728</v>
      </c>
      <c r="G186">
        <f t="shared" si="2"/>
        <v>1</v>
      </c>
    </row>
    <row r="187" spans="1:7" x14ac:dyDescent="0.25">
      <c r="A187" s="36">
        <v>8513544</v>
      </c>
      <c r="B187" s="35" t="s">
        <v>382</v>
      </c>
      <c r="C187" s="63">
        <v>1</v>
      </c>
      <c r="D187" s="58">
        <f>+VLOOKUP(A187,[1]Base!$A$11:$O$1318,15,FALSE)</f>
        <v>178.68650154798763</v>
      </c>
      <c r="E187" s="58">
        <f>+VLOOKUP(A187,[1]Base!$A$11:$R$1579,18,FALSE)</f>
        <v>210.21941358586781</v>
      </c>
      <c r="F187">
        <f>+VLOOKUP(A187,[1]Base!$A$11:$O$1264,15,FALSE)</f>
        <v>178.68650154798763</v>
      </c>
      <c r="G187">
        <f t="shared" si="2"/>
        <v>1</v>
      </c>
    </row>
    <row r="188" spans="1:7" x14ac:dyDescent="0.25">
      <c r="A188" s="38">
        <v>8515851</v>
      </c>
      <c r="B188" s="37" t="s">
        <v>1685</v>
      </c>
      <c r="C188" s="63"/>
      <c r="D188" s="58">
        <f>+VLOOKUP(A188,[1]Base!$A$11:$O$1318,15,FALSE)</f>
        <v>285.18523780959754</v>
      </c>
      <c r="E188" s="58">
        <f>+VLOOKUP(A188,[1]Base!$A$11:$R$1579,18,FALSE)</f>
        <v>356.48154726199692</v>
      </c>
      <c r="F188">
        <f>+VLOOKUP(A188,[1]Base!$A$11:$O$1264,15,FALSE)</f>
        <v>285.18523780959754</v>
      </c>
      <c r="G188">
        <f t="shared" si="2"/>
        <v>1</v>
      </c>
    </row>
    <row r="189" spans="1:7" x14ac:dyDescent="0.25">
      <c r="A189" s="38">
        <v>4015908</v>
      </c>
      <c r="B189" s="37" t="s">
        <v>1621</v>
      </c>
      <c r="C189" s="63">
        <v>1</v>
      </c>
      <c r="D189" s="58">
        <f>+VLOOKUP(A189,[1]Base!$A$11:$O$1318,15,FALSE)</f>
        <v>993.80679972910218</v>
      </c>
      <c r="E189" s="58">
        <f>+VLOOKUP(A189,[1]Base!$A$11:$R$1579,18,FALSE)</f>
        <v>1242.2584996613778</v>
      </c>
      <c r="F189">
        <f>+VLOOKUP(A189,[1]Base!$A$11:$O$1264,15,FALSE)</f>
        <v>993.80679972910218</v>
      </c>
      <c r="G189">
        <f t="shared" si="2"/>
        <v>1</v>
      </c>
    </row>
    <row r="190" spans="1:7" x14ac:dyDescent="0.25">
      <c r="A190" s="38">
        <v>3559186</v>
      </c>
      <c r="B190" s="37" t="s">
        <v>1611</v>
      </c>
      <c r="C190" s="63">
        <v>1</v>
      </c>
      <c r="D190" s="58">
        <f>+VLOOKUP(A190,[1]Base!$A$11:$O$1318,15,FALSE)</f>
        <v>771.09791099071197</v>
      </c>
      <c r="E190" s="58">
        <f>+VLOOKUP(A190,[1]Base!$A$11:$R$1579,18,FALSE)</f>
        <v>963.87238873838987</v>
      </c>
      <c r="F190">
        <f>+VLOOKUP(A190,[1]Base!$A$11:$O$1264,15,FALSE)</f>
        <v>771.09791099071197</v>
      </c>
      <c r="G190">
        <f t="shared" si="2"/>
        <v>1</v>
      </c>
    </row>
    <row r="191" spans="1:7" x14ac:dyDescent="0.25">
      <c r="A191" s="38">
        <v>8500946</v>
      </c>
      <c r="B191" s="37" t="s">
        <v>1646</v>
      </c>
      <c r="C191" s="63"/>
      <c r="D191" s="58">
        <f>+VLOOKUP(A191,[1]Base!$A$11:$O$1318,15,FALSE)</f>
        <v>870.62722000773999</v>
      </c>
      <c r="E191" s="58">
        <f>+VLOOKUP(A191,[1]Base!$A$11:$R$1579,18,FALSE)</f>
        <v>1088.2840250096749</v>
      </c>
      <c r="F191">
        <f>+VLOOKUP(A191,[1]Base!$A$11:$O$1264,15,FALSE)</f>
        <v>870.62722000773999</v>
      </c>
      <c r="G191">
        <f t="shared" si="2"/>
        <v>1</v>
      </c>
    </row>
    <row r="192" spans="1:7" x14ac:dyDescent="0.25">
      <c r="A192" s="36">
        <v>8500859</v>
      </c>
      <c r="B192" s="35" t="s">
        <v>254</v>
      </c>
      <c r="C192" s="63">
        <v>1</v>
      </c>
      <c r="D192" s="58">
        <f>+VLOOKUP(A192,[1]Base!$A$11:$O$1318,15,FALSE)</f>
        <v>226.07259868421056</v>
      </c>
      <c r="E192" s="58">
        <f>+VLOOKUP(A192,[1]Base!$A$11:$R$1579,18,FALSE)</f>
        <v>282.5907483552632</v>
      </c>
      <c r="F192" t="e">
        <f>+VLOOKUP(A192,[1]Base!$A$11:$O$1264,15,FALSE)</f>
        <v>#N/A</v>
      </c>
      <c r="G192" t="e">
        <f t="shared" si="2"/>
        <v>#N/A</v>
      </c>
    </row>
    <row r="193" spans="1:7" x14ac:dyDescent="0.25">
      <c r="A193" s="36">
        <v>8513975</v>
      </c>
      <c r="B193" s="35" t="s">
        <v>386</v>
      </c>
      <c r="C193" s="63">
        <v>1</v>
      </c>
      <c r="D193" s="58">
        <f>+VLOOKUP(A193,[1]Base!$A$11:$O$1318,15,FALSE)</f>
        <v>524.29433823529416</v>
      </c>
      <c r="E193" s="58">
        <f>+VLOOKUP(A193,[1]Base!$A$11:$R$1579,18,FALSE)</f>
        <v>655.3679227941177</v>
      </c>
      <c r="F193">
        <f>+VLOOKUP(A193,[1]Base!$A$11:$O$1264,15,FALSE)</f>
        <v>524.29433823529416</v>
      </c>
      <c r="G193">
        <f t="shared" si="2"/>
        <v>1</v>
      </c>
    </row>
    <row r="194" spans="1:7" x14ac:dyDescent="0.25">
      <c r="A194" s="36">
        <v>8500389</v>
      </c>
      <c r="B194" s="35" t="s">
        <v>233</v>
      </c>
      <c r="C194" s="63">
        <v>1</v>
      </c>
      <c r="D194" s="58">
        <f>+VLOOKUP(A194,[1]Base!$A$11:$O$1318,15,FALSE)</f>
        <v>325.65405824303406</v>
      </c>
      <c r="E194" s="58">
        <f>+VLOOKUP(A194,[1]Base!$A$11:$R$1579,18,FALSE)</f>
        <v>407.06757280379253</v>
      </c>
      <c r="F194">
        <f>+VLOOKUP(A194,[1]Base!$A$11:$O$1264,15,FALSE)</f>
        <v>325.65405824303406</v>
      </c>
      <c r="G194">
        <f t="shared" si="2"/>
        <v>1</v>
      </c>
    </row>
    <row r="195" spans="1:7" x14ac:dyDescent="0.25">
      <c r="A195" s="36" t="s">
        <v>642</v>
      </c>
      <c r="B195" s="35" t="s">
        <v>643</v>
      </c>
      <c r="C195" s="63">
        <v>1</v>
      </c>
      <c r="D195" s="58">
        <f>+VLOOKUP(A195,[1]Base!$A$11:$O$1318,15,FALSE)</f>
        <v>5.2746547987616115</v>
      </c>
      <c r="E195" s="58">
        <f>+VLOOKUP(A195,[1]Base!$A$11:$R$1579,18,FALSE)</f>
        <v>6.5933184984520139</v>
      </c>
      <c r="F195">
        <f>+VLOOKUP(A195,[1]Base!$A$11:$O$1264,15,FALSE)</f>
        <v>5.2746547987616115</v>
      </c>
      <c r="G195">
        <f t="shared" si="2"/>
        <v>1</v>
      </c>
    </row>
    <row r="196" spans="1:7" x14ac:dyDescent="0.25">
      <c r="A196" s="38">
        <v>3556229</v>
      </c>
      <c r="B196" s="41" t="s">
        <v>1595</v>
      </c>
      <c r="C196" s="63"/>
      <c r="D196" s="58">
        <f>+VLOOKUP(A196,[1]Base!$A$11:$O$1318,15,FALSE)</f>
        <v>9.700000773993807</v>
      </c>
      <c r="E196" s="58">
        <f>+VLOOKUP(A196,[1]Base!$A$11:$R$1579,18,FALSE)</f>
        <v>12.125000967492259</v>
      </c>
      <c r="F196">
        <f>+VLOOKUP(A196,[1]Base!$A$11:$O$1264,15,FALSE)</f>
        <v>9.700000773993807</v>
      </c>
      <c r="G196">
        <f t="shared" ref="G196:G259" si="3">+F196/D196</f>
        <v>1</v>
      </c>
    </row>
    <row r="197" spans="1:7" x14ac:dyDescent="0.25">
      <c r="A197" s="36">
        <v>3556377</v>
      </c>
      <c r="B197" s="41" t="s">
        <v>112</v>
      </c>
      <c r="C197" s="63">
        <v>1</v>
      </c>
      <c r="D197" s="58">
        <f>+VLOOKUP(A197,[1]Base!$A$11:$O$1318,15,FALSE)</f>
        <v>262.55190267027865</v>
      </c>
      <c r="E197" s="58">
        <f>+VLOOKUP(A197,[1]Base!$A$11:$R$1579,18,FALSE)</f>
        <v>328.18987833784831</v>
      </c>
      <c r="F197">
        <f>+VLOOKUP(A197,[1]Base!$A$11:$O$1264,15,FALSE)</f>
        <v>262.55190267027865</v>
      </c>
      <c r="G197">
        <f t="shared" si="3"/>
        <v>1</v>
      </c>
    </row>
    <row r="198" spans="1:7" x14ac:dyDescent="0.25">
      <c r="A198" s="38">
        <v>8506854</v>
      </c>
      <c r="B198" s="37" t="s">
        <v>10</v>
      </c>
      <c r="C198" s="63">
        <v>1</v>
      </c>
      <c r="D198" s="58">
        <f>+VLOOKUP(A198,[1]Base!$A$11:$O$1318,15,FALSE)</f>
        <v>23.415593266253868</v>
      </c>
      <c r="E198" s="58">
        <f>+VLOOKUP(A198,[1]Base!$A$11:$R$1579,18,FALSE)</f>
        <v>29.269491582817334</v>
      </c>
      <c r="F198">
        <f>+VLOOKUP(A198,[1]Base!$A$11:$O$1264,15,FALSE)</f>
        <v>23.415593266253868</v>
      </c>
      <c r="G198">
        <f t="shared" si="3"/>
        <v>1</v>
      </c>
    </row>
    <row r="199" spans="1:7" x14ac:dyDescent="0.25">
      <c r="A199" s="36">
        <v>8507938</v>
      </c>
      <c r="B199" s="35" t="s">
        <v>320</v>
      </c>
      <c r="C199" s="63">
        <v>1</v>
      </c>
      <c r="D199" s="58">
        <f>+VLOOKUP(A199,[1]Base!$A$11:$O$1318,15,FALSE)</f>
        <v>30.820970201238389</v>
      </c>
      <c r="E199" s="58">
        <f>+VLOOKUP(A199,[1]Base!$A$11:$R$1579,18,FALSE)</f>
        <v>38.52621275154798</v>
      </c>
      <c r="F199">
        <f>+VLOOKUP(A199,[1]Base!$A$11:$O$1264,15,FALSE)</f>
        <v>30.820970201238389</v>
      </c>
      <c r="G199">
        <f t="shared" si="3"/>
        <v>1</v>
      </c>
    </row>
    <row r="200" spans="1:7" x14ac:dyDescent="0.25">
      <c r="A200" s="163">
        <v>8506213</v>
      </c>
      <c r="B200" s="260" t="s">
        <v>1947</v>
      </c>
      <c r="C200" s="327">
        <v>1</v>
      </c>
      <c r="D200" s="58">
        <f>+VLOOKUP(A200,[1]Base!$A$11:$O$1318,15,FALSE)</f>
        <v>20.938442530959751</v>
      </c>
      <c r="E200" s="58">
        <f>+VLOOKUP(A200,[1]Base!$A$11:$R$1579,18,FALSE)</f>
        <v>26.173053163699688</v>
      </c>
      <c r="F200">
        <f>+VLOOKUP(A200,[1]Base!$A$11:$O$1264,15,FALSE)</f>
        <v>20.938442530959751</v>
      </c>
      <c r="G200">
        <f t="shared" si="3"/>
        <v>1</v>
      </c>
    </row>
    <row r="201" spans="1:7" x14ac:dyDescent="0.25">
      <c r="A201" s="38">
        <v>3559530</v>
      </c>
      <c r="B201" s="37" t="s">
        <v>1616</v>
      </c>
      <c r="C201" s="63">
        <v>1</v>
      </c>
      <c r="D201" s="58">
        <f>+VLOOKUP(A201,[1]Base!$A$11:$O$1318,15,FALSE)</f>
        <v>2786.0644696207432</v>
      </c>
      <c r="E201" s="58">
        <f>+VLOOKUP(A201,[1]Base!$A$11:$R$1579,18,FALSE)</f>
        <v>3482.5805870259287</v>
      </c>
      <c r="F201">
        <f>+VLOOKUP(A201,[1]Base!$A$11:$O$1264,15,FALSE)</f>
        <v>2786.0644696207432</v>
      </c>
      <c r="G201">
        <f t="shared" si="3"/>
        <v>1</v>
      </c>
    </row>
    <row r="202" spans="1:7" x14ac:dyDescent="0.25">
      <c r="A202" s="36" t="s">
        <v>638</v>
      </c>
      <c r="B202" s="35" t="s">
        <v>639</v>
      </c>
      <c r="C202" s="63">
        <v>1</v>
      </c>
      <c r="D202" s="58">
        <f>+VLOOKUP(A202,[1]Base!$A$11:$O$1318,15,FALSE)</f>
        <v>40.766823529411766</v>
      </c>
      <c r="E202" s="58">
        <f>+VLOOKUP(A202,[1]Base!$A$11:$R$1579,18,FALSE)</f>
        <v>50.958529411764708</v>
      </c>
      <c r="F202">
        <f>+VLOOKUP(A202,[1]Base!$A$11:$O$1264,15,FALSE)</f>
        <v>40.766823529411766</v>
      </c>
      <c r="G202">
        <f t="shared" si="3"/>
        <v>1</v>
      </c>
    </row>
    <row r="203" spans="1:7" x14ac:dyDescent="0.25">
      <c r="A203" s="157">
        <v>8589423</v>
      </c>
      <c r="B203" s="37" t="s">
        <v>1729</v>
      </c>
      <c r="C203" s="63">
        <v>1</v>
      </c>
      <c r="D203" s="58">
        <f>+VLOOKUP(A203,[1]Base!$A$11:$O$1318,15,FALSE)</f>
        <v>19.582528444272445</v>
      </c>
      <c r="E203" s="58">
        <f>+VLOOKUP(A203,[1]Base!$A$11:$R$1579,18,FALSE)</f>
        <v>24.478160555340555</v>
      </c>
      <c r="F203">
        <f>+VLOOKUP(A203,[1]Base!$A$11:$O$1264,15,FALSE)</f>
        <v>19.582528444272445</v>
      </c>
      <c r="G203">
        <f t="shared" si="3"/>
        <v>1</v>
      </c>
    </row>
    <row r="204" spans="1:7" x14ac:dyDescent="0.25">
      <c r="A204" s="36">
        <v>8517429</v>
      </c>
      <c r="B204" s="35" t="s">
        <v>410</v>
      </c>
      <c r="C204" s="63">
        <v>1</v>
      </c>
      <c r="D204" s="58">
        <f>+VLOOKUP(A204,[1]Base!$A$11:$O$1318,15,FALSE)</f>
        <v>145.26533417182662</v>
      </c>
      <c r="E204" s="58">
        <f>+VLOOKUP(A204,[1]Base!$A$11:$R$1579,18,FALSE)</f>
        <v>181.58166771478326</v>
      </c>
      <c r="F204">
        <f>+VLOOKUP(A204,[1]Base!$A$11:$O$1264,15,FALSE)</f>
        <v>145.26533417182662</v>
      </c>
      <c r="G204">
        <f t="shared" si="3"/>
        <v>1</v>
      </c>
    </row>
    <row r="205" spans="1:7" x14ac:dyDescent="0.25">
      <c r="A205" s="38" t="s">
        <v>608</v>
      </c>
      <c r="B205" s="37" t="s">
        <v>609</v>
      </c>
      <c r="C205" s="63"/>
      <c r="D205" s="58">
        <f>+VLOOKUP(A205,[1]Base!$A$11:$O$1318,15,FALSE)</f>
        <v>97.834416408668744</v>
      </c>
      <c r="E205" s="58">
        <f>+VLOOKUP(A205,[1]Base!$A$11:$R$1579,18,FALSE)</f>
        <v>122.29302051083593</v>
      </c>
      <c r="F205">
        <f>+VLOOKUP(A205,[1]Base!$A$11:$O$1264,15,FALSE)</f>
        <v>97.834416408668744</v>
      </c>
      <c r="G205">
        <f t="shared" si="3"/>
        <v>1</v>
      </c>
    </row>
    <row r="206" spans="1:7" x14ac:dyDescent="0.25">
      <c r="A206" s="36" t="s">
        <v>533</v>
      </c>
      <c r="B206" s="37" t="s">
        <v>1761</v>
      </c>
      <c r="C206" s="63">
        <v>260</v>
      </c>
      <c r="D206" s="58">
        <f>+VLOOKUP(A206,[1]Base!$A$11:$O$1318,15,FALSE)</f>
        <v>254.82482698961934</v>
      </c>
      <c r="E206" s="58">
        <f>+VLOOKUP(A206,[1]Base!$A$11:$R$1579,18,FALSE)</f>
        <v>339.76643598615914</v>
      </c>
      <c r="F206">
        <f>+VLOOKUP(A206,[1]Base!$A$11:$O$1264,15,FALSE)</f>
        <v>254.82482698961934</v>
      </c>
      <c r="G206">
        <f t="shared" si="3"/>
        <v>1</v>
      </c>
    </row>
    <row r="207" spans="1:7" x14ac:dyDescent="0.25">
      <c r="A207" s="38">
        <v>8516827</v>
      </c>
      <c r="B207" s="37" t="s">
        <v>1690</v>
      </c>
      <c r="C207" s="63"/>
      <c r="D207" s="58">
        <f>+VLOOKUP(A207,[1]Base!$A$11:$O$1318,15,FALSE)</f>
        <v>65.031725619195043</v>
      </c>
      <c r="E207" s="58">
        <f>+VLOOKUP(A207,[1]Base!$A$11:$R$1579,18,FALSE)</f>
        <v>81.289657023993797</v>
      </c>
      <c r="F207">
        <f>+VLOOKUP(A207,[1]Base!$A$11:$O$1264,15,FALSE)</f>
        <v>65.031725619195043</v>
      </c>
      <c r="G207">
        <f t="shared" si="3"/>
        <v>1</v>
      </c>
    </row>
    <row r="208" spans="1:7" x14ac:dyDescent="0.25">
      <c r="A208" s="38">
        <v>8519015</v>
      </c>
      <c r="B208" s="37" t="s">
        <v>1700</v>
      </c>
      <c r="C208" s="63"/>
      <c r="D208" s="58">
        <f>+VLOOKUP(A208,[1]Base!$A$11:$O$1318,15,FALSE)</f>
        <v>64.040865325077391</v>
      </c>
      <c r="E208" s="58">
        <f>+VLOOKUP(A208,[1]Base!$A$11:$R$1579,18,FALSE)</f>
        <v>80.051081656346739</v>
      </c>
      <c r="F208">
        <f>+VLOOKUP(A208,[1]Base!$A$11:$O$1264,15,FALSE)</f>
        <v>64.040865325077391</v>
      </c>
      <c r="G208">
        <f t="shared" si="3"/>
        <v>1</v>
      </c>
    </row>
    <row r="209" spans="1:7" x14ac:dyDescent="0.25">
      <c r="A209" s="38" t="s">
        <v>672</v>
      </c>
      <c r="B209" s="37" t="s">
        <v>1805</v>
      </c>
      <c r="C209" s="63"/>
      <c r="D209" s="58">
        <f>+VLOOKUP(A209,[1]Base!$A$11:$O$1318,15,FALSE)</f>
        <v>6.3884413699690397</v>
      </c>
      <c r="E209" s="58">
        <f>+VLOOKUP(A209,[1]Base!$A$11:$R$1579,18,FALSE)</f>
        <v>7.9855517124612989</v>
      </c>
      <c r="F209">
        <f>+VLOOKUP(A209,[1]Base!$A$11:$O$1264,15,FALSE)</f>
        <v>6.3884413699690397</v>
      </c>
      <c r="G209">
        <f t="shared" si="3"/>
        <v>1</v>
      </c>
    </row>
    <row r="210" spans="1:7" x14ac:dyDescent="0.25">
      <c r="A210" s="157">
        <v>322517</v>
      </c>
      <c r="B210" s="260" t="s">
        <v>2004</v>
      </c>
      <c r="C210" s="327" t="s">
        <v>2167</v>
      </c>
      <c r="D210" s="58">
        <f>+VLOOKUP(A210,[1]Base!$A$11:$O$1318,15,FALSE)</f>
        <v>48.161025348297201</v>
      </c>
      <c r="E210" s="58">
        <f>+VLOOKUP(A210,[1]Base!$A$11:$R$1579,18,FALSE)</f>
        <v>60.201281685371498</v>
      </c>
      <c r="F210">
        <f>+VLOOKUP(A210,[1]Base!$A$11:$O$1264,15,FALSE)</f>
        <v>48.161025348297201</v>
      </c>
      <c r="G210">
        <f t="shared" si="3"/>
        <v>1</v>
      </c>
    </row>
    <row r="211" spans="1:7" x14ac:dyDescent="0.25">
      <c r="A211" s="38">
        <v>8518782</v>
      </c>
      <c r="B211" s="37" t="s">
        <v>1699</v>
      </c>
      <c r="C211" s="63"/>
      <c r="D211" s="58">
        <f>+VLOOKUP(A211,[1]Base!$A$11:$O$1318,15,FALSE)</f>
        <v>53.011025735294112</v>
      </c>
      <c r="E211" s="58">
        <f>+VLOOKUP(A211,[1]Base!$A$11:$R$1579,18,FALSE)</f>
        <v>66.263782169117633</v>
      </c>
      <c r="F211">
        <f>+VLOOKUP(A211,[1]Base!$A$11:$O$1264,15,FALSE)</f>
        <v>53.011025735294112</v>
      </c>
      <c r="G211">
        <f t="shared" si="3"/>
        <v>1</v>
      </c>
    </row>
    <row r="212" spans="1:7" x14ac:dyDescent="0.25">
      <c r="A212" s="36" t="s">
        <v>569</v>
      </c>
      <c r="B212" s="35" t="s">
        <v>570</v>
      </c>
      <c r="C212" s="63">
        <v>1150</v>
      </c>
      <c r="D212" s="58">
        <f>+VLOOKUP(A212,[1]Base!$A$11:$O$1318,15,FALSE)</f>
        <v>579.87035603715162</v>
      </c>
      <c r="E212" s="58">
        <f>+VLOOKUP(A212,[1]Base!$A$11:$R$1579,18,FALSE)</f>
        <v>724.83794504643947</v>
      </c>
      <c r="F212">
        <f>+VLOOKUP(A212,[1]Base!$A$11:$O$1264,15,FALSE)</f>
        <v>579.87035603715162</v>
      </c>
      <c r="G212">
        <f t="shared" si="3"/>
        <v>1</v>
      </c>
    </row>
    <row r="213" spans="1:7" x14ac:dyDescent="0.25">
      <c r="A213" s="38">
        <v>8507720</v>
      </c>
      <c r="B213" s="37" t="s">
        <v>1663</v>
      </c>
      <c r="C213" s="63"/>
      <c r="D213" s="58">
        <f>+VLOOKUP(A213,[1]Base!$A$11:$O$1318,15,FALSE)</f>
        <v>667.21403173374608</v>
      </c>
      <c r="E213" s="58">
        <f>+VLOOKUP(A213,[1]Base!$A$11:$R$1579,18,FALSE)</f>
        <v>834.01753966718252</v>
      </c>
      <c r="F213">
        <f>+VLOOKUP(A213,[1]Base!$A$11:$O$1264,15,FALSE)</f>
        <v>667.21403173374608</v>
      </c>
      <c r="G213">
        <f t="shared" si="3"/>
        <v>1</v>
      </c>
    </row>
    <row r="214" spans="1:7" x14ac:dyDescent="0.25">
      <c r="A214" s="36">
        <v>8503938</v>
      </c>
      <c r="B214" s="35" t="s">
        <v>282</v>
      </c>
      <c r="C214" s="63">
        <v>1</v>
      </c>
      <c r="D214" s="58">
        <f>+VLOOKUP(A214,[1]Base!$A$11:$O$1318,15,FALSE)</f>
        <v>858.03513157894747</v>
      </c>
      <c r="E214" s="58">
        <f>+VLOOKUP(A214,[1]Base!$A$11:$R$1579,18,FALSE)</f>
        <v>1072.5439144736843</v>
      </c>
      <c r="F214">
        <f>+VLOOKUP(A214,[1]Base!$A$11:$O$1264,15,FALSE)</f>
        <v>858.03513157894747</v>
      </c>
      <c r="G214">
        <f t="shared" si="3"/>
        <v>1</v>
      </c>
    </row>
    <row r="215" spans="1:7" x14ac:dyDescent="0.25">
      <c r="A215" s="168" t="s">
        <v>2052</v>
      </c>
      <c r="B215" s="164" t="s">
        <v>2070</v>
      </c>
      <c r="C215" s="263">
        <v>230</v>
      </c>
      <c r="D215" s="58">
        <f>+VLOOKUP(A215,[1]Base!$A$11:$O$1318,15,FALSE)</f>
        <v>731.09522206827069</v>
      </c>
      <c r="E215" s="58">
        <f>+VLOOKUP(A215,[1]Base!$A$11:$R$1579,18,FALSE)</f>
        <v>974.79362942436092</v>
      </c>
      <c r="F215">
        <f>+VLOOKUP(A215,[1]Base!$A$11:$O$1264,15,FALSE)</f>
        <v>731.09522206827069</v>
      </c>
      <c r="G215">
        <f t="shared" si="3"/>
        <v>1</v>
      </c>
    </row>
    <row r="216" spans="1:7" x14ac:dyDescent="0.25">
      <c r="A216" s="38">
        <v>8513976</v>
      </c>
      <c r="B216" s="37" t="s">
        <v>1682</v>
      </c>
      <c r="C216" s="63"/>
      <c r="D216" s="58">
        <f>+VLOOKUP(A216,[1]Base!$A$11:$O$1318,15,FALSE)</f>
        <v>640.35650270897827</v>
      </c>
      <c r="E216" s="58">
        <f>+VLOOKUP(A216,[1]Base!$A$11:$R$1579,18,FALSE)</f>
        <v>800.44562838622278</v>
      </c>
      <c r="F216">
        <f>+VLOOKUP(A216,[1]Base!$A$11:$O$1264,15,FALSE)</f>
        <v>640.35650270897827</v>
      </c>
      <c r="G216">
        <f t="shared" si="3"/>
        <v>1</v>
      </c>
    </row>
    <row r="217" spans="1:7" x14ac:dyDescent="0.25">
      <c r="A217" s="36" t="s">
        <v>534</v>
      </c>
      <c r="B217" s="37" t="s">
        <v>1762</v>
      </c>
      <c r="C217" s="63">
        <v>1300</v>
      </c>
      <c r="D217" s="58">
        <f>+VLOOKUP(A217,[1]Base!$A$11:$O$1318,15,FALSE)</f>
        <v>1197.1604671280277</v>
      </c>
      <c r="E217" s="58">
        <f>+VLOOKUP(A217,[1]Base!$A$11:$R$1579,18,FALSE)</f>
        <v>1710.2292387543253</v>
      </c>
      <c r="F217">
        <f>+VLOOKUP(A217,[1]Base!$A$11:$O$1264,15,FALSE)</f>
        <v>1197.1604671280277</v>
      </c>
      <c r="G217">
        <f t="shared" si="3"/>
        <v>1</v>
      </c>
    </row>
    <row r="218" spans="1:7" x14ac:dyDescent="0.25">
      <c r="A218" s="38">
        <v>8512923</v>
      </c>
      <c r="B218" s="37" t="s">
        <v>372</v>
      </c>
      <c r="C218" s="63">
        <v>1</v>
      </c>
      <c r="D218" s="58">
        <f>+VLOOKUP(A218,[1]Base!$A$11:$O$1318,15,FALSE)</f>
        <v>218.82367337461298</v>
      </c>
      <c r="E218" s="58">
        <f>+VLOOKUP(A218,[1]Base!$A$11:$R$1579,18,FALSE)</f>
        <v>273.5295917182662</v>
      </c>
      <c r="F218">
        <f>+VLOOKUP(A218,[1]Base!$A$11:$O$1264,15,FALSE)</f>
        <v>218.82367337461298</v>
      </c>
      <c r="G218">
        <f t="shared" si="3"/>
        <v>1</v>
      </c>
    </row>
    <row r="219" spans="1:7" x14ac:dyDescent="0.25">
      <c r="A219" s="36">
        <v>3554475</v>
      </c>
      <c r="B219" s="41" t="s">
        <v>100</v>
      </c>
      <c r="C219" s="63">
        <v>1</v>
      </c>
      <c r="D219" s="58">
        <f>+VLOOKUP(A219,[1]Base!$A$11:$O$1318,15,FALSE)</f>
        <v>44.719089589783273</v>
      </c>
      <c r="E219" s="58">
        <f>+VLOOKUP(A219,[1]Base!$A$11:$R$1579,18,FALSE)</f>
        <v>55.89886198722909</v>
      </c>
      <c r="F219">
        <f>+VLOOKUP(A219,[1]Base!$A$11:$O$1264,15,FALSE)</f>
        <v>44.719089589783273</v>
      </c>
      <c r="G219">
        <f t="shared" si="3"/>
        <v>1</v>
      </c>
    </row>
    <row r="220" spans="1:7" x14ac:dyDescent="0.25">
      <c r="A220" s="36">
        <v>8507902</v>
      </c>
      <c r="B220" s="35" t="s">
        <v>314</v>
      </c>
      <c r="C220" s="63">
        <v>1</v>
      </c>
      <c r="D220" s="58">
        <f>+VLOOKUP(A220,[1]Base!$A$11:$O$1318,15,FALSE)</f>
        <v>66.491940789473688</v>
      </c>
      <c r="E220" s="58">
        <f>+VLOOKUP(A220,[1]Base!$A$11:$R$1579,18,FALSE)</f>
        <v>83.11492598684211</v>
      </c>
      <c r="F220" t="e">
        <f>+VLOOKUP(A220,[1]Base!$A$11:$O$1264,15,FALSE)</f>
        <v>#N/A</v>
      </c>
      <c r="G220" t="e">
        <f t="shared" si="3"/>
        <v>#N/A</v>
      </c>
    </row>
    <row r="221" spans="1:7" x14ac:dyDescent="0.25">
      <c r="A221" s="38" t="s">
        <v>675</v>
      </c>
      <c r="B221" s="37" t="s">
        <v>1806</v>
      </c>
      <c r="C221" s="63"/>
      <c r="D221" s="58">
        <f>+VLOOKUP(A221,[1]Base!$A$11:$O$1318,15,FALSE)</f>
        <v>9.1002695433436536</v>
      </c>
      <c r="E221" s="58">
        <f>+VLOOKUP(A221,[1]Base!$A$11:$R$1579,18,FALSE)</f>
        <v>11.375336929179566</v>
      </c>
      <c r="F221">
        <f>+VLOOKUP(A221,[1]Base!$A$11:$O$1264,15,FALSE)</f>
        <v>9.1002695433436536</v>
      </c>
      <c r="G221">
        <f t="shared" si="3"/>
        <v>1</v>
      </c>
    </row>
    <row r="222" spans="1:7" x14ac:dyDescent="0.25">
      <c r="A222" s="38" t="s">
        <v>610</v>
      </c>
      <c r="B222" s="37" t="s">
        <v>1795</v>
      </c>
      <c r="C222" s="63"/>
      <c r="D222" s="58">
        <f>+VLOOKUP(A222,[1]Base!$A$11:$O$1318,15,FALSE)</f>
        <v>42.241938854489163</v>
      </c>
      <c r="E222" s="58">
        <f>+VLOOKUP(A222,[1]Base!$A$11:$R$1579,18,FALSE)</f>
        <v>52.80242356811145</v>
      </c>
      <c r="F222">
        <f>+VLOOKUP(A222,[1]Base!$A$11:$O$1264,15,FALSE)</f>
        <v>42.241938854489163</v>
      </c>
      <c r="G222">
        <f t="shared" si="3"/>
        <v>1</v>
      </c>
    </row>
    <row r="223" spans="1:7" x14ac:dyDescent="0.25">
      <c r="A223" s="36">
        <v>8506724</v>
      </c>
      <c r="B223" s="35" t="s">
        <v>297</v>
      </c>
      <c r="C223" s="63">
        <v>10</v>
      </c>
      <c r="D223" s="58">
        <f>+VLOOKUP(A223,[1]Base!$A$11:$O$1318,15,FALSE)</f>
        <v>609.35300561145516</v>
      </c>
      <c r="E223" s="58">
        <f>+VLOOKUP(A223,[1]Base!$A$11:$R$1579,18,FALSE)</f>
        <v>761.69125701431892</v>
      </c>
      <c r="F223">
        <f>+VLOOKUP(A223,[1]Base!$A$11:$O$1264,15,FALSE)</f>
        <v>609.35300561145516</v>
      </c>
      <c r="G223">
        <f t="shared" si="3"/>
        <v>1</v>
      </c>
    </row>
    <row r="224" spans="1:7" x14ac:dyDescent="0.25">
      <c r="A224" s="36">
        <v>8500860</v>
      </c>
      <c r="B224" s="35" t="s">
        <v>255</v>
      </c>
      <c r="C224" s="63">
        <v>1</v>
      </c>
      <c r="D224" s="58">
        <f>+VLOOKUP(A224,[1]Base!$A$11:$O$1318,15,FALSE)</f>
        <v>276.60647368421053</v>
      </c>
      <c r="E224" s="58">
        <f>+VLOOKUP(A224,[1]Base!$A$11:$R$1579,18,FALSE)</f>
        <v>345.75809210526313</v>
      </c>
      <c r="F224" t="e">
        <f>+VLOOKUP(A224,[1]Base!$A$11:$O$1264,15,FALSE)</f>
        <v>#N/A</v>
      </c>
      <c r="G224" t="e">
        <f t="shared" si="3"/>
        <v>#N/A</v>
      </c>
    </row>
    <row r="225" spans="1:7" x14ac:dyDescent="0.25">
      <c r="A225" s="36" t="s">
        <v>634</v>
      </c>
      <c r="B225" s="35" t="s">
        <v>635</v>
      </c>
      <c r="C225" s="63">
        <v>1</v>
      </c>
      <c r="D225" s="58">
        <f>+VLOOKUP(A225,[1]Base!$A$11:$O$1318,15,FALSE)</f>
        <v>13.261137770897834</v>
      </c>
      <c r="E225" s="58">
        <f>+VLOOKUP(A225,[1]Base!$A$11:$R$1579,18,FALSE)</f>
        <v>16.576422213622291</v>
      </c>
      <c r="F225">
        <f>+VLOOKUP(A225,[1]Base!$A$11:$O$1264,15,FALSE)</f>
        <v>13.261137770897834</v>
      </c>
      <c r="G225">
        <f t="shared" si="3"/>
        <v>1</v>
      </c>
    </row>
    <row r="226" spans="1:7" x14ac:dyDescent="0.25">
      <c r="A226" s="38">
        <v>8570630</v>
      </c>
      <c r="B226" s="37" t="s">
        <v>1705</v>
      </c>
      <c r="C226" s="63"/>
      <c r="D226" s="58">
        <f>+VLOOKUP(A226,[1]Base!$A$11:$O$1318,15,FALSE)</f>
        <v>80.181458010835911</v>
      </c>
      <c r="E226" s="58">
        <f>+VLOOKUP(A226,[1]Base!$A$11:$R$1579,18,FALSE)</f>
        <v>100.22682251354489</v>
      </c>
      <c r="F226">
        <f>+VLOOKUP(A226,[1]Base!$A$11:$O$1264,15,FALSE)</f>
        <v>80.181458010835911</v>
      </c>
      <c r="G226">
        <f t="shared" si="3"/>
        <v>1</v>
      </c>
    </row>
    <row r="227" spans="1:7" x14ac:dyDescent="0.25">
      <c r="A227" s="168">
        <v>3560107</v>
      </c>
      <c r="B227" s="260" t="s">
        <v>2174</v>
      </c>
      <c r="C227" s="327" t="s">
        <v>2167</v>
      </c>
      <c r="D227" s="58">
        <f>+VLOOKUP(A227,[1]Base!$A$11:$O$1318,15,FALSE)</f>
        <v>2370.2942751547989</v>
      </c>
      <c r="E227" s="58">
        <f>+VLOOKUP(A227,[1]Base!$A$11:$R$1579,18,FALSE)</f>
        <v>2962.8678439434984</v>
      </c>
      <c r="F227">
        <f>+VLOOKUP(A227,[1]Base!$A$11:$O$1264,15,FALSE)</f>
        <v>2370.2942751547989</v>
      </c>
      <c r="G227">
        <f t="shared" si="3"/>
        <v>1</v>
      </c>
    </row>
    <row r="228" spans="1:7" x14ac:dyDescent="0.25">
      <c r="A228" s="36">
        <v>8518294</v>
      </c>
      <c r="B228" s="35" t="s">
        <v>433</v>
      </c>
      <c r="C228" s="63">
        <v>1</v>
      </c>
      <c r="D228" s="58">
        <f>+VLOOKUP(A228,[1]Base!$A$11:$O$1318,15,FALSE)</f>
        <v>479.81105979102171</v>
      </c>
      <c r="E228" s="58">
        <f>+VLOOKUP(A228,[1]Base!$A$11:$R$1579,18,FALSE)</f>
        <v>599.76382473877709</v>
      </c>
      <c r="F228">
        <f>+VLOOKUP(A228,[1]Base!$A$11:$O$1264,15,FALSE)</f>
        <v>479.81105979102171</v>
      </c>
      <c r="G228">
        <f t="shared" si="3"/>
        <v>1</v>
      </c>
    </row>
    <row r="229" spans="1:7" x14ac:dyDescent="0.25">
      <c r="A229" s="168">
        <v>3560108</v>
      </c>
      <c r="B229" s="260" t="s">
        <v>2175</v>
      </c>
      <c r="C229" s="327" t="s">
        <v>2167</v>
      </c>
      <c r="D229" s="58">
        <f>+VLOOKUP(A229,[1]Base!$A$11:$O$1318,15,FALSE)</f>
        <v>2374.4402432275542</v>
      </c>
      <c r="E229" s="58">
        <f>+VLOOKUP(A229,[1]Base!$A$11:$R$1579,18,FALSE)</f>
        <v>2968.0503040344424</v>
      </c>
      <c r="F229">
        <f>+VLOOKUP(A229,[1]Base!$A$11:$O$1264,15,FALSE)</f>
        <v>2374.4402432275542</v>
      </c>
      <c r="G229">
        <f t="shared" si="3"/>
        <v>1</v>
      </c>
    </row>
    <row r="230" spans="1:7" x14ac:dyDescent="0.25">
      <c r="A230" s="36" t="s">
        <v>567</v>
      </c>
      <c r="B230" s="35" t="s">
        <v>568</v>
      </c>
      <c r="C230" s="63">
        <v>230</v>
      </c>
      <c r="D230" s="58">
        <f>+VLOOKUP(A230,[1]Base!$A$11:$O$1318,15,FALSE)</f>
        <v>126.38738390092878</v>
      </c>
      <c r="E230" s="58">
        <f>+VLOOKUP(A230,[1]Base!$A$11:$R$1579,18,FALSE)</f>
        <v>157.98422987616098</v>
      </c>
      <c r="F230">
        <f>+VLOOKUP(A230,[1]Base!$A$11:$O$1264,15,FALSE)</f>
        <v>126.38738390092878</v>
      </c>
      <c r="G230">
        <f t="shared" si="3"/>
        <v>1</v>
      </c>
    </row>
    <row r="231" spans="1:7" x14ac:dyDescent="0.25">
      <c r="A231" s="168" t="s">
        <v>2054</v>
      </c>
      <c r="B231" s="164" t="s">
        <v>2055</v>
      </c>
      <c r="C231" s="263">
        <v>1150</v>
      </c>
      <c r="D231" s="58">
        <f>+VLOOKUP(A231,[1]Base!$A$11:$O$1318,15,FALSE)</f>
        <v>3586.6138812391855</v>
      </c>
      <c r="E231" s="58">
        <f>+VLOOKUP(A231,[1]Base!$A$11:$R$1579,18,FALSE)</f>
        <v>4782.1518416522476</v>
      </c>
      <c r="F231">
        <f>+VLOOKUP(A231,[1]Base!$A$11:$O$1264,15,FALSE)</f>
        <v>3586.6138812391855</v>
      </c>
      <c r="G231">
        <f t="shared" si="3"/>
        <v>1</v>
      </c>
    </row>
    <row r="232" spans="1:7" x14ac:dyDescent="0.25">
      <c r="A232" s="36">
        <v>3557107</v>
      </c>
      <c r="B232" s="35" t="s">
        <v>120</v>
      </c>
      <c r="C232" s="63">
        <v>1</v>
      </c>
      <c r="D232" s="58">
        <f>+VLOOKUP(A232,[1]Base!$A$11:$O$1318,15,FALSE)</f>
        <v>675.61026896284829</v>
      </c>
      <c r="E232" s="58">
        <f>+VLOOKUP(A232,[1]Base!$A$11:$R$1579,18,FALSE)</f>
        <v>844.51283620356037</v>
      </c>
      <c r="F232">
        <f>+VLOOKUP(A232,[1]Base!$A$11:$O$1264,15,FALSE)</f>
        <v>675.61026896284829</v>
      </c>
      <c r="G232">
        <f t="shared" si="3"/>
        <v>1</v>
      </c>
    </row>
    <row r="233" spans="1:7" x14ac:dyDescent="0.25">
      <c r="A233" s="38">
        <v>8552446</v>
      </c>
      <c r="B233" s="37" t="s">
        <v>1703</v>
      </c>
      <c r="C233" s="63"/>
      <c r="D233" s="58">
        <f>+VLOOKUP(A233,[1]Base!$A$11:$O$1318,15,FALSE)</f>
        <v>223.10001780185758</v>
      </c>
      <c r="E233" s="58">
        <f>+VLOOKUP(A233,[1]Base!$A$11:$R$1579,18,FALSE)</f>
        <v>278.87502225232197</v>
      </c>
      <c r="F233">
        <f>+VLOOKUP(A233,[1]Base!$A$11:$O$1264,15,FALSE)</f>
        <v>223.10001780185758</v>
      </c>
      <c r="G233">
        <f t="shared" si="3"/>
        <v>1</v>
      </c>
    </row>
    <row r="234" spans="1:7" x14ac:dyDescent="0.25">
      <c r="A234" s="39">
        <v>8507015</v>
      </c>
      <c r="B234" s="35" t="s">
        <v>302</v>
      </c>
      <c r="C234" s="63">
        <v>1</v>
      </c>
      <c r="D234" s="58">
        <f>+VLOOKUP(A234,[1]Base!$A$11:$O$1318,15,FALSE)</f>
        <v>6.8838715170278642</v>
      </c>
      <c r="E234" s="58">
        <f>+VLOOKUP(A234,[1]Base!$A$11:$R$1579,18,FALSE)</f>
        <v>8.6048393962848291</v>
      </c>
      <c r="F234">
        <f>+VLOOKUP(A234,[1]Base!$A$11:$O$1264,15,FALSE)</f>
        <v>6.8838715170278642</v>
      </c>
      <c r="G234">
        <f t="shared" si="3"/>
        <v>1</v>
      </c>
    </row>
    <row r="235" spans="1:7" x14ac:dyDescent="0.25">
      <c r="A235" s="36">
        <v>8511713</v>
      </c>
      <c r="B235" s="35" t="s">
        <v>349</v>
      </c>
      <c r="C235" s="63">
        <v>1</v>
      </c>
      <c r="D235" s="58">
        <f>+VLOOKUP(A235,[1]Base!$A$11:$O$1318,15,FALSE)</f>
        <v>32.281185371517033</v>
      </c>
      <c r="E235" s="58">
        <f>+VLOOKUP(A235,[1]Base!$A$11:$R$1579,18,FALSE)</f>
        <v>40.351481714396286</v>
      </c>
      <c r="F235">
        <f>+VLOOKUP(A235,[1]Base!$A$11:$O$1264,15,FALSE)</f>
        <v>32.281185371517033</v>
      </c>
      <c r="G235">
        <f t="shared" si="3"/>
        <v>1</v>
      </c>
    </row>
    <row r="236" spans="1:7" x14ac:dyDescent="0.25">
      <c r="A236" s="38">
        <v>1174029</v>
      </c>
      <c r="B236" s="37" t="s">
        <v>1590</v>
      </c>
      <c r="C236" s="63"/>
      <c r="D236" s="58">
        <f>+VLOOKUP(A236,[1]Base!$A$11:$O$1318,15,FALSE)</f>
        <v>5.4758068885448914</v>
      </c>
      <c r="E236" s="58">
        <f>+VLOOKUP(A236,[1]Base!$A$11:$R$1579,18,FALSE)</f>
        <v>6.8447586106811142</v>
      </c>
      <c r="F236">
        <f>+VLOOKUP(A236,[1]Base!$A$11:$O$1264,15,FALSE)</f>
        <v>5.4758068885448914</v>
      </c>
      <c r="G236">
        <f t="shared" si="3"/>
        <v>1</v>
      </c>
    </row>
    <row r="237" spans="1:7" x14ac:dyDescent="0.25">
      <c r="A237" s="36" t="s">
        <v>553</v>
      </c>
      <c r="B237" s="35" t="s">
        <v>1779</v>
      </c>
      <c r="C237" s="63">
        <v>30</v>
      </c>
      <c r="D237" s="58">
        <f>+VLOOKUP(A237,[1]Base!$A$11:$O$1318,15,FALSE)</f>
        <v>102.00548797740667</v>
      </c>
      <c r="E237" s="58">
        <f>+VLOOKUP(A237,[1]Base!$A$11:$R$1579,18,FALSE)</f>
        <v>127.50685997175833</v>
      </c>
      <c r="F237">
        <f>+VLOOKUP(A237,[1]Base!$A$11:$O$1264,15,FALSE)</f>
        <v>102.00548797740667</v>
      </c>
      <c r="G237">
        <f t="shared" si="3"/>
        <v>1</v>
      </c>
    </row>
    <row r="238" spans="1:7" x14ac:dyDescent="0.25">
      <c r="A238" s="36">
        <v>8506898</v>
      </c>
      <c r="B238" s="35" t="s">
        <v>300</v>
      </c>
      <c r="C238" s="63">
        <v>1</v>
      </c>
      <c r="D238" s="58">
        <f>+VLOOKUP(A238,[1]Base!$A$11:$O$1318,15,FALSE)</f>
        <v>24.980109520123836</v>
      </c>
      <c r="E238" s="58">
        <f>+VLOOKUP(A238,[1]Base!$A$11:$R$1579,18,FALSE)</f>
        <v>31.225136900154794</v>
      </c>
      <c r="F238">
        <f>+VLOOKUP(A238,[1]Base!$A$11:$O$1264,15,FALSE)</f>
        <v>24.980109520123836</v>
      </c>
      <c r="G238">
        <f t="shared" si="3"/>
        <v>1</v>
      </c>
    </row>
    <row r="239" spans="1:7" x14ac:dyDescent="0.25">
      <c r="A239" s="38">
        <v>8507941</v>
      </c>
      <c r="B239" s="37" t="s">
        <v>1664</v>
      </c>
      <c r="C239" s="63"/>
      <c r="D239" s="58">
        <f>+VLOOKUP(A239,[1]Base!$A$11:$O$1318,15,FALSE)</f>
        <v>401.40272020123837</v>
      </c>
      <c r="E239" s="58">
        <f>+VLOOKUP(A239,[1]Base!$A$11:$R$1579,18,FALSE)</f>
        <v>501.75340025154793</v>
      </c>
      <c r="F239">
        <f>+VLOOKUP(A239,[1]Base!$A$11:$O$1264,15,FALSE)</f>
        <v>401.40272020123837</v>
      </c>
      <c r="G239">
        <f t="shared" si="3"/>
        <v>1</v>
      </c>
    </row>
    <row r="240" spans="1:7" x14ac:dyDescent="0.25">
      <c r="A240" s="36" t="s">
        <v>650</v>
      </c>
      <c r="B240" s="35" t="s">
        <v>651</v>
      </c>
      <c r="C240" s="63">
        <v>1</v>
      </c>
      <c r="D240" s="58">
        <f>+VLOOKUP(A240,[1]Base!$A$11:$O$1318,15,FALSE)</f>
        <v>17.582182662538703</v>
      </c>
      <c r="E240" s="58">
        <f>+VLOOKUP(A240,[1]Base!$A$11:$R$1579,18,FALSE)</f>
        <v>21.977728328173377</v>
      </c>
      <c r="F240">
        <f>+VLOOKUP(A240,[1]Base!$A$11:$O$1264,15,FALSE)</f>
        <v>17.582182662538703</v>
      </c>
      <c r="G240">
        <f t="shared" si="3"/>
        <v>1</v>
      </c>
    </row>
    <row r="241" spans="1:7" x14ac:dyDescent="0.25">
      <c r="A241" s="38">
        <v>8500726</v>
      </c>
      <c r="B241" s="37" t="s">
        <v>1645</v>
      </c>
      <c r="C241" s="63"/>
      <c r="D241" s="58">
        <f>+VLOOKUP(A241,[1]Base!$A$11:$O$1318,15,FALSE)</f>
        <v>5.4497316176470578</v>
      </c>
      <c r="E241" s="58">
        <f>+VLOOKUP(A241,[1]Base!$A$11:$R$1579,18,FALSE)</f>
        <v>6.8121645220588221</v>
      </c>
      <c r="F241">
        <f>+VLOOKUP(A241,[1]Base!$A$11:$O$1264,15,FALSE)</f>
        <v>5.4497316176470578</v>
      </c>
      <c r="G241">
        <f t="shared" si="3"/>
        <v>1</v>
      </c>
    </row>
    <row r="242" spans="1:7" x14ac:dyDescent="0.25">
      <c r="A242" s="38">
        <v>3558326</v>
      </c>
      <c r="B242" s="37" t="s">
        <v>141</v>
      </c>
      <c r="C242" s="63">
        <v>1</v>
      </c>
      <c r="D242" s="58">
        <f>+VLOOKUP(A242,[1]Base!$A$11:$O$1318,15,FALSE)</f>
        <v>330.76481133900927</v>
      </c>
      <c r="E242" s="58">
        <f>+VLOOKUP(A242,[1]Base!$A$11:$R$1579,18,FALSE)</f>
        <v>413.45601417376156</v>
      </c>
      <c r="F242">
        <f>+VLOOKUP(A242,[1]Base!$A$11:$O$1264,15,FALSE)</f>
        <v>330.76481133900927</v>
      </c>
      <c r="G242">
        <f t="shared" si="3"/>
        <v>1</v>
      </c>
    </row>
    <row r="243" spans="1:7" x14ac:dyDescent="0.25">
      <c r="A243" s="36" t="s">
        <v>537</v>
      </c>
      <c r="B243" s="37" t="s">
        <v>1765</v>
      </c>
      <c r="C243" s="63">
        <v>200</v>
      </c>
      <c r="D243" s="58">
        <f>+VLOOKUP(A243,[1]Base!$A$11:$O$1318,15,FALSE)</f>
        <v>430.68915441176466</v>
      </c>
      <c r="E243" s="58">
        <f>+VLOOKUP(A243,[1]Base!$A$11:$R$1579,18,FALSE)</f>
        <v>615.27022058823525</v>
      </c>
      <c r="F243">
        <f>+VLOOKUP(A243,[1]Base!$A$11:$O$1264,15,FALSE)</f>
        <v>430.68915441176466</v>
      </c>
      <c r="G243">
        <f t="shared" si="3"/>
        <v>1</v>
      </c>
    </row>
    <row r="244" spans="1:7" x14ac:dyDescent="0.25">
      <c r="A244" s="38">
        <v>3554066</v>
      </c>
      <c r="B244" s="37" t="s">
        <v>1593</v>
      </c>
      <c r="C244" s="63"/>
      <c r="D244" s="58">
        <f>+VLOOKUP(A244,[1]Base!$A$11:$O$1318,15,FALSE)</f>
        <v>178.95458417182661</v>
      </c>
      <c r="E244" s="58">
        <f>+VLOOKUP(A244,[1]Base!$A$11:$R$1579,18,FALSE)</f>
        <v>223.69323021478326</v>
      </c>
      <c r="F244">
        <f>+VLOOKUP(A244,[1]Base!$A$11:$O$1264,15,FALSE)</f>
        <v>178.95458417182661</v>
      </c>
      <c r="G244">
        <f t="shared" si="3"/>
        <v>1</v>
      </c>
    </row>
    <row r="245" spans="1:7" x14ac:dyDescent="0.25">
      <c r="A245" s="38">
        <v>8518781</v>
      </c>
      <c r="B245" s="37" t="s">
        <v>1698</v>
      </c>
      <c r="C245" s="63"/>
      <c r="D245" s="58">
        <f>+VLOOKUP(A245,[1]Base!$A$11:$O$1318,15,FALSE)</f>
        <v>364.81911513157894</v>
      </c>
      <c r="E245" s="58">
        <f>+VLOOKUP(A245,[1]Base!$A$11:$R$1579,18,FALSE)</f>
        <v>456.02389391447366</v>
      </c>
      <c r="F245">
        <f>+VLOOKUP(A245,[1]Base!$A$11:$O$1264,15,FALSE)</f>
        <v>364.81911513157894</v>
      </c>
      <c r="G245">
        <f t="shared" si="3"/>
        <v>1</v>
      </c>
    </row>
    <row r="246" spans="1:7" x14ac:dyDescent="0.25">
      <c r="A246" s="36">
        <v>694040</v>
      </c>
      <c r="B246" s="35" t="s">
        <v>80</v>
      </c>
      <c r="C246" s="63">
        <v>1</v>
      </c>
      <c r="D246" s="58">
        <f>+VLOOKUP(A246,[1]Base!$A$11:$O$1318,15,FALSE)</f>
        <v>156.45162538699688</v>
      </c>
      <c r="E246" s="58">
        <f>+VLOOKUP(A246,[1]Base!$A$11:$R$1579,18,FALSE)</f>
        <v>195.56453173374609</v>
      </c>
      <c r="F246">
        <f>+VLOOKUP(A246,[1]Base!$A$11:$O$1264,15,FALSE)</f>
        <v>156.45162538699688</v>
      </c>
      <c r="G246">
        <f t="shared" si="3"/>
        <v>1</v>
      </c>
    </row>
    <row r="247" spans="1:7" x14ac:dyDescent="0.25">
      <c r="A247" s="36">
        <v>8500370</v>
      </c>
      <c r="B247" s="35" t="s">
        <v>232</v>
      </c>
      <c r="C247" s="63">
        <v>1</v>
      </c>
      <c r="D247" s="58">
        <f>+VLOOKUP(A247,[1]Base!$A$11:$O$1318,15,FALSE)</f>
        <v>19.239204044117646</v>
      </c>
      <c r="E247" s="58">
        <f>+VLOOKUP(A247,[1]Base!$A$11:$R$1579,18,FALSE)</f>
        <v>24.049005055147056</v>
      </c>
      <c r="F247">
        <f>+VLOOKUP(A247,[1]Base!$A$11:$O$1264,15,FALSE)</f>
        <v>19.239204044117646</v>
      </c>
      <c r="G247">
        <f t="shared" si="3"/>
        <v>1</v>
      </c>
    </row>
    <row r="248" spans="1:7" x14ac:dyDescent="0.25">
      <c r="A248" s="163">
        <v>8584808</v>
      </c>
      <c r="B248" s="260" t="s">
        <v>1933</v>
      </c>
      <c r="C248" s="327">
        <v>1</v>
      </c>
      <c r="D248" s="58">
        <f>+VLOOKUP(A248,[1]Base!$A$11:$O$1318,15,FALSE)</f>
        <v>60.703230650154801</v>
      </c>
      <c r="E248" s="58">
        <f>+VLOOKUP(A248,[1]Base!$A$11:$R$1579,18,FALSE)</f>
        <v>75.879038312693496</v>
      </c>
      <c r="F248">
        <f>+VLOOKUP(A248,[1]Base!$A$11:$O$1264,15,FALSE)</f>
        <v>60.703230650154801</v>
      </c>
      <c r="G248">
        <f t="shared" si="3"/>
        <v>1</v>
      </c>
    </row>
    <row r="249" spans="1:7" x14ac:dyDescent="0.25">
      <c r="A249" s="38">
        <v>4025980</v>
      </c>
      <c r="B249" s="37" t="s">
        <v>1634</v>
      </c>
      <c r="C249" s="63"/>
      <c r="D249" s="58">
        <f>+VLOOKUP(A249,[1]Base!$A$11:$O$1318,15,FALSE)</f>
        <v>338.01373664860682</v>
      </c>
      <c r="E249" s="58">
        <f>+VLOOKUP(A249,[1]Base!$A$11:$R$1579,18,FALSE)</f>
        <v>422.5171708107585</v>
      </c>
      <c r="F249">
        <f>+VLOOKUP(A249,[1]Base!$A$11:$O$1264,15,FALSE)</f>
        <v>338.01373664860682</v>
      </c>
      <c r="G249">
        <f t="shared" si="3"/>
        <v>1</v>
      </c>
    </row>
    <row r="250" spans="1:7" x14ac:dyDescent="0.25">
      <c r="A250" s="38">
        <v>8553534</v>
      </c>
      <c r="B250" s="37" t="s">
        <v>1704</v>
      </c>
      <c r="C250" s="63"/>
      <c r="D250" s="58">
        <f>+VLOOKUP(A250,[1]Base!$A$11:$O$1318,15,FALSE)</f>
        <v>168.49840054179569</v>
      </c>
      <c r="E250" s="58">
        <f>+VLOOKUP(A250,[1]Base!$A$11:$R$1579,18,FALSE)</f>
        <v>210.62300067724459</v>
      </c>
      <c r="F250">
        <f>+VLOOKUP(A250,[1]Base!$A$11:$O$1264,15,FALSE)</f>
        <v>168.49840054179569</v>
      </c>
      <c r="G250">
        <f t="shared" si="3"/>
        <v>1</v>
      </c>
    </row>
    <row r="251" spans="1:7" x14ac:dyDescent="0.25">
      <c r="A251" s="36">
        <v>8518111</v>
      </c>
      <c r="B251" s="35" t="s">
        <v>428</v>
      </c>
      <c r="C251" s="63">
        <v>1</v>
      </c>
      <c r="D251" s="58">
        <f>+VLOOKUP(A251,[1]Base!$A$11:$O$1318,15,FALSE)</f>
        <v>177.46829373065015</v>
      </c>
      <c r="E251" s="58">
        <f>+VLOOKUP(A251,[1]Base!$A$11:$R$1579,18,FALSE)</f>
        <v>221.83536716331267</v>
      </c>
      <c r="F251">
        <f>+VLOOKUP(A251,[1]Base!$A$11:$O$1264,15,FALSE)</f>
        <v>177.46829373065015</v>
      </c>
      <c r="G251">
        <f t="shared" si="3"/>
        <v>1</v>
      </c>
    </row>
    <row r="252" spans="1:7" x14ac:dyDescent="0.25">
      <c r="A252" s="36">
        <v>8506243</v>
      </c>
      <c r="B252" s="35" t="s">
        <v>294</v>
      </c>
      <c r="C252" s="63">
        <v>1</v>
      </c>
      <c r="D252" s="58">
        <f>+VLOOKUP(A252,[1]Base!$A$11:$O$1318,15,FALSE)</f>
        <v>1962.5155843653251</v>
      </c>
      <c r="E252" s="58">
        <f>+VLOOKUP(A252,[1]Base!$A$11:$R$1579,18,FALSE)</f>
        <v>2453.1444804566563</v>
      </c>
      <c r="F252">
        <f>+VLOOKUP(A252,[1]Base!$A$11:$O$1264,15,FALSE)</f>
        <v>1962.5155843653251</v>
      </c>
      <c r="G252">
        <f t="shared" si="3"/>
        <v>1</v>
      </c>
    </row>
    <row r="253" spans="1:7" x14ac:dyDescent="0.25">
      <c r="A253" s="36">
        <v>3554115</v>
      </c>
      <c r="B253" s="35" t="s">
        <v>93</v>
      </c>
      <c r="C253" s="63">
        <v>1</v>
      </c>
      <c r="D253" s="58">
        <f>+VLOOKUP(A253,[1]Base!$A$11:$O$1318,15,FALSE)</f>
        <v>73.454038119195062</v>
      </c>
      <c r="E253" s="58">
        <f>+VLOOKUP(A253,[1]Base!$A$11:$R$1579,18,FALSE)</f>
        <v>91.817547648993823</v>
      </c>
      <c r="F253">
        <f>+VLOOKUP(A253,[1]Base!$A$11:$O$1264,15,FALSE)</f>
        <v>73.454038119195062</v>
      </c>
      <c r="G253">
        <f t="shared" si="3"/>
        <v>1</v>
      </c>
    </row>
    <row r="254" spans="1:7" x14ac:dyDescent="0.25">
      <c r="A254" s="40">
        <v>3554439</v>
      </c>
      <c r="B254" s="41" t="s">
        <v>97</v>
      </c>
      <c r="C254" s="63">
        <v>1</v>
      </c>
      <c r="D254" s="58">
        <f>+VLOOKUP(A254,[1]Base!$A$11:$O$1318,15,FALSE)</f>
        <v>73.454038119195062</v>
      </c>
      <c r="E254" s="58">
        <f>+VLOOKUP(A254,[1]Base!$A$11:$R$1579,18,FALSE)</f>
        <v>91.817547648993823</v>
      </c>
      <c r="F254">
        <f>+VLOOKUP(A254,[1]Base!$A$11:$O$1264,15,FALSE)</f>
        <v>73.454038119195062</v>
      </c>
      <c r="G254">
        <f t="shared" si="3"/>
        <v>1</v>
      </c>
    </row>
    <row r="255" spans="1:7" x14ac:dyDescent="0.25">
      <c r="A255" s="40">
        <v>3554440</v>
      </c>
      <c r="B255" s="41" t="s">
        <v>98</v>
      </c>
      <c r="C255" s="63">
        <v>1</v>
      </c>
      <c r="D255" s="58">
        <f>+VLOOKUP(A255,[1]Base!$A$11:$O$1318,15,FALSE)</f>
        <v>73.454038119195062</v>
      </c>
      <c r="E255" s="58">
        <f>+VLOOKUP(A255,[1]Base!$A$11:$R$1579,18,FALSE)</f>
        <v>91.817547648993823</v>
      </c>
      <c r="F255">
        <f>+VLOOKUP(A255,[1]Base!$A$11:$O$1264,15,FALSE)</f>
        <v>73.454038119195062</v>
      </c>
      <c r="G255">
        <f t="shared" si="3"/>
        <v>1</v>
      </c>
    </row>
    <row r="256" spans="1:7" x14ac:dyDescent="0.25">
      <c r="A256" s="40">
        <v>3556247</v>
      </c>
      <c r="B256" s="41" t="s">
        <v>108</v>
      </c>
      <c r="C256" s="63">
        <v>1</v>
      </c>
      <c r="D256" s="58">
        <f>+VLOOKUP(A256,[1]Base!$A$11:$O$1318,15,FALSE)</f>
        <v>73.454038119195062</v>
      </c>
      <c r="E256" s="58">
        <f>+VLOOKUP(A256,[1]Base!$A$11:$R$1579,18,FALSE)</f>
        <v>91.817547648993823</v>
      </c>
      <c r="F256">
        <f>+VLOOKUP(A256,[1]Base!$A$11:$O$1264,15,FALSE)</f>
        <v>73.454038119195062</v>
      </c>
      <c r="G256">
        <f t="shared" si="3"/>
        <v>1</v>
      </c>
    </row>
    <row r="257" spans="1:7" x14ac:dyDescent="0.25">
      <c r="A257" s="36">
        <v>8509330</v>
      </c>
      <c r="B257" s="35" t="s">
        <v>331</v>
      </c>
      <c r="C257" s="63">
        <v>1</v>
      </c>
      <c r="D257" s="58">
        <f>+VLOOKUP(A257,[1]Base!$A$11:$O$1318,15,FALSE)</f>
        <v>854.82560584365319</v>
      </c>
      <c r="E257" s="58">
        <f>+VLOOKUP(A257,[1]Base!$A$11:$R$1579,18,FALSE)</f>
        <v>1068.5320073045664</v>
      </c>
      <c r="F257">
        <f>+VLOOKUP(A257,[1]Base!$A$11:$O$1264,15,FALSE)</f>
        <v>854.82560584365319</v>
      </c>
      <c r="G257">
        <f t="shared" si="3"/>
        <v>1</v>
      </c>
    </row>
    <row r="258" spans="1:7" x14ac:dyDescent="0.25">
      <c r="A258" s="36">
        <v>8506723</v>
      </c>
      <c r="B258" s="35" t="s">
        <v>296</v>
      </c>
      <c r="C258" s="63">
        <v>10</v>
      </c>
      <c r="D258" s="58">
        <f>+VLOOKUP(A258,[1]Base!$A$11:$O$1318,15,FALSE)</f>
        <v>502.91374980650158</v>
      </c>
      <c r="E258" s="58">
        <f>+VLOOKUP(A258,[1]Base!$A$11:$R$1579,18,FALSE)</f>
        <v>628.64218725812691</v>
      </c>
      <c r="F258">
        <f>+VLOOKUP(A258,[1]Base!$A$11:$O$1264,15,FALSE)</f>
        <v>502.91374980650158</v>
      </c>
      <c r="G258">
        <f t="shared" si="3"/>
        <v>1</v>
      </c>
    </row>
    <row r="259" spans="1:7" x14ac:dyDescent="0.25">
      <c r="A259" s="36">
        <v>8504002</v>
      </c>
      <c r="B259" s="35" t="s">
        <v>283</v>
      </c>
      <c r="C259" s="63">
        <v>1</v>
      </c>
      <c r="D259" s="58">
        <f>+VLOOKUP(A259,[1]Base!$A$11:$O$1318,15,FALSE)</f>
        <v>367.47879276315786</v>
      </c>
      <c r="E259" s="58">
        <f>+VLOOKUP(A259,[1]Base!$A$11:$R$1579,18,FALSE)</f>
        <v>459.34849095394731</v>
      </c>
      <c r="F259">
        <f>+VLOOKUP(A259,[1]Base!$A$11:$O$1264,15,FALSE)</f>
        <v>367.47879276315786</v>
      </c>
      <c r="G259">
        <f t="shared" si="3"/>
        <v>1</v>
      </c>
    </row>
    <row r="260" spans="1:7" x14ac:dyDescent="0.25">
      <c r="A260" s="36">
        <v>8500326</v>
      </c>
      <c r="B260" s="35" t="s">
        <v>227</v>
      </c>
      <c r="C260" s="63">
        <v>1</v>
      </c>
      <c r="D260" s="58">
        <f>+VLOOKUP(A260,[1]Base!$A$11:$O$1318,15,FALSE)</f>
        <v>2.3467743808049537</v>
      </c>
      <c r="E260" s="58">
        <f>+VLOOKUP(A260,[1]Base!$A$11:$R$1579,18,FALSE)</f>
        <v>2.9334679760061921</v>
      </c>
      <c r="F260">
        <f>+VLOOKUP(A260,[1]Base!$A$11:$O$1264,15,FALSE)</f>
        <v>2.3467743808049537</v>
      </c>
      <c r="G260">
        <f t="shared" ref="G260:G323" si="4">+F260/D260</f>
        <v>1</v>
      </c>
    </row>
    <row r="261" spans="1:7" x14ac:dyDescent="0.25">
      <c r="A261" s="36">
        <v>8514752</v>
      </c>
      <c r="B261" s="35" t="s">
        <v>395</v>
      </c>
      <c r="C261" s="63">
        <v>1</v>
      </c>
      <c r="D261" s="58">
        <f>+VLOOKUP(A261,[1]Base!$A$11:$O$1318,15,FALSE)</f>
        <v>55.801079721362228</v>
      </c>
      <c r="E261" s="58">
        <f>+VLOOKUP(A261,[1]Base!$A$11:$R$1579,18,FALSE)</f>
        <v>69.751349651702782</v>
      </c>
      <c r="F261">
        <f>+VLOOKUP(A261,[1]Base!$A$11:$O$1264,15,FALSE)</f>
        <v>55.801079721362228</v>
      </c>
      <c r="G261">
        <f t="shared" si="4"/>
        <v>1</v>
      </c>
    </row>
    <row r="262" spans="1:7" x14ac:dyDescent="0.25">
      <c r="A262" s="38">
        <v>4023712</v>
      </c>
      <c r="B262" s="37" t="s">
        <v>1627</v>
      </c>
      <c r="C262" s="63"/>
      <c r="D262" s="58">
        <f>+VLOOKUP(A262,[1]Base!$A$11:$O$1318,15,FALSE)</f>
        <v>351.75540441176469</v>
      </c>
      <c r="E262" s="58">
        <f>+VLOOKUP(A262,[1]Base!$A$11:$R$1579,18,FALSE)</f>
        <v>439.69425551470584</v>
      </c>
      <c r="F262">
        <f>+VLOOKUP(A262,[1]Base!$A$11:$O$1264,15,FALSE)</f>
        <v>351.75540441176469</v>
      </c>
      <c r="G262">
        <f t="shared" si="4"/>
        <v>1</v>
      </c>
    </row>
    <row r="263" spans="1:7" x14ac:dyDescent="0.25">
      <c r="A263" s="36" t="s">
        <v>563</v>
      </c>
      <c r="B263" s="35" t="s">
        <v>564</v>
      </c>
      <c r="C263" s="63">
        <v>11.5</v>
      </c>
      <c r="D263" s="58">
        <f>+VLOOKUP(A263,[1]Base!$A$11:$O$1318,15,FALSE)</f>
        <v>6.4663312693498449</v>
      </c>
      <c r="E263" s="58">
        <f>+VLOOKUP(A263,[1]Base!$A$11:$R$1579,18,FALSE)</f>
        <v>8.082914086687305</v>
      </c>
      <c r="F263">
        <f>+VLOOKUP(A263,[1]Base!$A$11:$O$1264,15,FALSE)</f>
        <v>6.4663312693498449</v>
      </c>
      <c r="G263">
        <f t="shared" si="4"/>
        <v>1</v>
      </c>
    </row>
    <row r="264" spans="1:7" x14ac:dyDescent="0.25">
      <c r="A264" s="36">
        <v>8590473</v>
      </c>
      <c r="B264" s="35" t="s">
        <v>469</v>
      </c>
      <c r="C264" s="63">
        <v>1</v>
      </c>
      <c r="D264" s="58">
        <f>+VLOOKUP(A264,[1]Base!$A$11:$O$1318,15,FALSE)</f>
        <v>169.38495975232195</v>
      </c>
      <c r="E264" s="58">
        <f>+VLOOKUP(A264,[1]Base!$A$11:$R$1579,18,FALSE)</f>
        <v>211.73119969040243</v>
      </c>
      <c r="F264">
        <f>+VLOOKUP(A264,[1]Base!$A$11:$O$1264,15,FALSE)</f>
        <v>169.38495975232195</v>
      </c>
      <c r="G264">
        <f t="shared" si="4"/>
        <v>1</v>
      </c>
    </row>
    <row r="265" spans="1:7" x14ac:dyDescent="0.25">
      <c r="A265" s="38">
        <v>4020811</v>
      </c>
      <c r="B265" s="37" t="s">
        <v>1625</v>
      </c>
      <c r="C265" s="63"/>
      <c r="D265" s="58">
        <f>+VLOOKUP(A265,[1]Base!$A$11:$O$1318,15,FALSE)</f>
        <v>7537.1874293730652</v>
      </c>
      <c r="E265" s="58">
        <f>+VLOOKUP(A265,[1]Base!$A$11:$R$1579,18,FALSE)</f>
        <v>9421.4842867163316</v>
      </c>
      <c r="F265">
        <f>+VLOOKUP(A265,[1]Base!$A$11:$O$1264,15,FALSE)</f>
        <v>7537.1874293730652</v>
      </c>
      <c r="G265">
        <f t="shared" si="4"/>
        <v>1</v>
      </c>
    </row>
    <row r="266" spans="1:7" x14ac:dyDescent="0.25">
      <c r="A266" s="36" t="s">
        <v>538</v>
      </c>
      <c r="B266" s="37" t="s">
        <v>1766</v>
      </c>
      <c r="C266" s="63">
        <v>1000</v>
      </c>
      <c r="D266" s="58">
        <f>+VLOOKUP(A266,[1]Base!$A$11:$O$1318,15,FALSE)</f>
        <v>2032.7794117647059</v>
      </c>
      <c r="E266" s="58">
        <f>+VLOOKUP(A266,[1]Base!$A$11:$R$1579,18,FALSE)</f>
        <v>2903.9705882352941</v>
      </c>
      <c r="F266">
        <f>+VLOOKUP(A266,[1]Base!$A$11:$O$1264,15,FALSE)</f>
        <v>2032.7794117647059</v>
      </c>
      <c r="G266">
        <f t="shared" si="4"/>
        <v>1</v>
      </c>
    </row>
    <row r="267" spans="1:7" x14ac:dyDescent="0.25">
      <c r="A267" s="38">
        <v>4020732</v>
      </c>
      <c r="B267" s="37" t="s">
        <v>1623</v>
      </c>
      <c r="C267" s="63"/>
      <c r="D267" s="58">
        <f>+VLOOKUP(A267,[1]Base!$A$11:$O$1318,15,FALSE)</f>
        <v>2590.4115716911761</v>
      </c>
      <c r="E267" s="58">
        <f>+VLOOKUP(A267,[1]Base!$A$11:$R$1579,18,FALSE)</f>
        <v>3238.0144646139697</v>
      </c>
      <c r="F267">
        <f>+VLOOKUP(A267,[1]Base!$A$11:$O$1264,15,FALSE)</f>
        <v>2590.4115716911761</v>
      </c>
      <c r="G267">
        <f t="shared" si="4"/>
        <v>1</v>
      </c>
    </row>
    <row r="268" spans="1:7" x14ac:dyDescent="0.25">
      <c r="A268" s="36">
        <v>8511748</v>
      </c>
      <c r="B268" s="35" t="s">
        <v>59</v>
      </c>
      <c r="C268" s="63">
        <v>1</v>
      </c>
      <c r="D268" s="58">
        <f>+VLOOKUP(A268,[1]Base!$A$11:$O$1318,15,FALSE)</f>
        <v>244.84679373065018</v>
      </c>
      <c r="E268" s="58">
        <f>+VLOOKUP(A268,[1]Base!$A$11:$R$1579,18,FALSE)</f>
        <v>306.05849216331268</v>
      </c>
      <c r="F268">
        <f>+VLOOKUP(A268,[1]Base!$A$11:$O$1264,15,FALSE)</f>
        <v>244.84679373065018</v>
      </c>
      <c r="G268">
        <f t="shared" si="4"/>
        <v>1</v>
      </c>
    </row>
    <row r="269" spans="1:7" x14ac:dyDescent="0.25">
      <c r="A269" s="38">
        <v>8501189</v>
      </c>
      <c r="B269" s="37" t="s">
        <v>1647</v>
      </c>
      <c r="C269" s="63"/>
      <c r="D269" s="58">
        <f>+VLOOKUP(A269,[1]Base!$A$11:$O$1318,15,FALSE)</f>
        <v>286.72367879256961</v>
      </c>
      <c r="E269" s="58">
        <f>+VLOOKUP(A269,[1]Base!$A$11:$R$1579,18,FALSE)</f>
        <v>358.40459849071198</v>
      </c>
      <c r="F269">
        <f>+VLOOKUP(A269,[1]Base!$A$11:$O$1264,15,FALSE)</f>
        <v>286.72367879256961</v>
      </c>
      <c r="G269">
        <f t="shared" si="4"/>
        <v>1</v>
      </c>
    </row>
    <row r="270" spans="1:7" x14ac:dyDescent="0.25">
      <c r="A270" s="40">
        <v>8518176</v>
      </c>
      <c r="B270" s="35" t="s">
        <v>431</v>
      </c>
      <c r="C270" s="63">
        <v>1</v>
      </c>
      <c r="D270" s="58">
        <f>+VLOOKUP(A270,[1]Base!$A$11:$O$1318,15,FALSE)</f>
        <v>319.44814376934988</v>
      </c>
      <c r="E270" s="58">
        <f>+VLOOKUP(A270,[1]Base!$A$11:$R$1579,18,FALSE)</f>
        <v>399.31017971168734</v>
      </c>
      <c r="F270">
        <f>+VLOOKUP(A270,[1]Base!$A$11:$O$1264,15,FALSE)</f>
        <v>319.44814376934988</v>
      </c>
      <c r="G270">
        <f t="shared" si="4"/>
        <v>1</v>
      </c>
    </row>
    <row r="271" spans="1:7" x14ac:dyDescent="0.25">
      <c r="A271" s="36" t="s">
        <v>541</v>
      </c>
      <c r="B271" s="37" t="s">
        <v>1769</v>
      </c>
      <c r="C271" s="63">
        <v>200</v>
      </c>
      <c r="D271" s="58">
        <f>+VLOOKUP(A271,[1]Base!$A$11:$O$1318,15,FALSE)</f>
        <v>434.67812500000002</v>
      </c>
      <c r="E271" s="58">
        <f>+VLOOKUP(A271,[1]Base!$A$11:$R$1579,18,FALSE)</f>
        <v>620.96875000000011</v>
      </c>
      <c r="F271">
        <f>+VLOOKUP(A271,[1]Base!$A$11:$O$1264,15,FALSE)</f>
        <v>434.67812500000002</v>
      </c>
      <c r="G271">
        <f t="shared" si="4"/>
        <v>1</v>
      </c>
    </row>
    <row r="272" spans="1:7" x14ac:dyDescent="0.25">
      <c r="A272" s="38">
        <v>4029966</v>
      </c>
      <c r="B272" s="37" t="s">
        <v>1636</v>
      </c>
      <c r="C272" s="63"/>
      <c r="D272" s="58">
        <f>+VLOOKUP(A272,[1]Base!$A$11:$O$1318,15,FALSE)</f>
        <v>915.94604082817318</v>
      </c>
      <c r="E272" s="58">
        <f>+VLOOKUP(A272,[1]Base!$A$11:$R$1579,18,FALSE)</f>
        <v>1144.9325510352164</v>
      </c>
      <c r="F272">
        <f>+VLOOKUP(A272,[1]Base!$A$11:$O$1264,15,FALSE)</f>
        <v>915.94604082817318</v>
      </c>
      <c r="G272">
        <f t="shared" si="4"/>
        <v>1</v>
      </c>
    </row>
    <row r="273" spans="1:7" x14ac:dyDescent="0.25">
      <c r="A273" s="38" t="s">
        <v>636</v>
      </c>
      <c r="B273" s="37" t="s">
        <v>637</v>
      </c>
      <c r="C273" s="63"/>
      <c r="D273" s="58">
        <f>+VLOOKUP(A273,[1]Base!$A$11:$O$1318,15,FALSE)</f>
        <v>19.869356424148606</v>
      </c>
      <c r="E273" s="58">
        <f>+VLOOKUP(A273,[1]Base!$A$11:$R$1579,18,FALSE)</f>
        <v>24.836695530185757</v>
      </c>
      <c r="F273">
        <f>+VLOOKUP(A273,[1]Base!$A$11:$O$1264,15,FALSE)</f>
        <v>19.869356424148606</v>
      </c>
      <c r="G273">
        <f t="shared" si="4"/>
        <v>1</v>
      </c>
    </row>
    <row r="274" spans="1:7" x14ac:dyDescent="0.25">
      <c r="A274" s="39">
        <v>1431200</v>
      </c>
      <c r="B274" s="35" t="s">
        <v>82</v>
      </c>
      <c r="C274" s="63">
        <v>1</v>
      </c>
      <c r="D274" s="58">
        <f>+VLOOKUP(A274,[1]Base!$A$11:$O$1318,15,FALSE)</f>
        <v>6.20591447368421</v>
      </c>
      <c r="E274" s="58">
        <f>+VLOOKUP(A274,[1]Base!$A$11:$R$1579,18,FALSE)</f>
        <v>7.7573930921052625</v>
      </c>
      <c r="F274">
        <f>+VLOOKUP(A274,[1]Base!$A$11:$O$1264,15,FALSE)</f>
        <v>6.20591447368421</v>
      </c>
      <c r="G274">
        <f t="shared" si="4"/>
        <v>1</v>
      </c>
    </row>
    <row r="275" spans="1:7" x14ac:dyDescent="0.25">
      <c r="A275" s="38" t="s">
        <v>678</v>
      </c>
      <c r="B275" s="37" t="s">
        <v>1807</v>
      </c>
      <c r="C275" s="63"/>
      <c r="D275" s="58">
        <f>+VLOOKUP(A275,[1]Base!$A$11:$O$1318,15,FALSE)</f>
        <v>7.1967747678018563</v>
      </c>
      <c r="E275" s="58">
        <f>+VLOOKUP(A275,[1]Base!$A$11:$R$1579,18,FALSE)</f>
        <v>8.9959684597523193</v>
      </c>
      <c r="F275">
        <f>+VLOOKUP(A275,[1]Base!$A$11:$O$1264,15,FALSE)</f>
        <v>7.1967747678018563</v>
      </c>
      <c r="G275">
        <f t="shared" si="4"/>
        <v>1</v>
      </c>
    </row>
    <row r="276" spans="1:7" x14ac:dyDescent="0.25">
      <c r="A276" s="38">
        <v>8512712</v>
      </c>
      <c r="B276" s="37" t="s">
        <v>364</v>
      </c>
      <c r="C276" s="63">
        <v>1</v>
      </c>
      <c r="D276" s="58">
        <f>+VLOOKUP(A276,[1]Base!$A$11:$O$1318,15,FALSE)</f>
        <v>8272.9794235681111</v>
      </c>
      <c r="E276" s="58">
        <f>+VLOOKUP(A276,[1]Base!$A$11:$R$1579,18,FALSE)</f>
        <v>10341.224279460139</v>
      </c>
      <c r="F276">
        <f>+VLOOKUP(A276,[1]Base!$A$11:$O$1264,15,FALSE)</f>
        <v>8272.9794235681111</v>
      </c>
      <c r="G276">
        <f t="shared" si="4"/>
        <v>1</v>
      </c>
    </row>
    <row r="277" spans="1:7" x14ac:dyDescent="0.25">
      <c r="A277" s="38">
        <v>8510669</v>
      </c>
      <c r="B277" s="37" t="s">
        <v>1670</v>
      </c>
      <c r="C277" s="63"/>
      <c r="D277" s="58">
        <f>+VLOOKUP(A277,[1]Base!$A$11:$O$1318,15,FALSE)</f>
        <v>119.55511706656344</v>
      </c>
      <c r="E277" s="58">
        <f>+VLOOKUP(A277,[1]Base!$A$11:$R$1579,18,FALSE)</f>
        <v>149.44389633320429</v>
      </c>
      <c r="F277">
        <f>+VLOOKUP(A277,[1]Base!$A$11:$O$1264,15,FALSE)</f>
        <v>119.55511706656344</v>
      </c>
      <c r="G277">
        <f t="shared" si="4"/>
        <v>1</v>
      </c>
    </row>
    <row r="278" spans="1:7" x14ac:dyDescent="0.25">
      <c r="A278" s="36">
        <v>3558118</v>
      </c>
      <c r="B278" s="35" t="s">
        <v>135</v>
      </c>
      <c r="C278" s="63">
        <v>1</v>
      </c>
      <c r="D278" s="58">
        <f>+VLOOKUP(A278,[1]Base!$A$11:$O$1318,15,FALSE)</f>
        <v>202.42232797987614</v>
      </c>
      <c r="E278" s="58">
        <f>+VLOOKUP(A278,[1]Base!$A$11:$R$1579,18,FALSE)</f>
        <v>253.02790997484516</v>
      </c>
      <c r="F278">
        <f>+VLOOKUP(A278,[1]Base!$A$11:$O$1264,15,FALSE)</f>
        <v>202.42232797987614</v>
      </c>
      <c r="G278">
        <f t="shared" si="4"/>
        <v>1</v>
      </c>
    </row>
    <row r="279" spans="1:7" x14ac:dyDescent="0.25">
      <c r="A279" s="38">
        <v>8500323</v>
      </c>
      <c r="B279" s="37" t="s">
        <v>1644</v>
      </c>
      <c r="C279" s="63"/>
      <c r="D279" s="58">
        <f>+VLOOKUP(A279,[1]Base!$A$11:$O$1318,15,FALSE)</f>
        <v>196.81614473684209</v>
      </c>
      <c r="E279" s="58">
        <f>+VLOOKUP(A279,[1]Base!$A$11:$R$1579,18,FALSE)</f>
        <v>246.0201809210526</v>
      </c>
      <c r="F279" t="e">
        <f>+VLOOKUP(A279,[1]Base!$A$11:$O$1264,15,FALSE)</f>
        <v>#N/A</v>
      </c>
      <c r="G279" t="e">
        <f t="shared" si="4"/>
        <v>#N/A</v>
      </c>
    </row>
    <row r="280" spans="1:7" x14ac:dyDescent="0.25">
      <c r="A280" s="168" t="s">
        <v>2057</v>
      </c>
      <c r="B280" s="164" t="s">
        <v>2058</v>
      </c>
      <c r="C280" s="263">
        <v>260</v>
      </c>
      <c r="D280" s="58">
        <f>+VLOOKUP(A280,[1]Base!$A$11:$O$1318,15,FALSE)</f>
        <v>282.33047385620915</v>
      </c>
      <c r="E280" s="58">
        <f>+VLOOKUP(A280,[1]Base!$A$11:$R$1579,18,FALSE)</f>
        <v>352.9130923202614</v>
      </c>
      <c r="F280">
        <f>+VLOOKUP(A280,[1]Base!$A$11:$O$1264,15,FALSE)</f>
        <v>282.33047385620915</v>
      </c>
      <c r="G280">
        <f t="shared" si="4"/>
        <v>1</v>
      </c>
    </row>
    <row r="281" spans="1:7" x14ac:dyDescent="0.25">
      <c r="A281" s="36">
        <v>8513776</v>
      </c>
      <c r="B281" s="37" t="s">
        <v>384</v>
      </c>
      <c r="C281" s="63">
        <v>1</v>
      </c>
      <c r="D281" s="58">
        <f>+VLOOKUP(A281,[1]Base!$A$11:$O$1318,15,FALSE)</f>
        <v>65.683607391640876</v>
      </c>
      <c r="E281" s="58">
        <f>+VLOOKUP(A281,[1]Base!$A$11:$R$1579,18,FALSE)</f>
        <v>82.104509239551092</v>
      </c>
      <c r="F281">
        <f>+VLOOKUP(A281,[1]Base!$A$11:$O$1264,15,FALSE)</f>
        <v>65.683607391640876</v>
      </c>
      <c r="G281">
        <f t="shared" si="4"/>
        <v>1</v>
      </c>
    </row>
    <row r="282" spans="1:7" x14ac:dyDescent="0.25">
      <c r="A282" s="36" t="s">
        <v>565</v>
      </c>
      <c r="B282" s="35" t="s">
        <v>566</v>
      </c>
      <c r="C282" s="63">
        <v>28.75</v>
      </c>
      <c r="D282" s="58">
        <f>+VLOOKUP(A282,[1]Base!$A$11:$O$1318,15,FALSE)</f>
        <v>25.277476780185761</v>
      </c>
      <c r="E282" s="58">
        <f>+VLOOKUP(A282,[1]Base!$A$11:$R$1579,18,FALSE)</f>
        <v>31.596845975232199</v>
      </c>
      <c r="F282">
        <f>+VLOOKUP(A282,[1]Base!$A$11:$O$1264,15,FALSE)</f>
        <v>25.277476780185761</v>
      </c>
      <c r="G282">
        <f t="shared" si="4"/>
        <v>1</v>
      </c>
    </row>
    <row r="283" spans="1:7" x14ac:dyDescent="0.25">
      <c r="A283" s="36">
        <v>8503075</v>
      </c>
      <c r="B283" s="35" t="s">
        <v>279</v>
      </c>
      <c r="C283" s="63">
        <v>1</v>
      </c>
      <c r="D283" s="58">
        <f>+VLOOKUP(A283,[1]Base!$A$11:$O$1318,15,FALSE)</f>
        <v>292.12762848297217</v>
      </c>
      <c r="E283" s="58">
        <f>+VLOOKUP(A283,[1]Base!$A$11:$R$1579,18,FALSE)</f>
        <v>324.58625386996908</v>
      </c>
      <c r="F283">
        <f>+VLOOKUP(A283,[1]Base!$A$11:$O$1264,15,FALSE)</f>
        <v>292.12762848297217</v>
      </c>
      <c r="G283">
        <f t="shared" si="4"/>
        <v>1</v>
      </c>
    </row>
    <row r="284" spans="1:7" x14ac:dyDescent="0.25">
      <c r="A284" s="36">
        <v>8518532</v>
      </c>
      <c r="B284" s="35" t="s">
        <v>434</v>
      </c>
      <c r="C284" s="63">
        <v>1</v>
      </c>
      <c r="D284" s="58">
        <f>+VLOOKUP(A284,[1]Base!$A$11:$O$1318,15,FALSE)</f>
        <v>1141.5526857585139</v>
      </c>
      <c r="E284" s="58">
        <f>+VLOOKUP(A284,[1]Base!$A$11:$R$1579,18,FALSE)</f>
        <v>1426.9408571981423</v>
      </c>
      <c r="F284">
        <f>+VLOOKUP(A284,[1]Base!$A$11:$O$1264,15,FALSE)</f>
        <v>1141.5526857585139</v>
      </c>
      <c r="G284">
        <f t="shared" si="4"/>
        <v>1</v>
      </c>
    </row>
    <row r="285" spans="1:7" x14ac:dyDescent="0.25">
      <c r="A285" s="39">
        <v>8583219</v>
      </c>
      <c r="B285" s="35" t="s">
        <v>463</v>
      </c>
      <c r="C285" s="63">
        <v>1</v>
      </c>
      <c r="D285" s="58">
        <f>+VLOOKUP(A285,[1]Base!$A$11:$O$1318,15,FALSE)</f>
        <v>561.18517801857593</v>
      </c>
      <c r="E285" s="58">
        <f>+VLOOKUP(A285,[1]Base!$A$11:$R$1579,18,FALSE)</f>
        <v>701.48147252321985</v>
      </c>
      <c r="F285">
        <f>+VLOOKUP(A285,[1]Base!$A$11:$O$1264,15,FALSE)</f>
        <v>561.18517801857593</v>
      </c>
      <c r="G285">
        <f t="shared" si="4"/>
        <v>1</v>
      </c>
    </row>
    <row r="286" spans="1:7" x14ac:dyDescent="0.25">
      <c r="A286" s="40">
        <v>8506294</v>
      </c>
      <c r="B286" s="35" t="s">
        <v>295</v>
      </c>
      <c r="C286" s="63">
        <v>1</v>
      </c>
      <c r="D286" s="58">
        <f>+VLOOKUP(A286,[1]Base!$A$11:$O$1318,15,FALSE)</f>
        <v>1081.2371830495356</v>
      </c>
      <c r="E286" s="58">
        <f>+VLOOKUP(A286,[1]Base!$A$11:$R$1579,18,FALSE)</f>
        <v>1351.5464788119193</v>
      </c>
      <c r="F286">
        <f>+VLOOKUP(A286,[1]Base!$A$11:$O$1264,15,FALSE)</f>
        <v>1081.2371830495356</v>
      </c>
      <c r="G286">
        <f t="shared" si="4"/>
        <v>1</v>
      </c>
    </row>
    <row r="287" spans="1:7" x14ac:dyDescent="0.25">
      <c r="A287" s="36" t="s">
        <v>542</v>
      </c>
      <c r="B287" s="37" t="s">
        <v>1770</v>
      </c>
      <c r="C287" s="63">
        <v>1000</v>
      </c>
      <c r="D287" s="58">
        <f>+VLOOKUP(A287,[1]Base!$A$11:$O$1318,15,FALSE)</f>
        <v>2081.6443014705883</v>
      </c>
      <c r="E287" s="58">
        <f>+VLOOKUP(A287,[1]Base!$A$11:$R$1579,18,FALSE)</f>
        <v>2973.7775735294122</v>
      </c>
      <c r="F287">
        <f>+VLOOKUP(A287,[1]Base!$A$11:$O$1264,15,FALSE)</f>
        <v>2081.6443014705883</v>
      </c>
      <c r="G287">
        <f t="shared" si="4"/>
        <v>1</v>
      </c>
    </row>
    <row r="288" spans="1:7" x14ac:dyDescent="0.25">
      <c r="A288" s="38">
        <v>8503894</v>
      </c>
      <c r="B288" s="37" t="s">
        <v>1651</v>
      </c>
      <c r="C288" s="63"/>
      <c r="D288" s="58">
        <f>+VLOOKUP(A288,[1]Base!$A$11:$O$1318,15,FALSE)</f>
        <v>464.27019833591339</v>
      </c>
      <c r="E288" s="58">
        <f>+VLOOKUP(A288,[1]Base!$A$11:$R$1579,18,FALSE)</f>
        <v>580.33774791989174</v>
      </c>
      <c r="F288">
        <f>+VLOOKUP(A288,[1]Base!$A$11:$O$1264,15,FALSE)</f>
        <v>464.27019833591339</v>
      </c>
      <c r="G288">
        <f t="shared" si="4"/>
        <v>1</v>
      </c>
    </row>
    <row r="289" spans="1:7" x14ac:dyDescent="0.25">
      <c r="A289" s="38" t="s">
        <v>622</v>
      </c>
      <c r="B289" s="37" t="s">
        <v>1799</v>
      </c>
      <c r="C289" s="63"/>
      <c r="D289" s="58">
        <f>+VLOOKUP(A289,[1]Base!$A$11:$O$1318,15,FALSE)</f>
        <v>10.560484713622291</v>
      </c>
      <c r="E289" s="58">
        <f>+VLOOKUP(A289,[1]Base!$A$11:$R$1579,18,FALSE)</f>
        <v>13.200605892027863</v>
      </c>
      <c r="F289">
        <f>+VLOOKUP(A289,[1]Base!$A$11:$O$1264,15,FALSE)</f>
        <v>10.560484713622291</v>
      </c>
      <c r="G289">
        <f t="shared" si="4"/>
        <v>1</v>
      </c>
    </row>
    <row r="290" spans="1:7" x14ac:dyDescent="0.25">
      <c r="A290" s="22">
        <v>8512707</v>
      </c>
      <c r="B290" s="32" t="s">
        <v>2047</v>
      </c>
      <c r="C290" s="299">
        <v>1</v>
      </c>
      <c r="D290" s="58">
        <f>+VLOOKUP(A290,[1]Base!$A$11:$O$1318,15,FALSE)</f>
        <v>7789.2570731424139</v>
      </c>
      <c r="E290" s="58">
        <f>+VLOOKUP(A290,[1]Base!$A$11:$R$1579,18,FALSE)</f>
        <v>9736.5713414280162</v>
      </c>
      <c r="F290">
        <f>+VLOOKUP(A290,[1]Base!$A$11:$O$1264,15,FALSE)</f>
        <v>7789.2570731424139</v>
      </c>
      <c r="G290">
        <f t="shared" si="4"/>
        <v>1</v>
      </c>
    </row>
    <row r="291" spans="1:7" x14ac:dyDescent="0.25">
      <c r="A291" s="36">
        <v>8501242</v>
      </c>
      <c r="B291" s="35" t="s">
        <v>262</v>
      </c>
      <c r="C291" s="63">
        <v>1</v>
      </c>
      <c r="D291" s="58">
        <f>+VLOOKUP(A291,[1]Base!$A$11:$O$1318,15,FALSE)</f>
        <v>598.42746710526308</v>
      </c>
      <c r="E291" s="58">
        <f>+VLOOKUP(A291,[1]Base!$A$11:$R$1579,18,FALSE)</f>
        <v>748.03433388157885</v>
      </c>
      <c r="F291" t="e">
        <f>+VLOOKUP(A291,[1]Base!$A$11:$O$1264,15,FALSE)</f>
        <v>#N/A</v>
      </c>
      <c r="G291" t="e">
        <f t="shared" si="4"/>
        <v>#N/A</v>
      </c>
    </row>
    <row r="292" spans="1:7" x14ac:dyDescent="0.25">
      <c r="A292" s="36">
        <v>8500887</v>
      </c>
      <c r="B292" s="35" t="s">
        <v>260</v>
      </c>
      <c r="C292" s="63">
        <v>1</v>
      </c>
      <c r="D292" s="58">
        <f>+VLOOKUP(A292,[1]Base!$A$11:$O$1318,15,FALSE)</f>
        <v>3712.8578231424158</v>
      </c>
      <c r="E292" s="58">
        <f>+VLOOKUP(A292,[1]Base!$A$11:$R$1579,18,FALSE)</f>
        <v>4641.0722789280198</v>
      </c>
      <c r="F292">
        <f>+VLOOKUP(A292,[1]Base!$A$11:$O$1264,15,FALSE)</f>
        <v>3712.8578231424158</v>
      </c>
      <c r="G292">
        <f t="shared" si="4"/>
        <v>1</v>
      </c>
    </row>
    <row r="293" spans="1:7" x14ac:dyDescent="0.25">
      <c r="A293" s="40">
        <v>8515466</v>
      </c>
      <c r="B293" s="35" t="s">
        <v>28</v>
      </c>
      <c r="C293" s="63">
        <v>1</v>
      </c>
      <c r="D293" s="58">
        <f>+VLOOKUP(A293,[1]Base!$A$11:$O$1318,15,FALSE)</f>
        <v>198.79786532507737</v>
      </c>
      <c r="E293" s="58">
        <f>+VLOOKUP(A293,[1]Base!$A$11:$R$1579,18,FALSE)</f>
        <v>248.49733165634669</v>
      </c>
      <c r="F293">
        <f>+VLOOKUP(A293,[1]Base!$A$11:$O$1264,15,FALSE)</f>
        <v>198.79786532507737</v>
      </c>
      <c r="G293">
        <f t="shared" si="4"/>
        <v>1</v>
      </c>
    </row>
    <row r="294" spans="1:7" x14ac:dyDescent="0.25">
      <c r="A294" s="36">
        <v>3556251</v>
      </c>
      <c r="B294" s="41" t="s">
        <v>109</v>
      </c>
      <c r="C294" s="63">
        <v>1</v>
      </c>
      <c r="D294" s="58">
        <f>+VLOOKUP(A294,[1]Base!$A$11:$O$1318,15,FALSE)</f>
        <v>283.75109791021669</v>
      </c>
      <c r="E294" s="58">
        <f>+VLOOKUP(A294,[1]Base!$A$11:$R$1579,18,FALSE)</f>
        <v>354.68887238777086</v>
      </c>
      <c r="F294">
        <f>+VLOOKUP(A294,[1]Base!$A$11:$O$1264,15,FALSE)</f>
        <v>283.75109791021669</v>
      </c>
      <c r="G294">
        <f t="shared" si="4"/>
        <v>1</v>
      </c>
    </row>
    <row r="295" spans="1:7" x14ac:dyDescent="0.25">
      <c r="A295" s="38">
        <v>8511687</v>
      </c>
      <c r="B295" s="37" t="s">
        <v>1672</v>
      </c>
      <c r="C295" s="63"/>
      <c r="D295" s="58">
        <f>+VLOOKUP(A295,[1]Base!$A$11:$O$1318,15,FALSE)</f>
        <v>184.97797174922599</v>
      </c>
      <c r="E295" s="58">
        <f>+VLOOKUP(A295,[1]Base!$A$11:$R$1579,18,FALSE)</f>
        <v>231.22246468653248</v>
      </c>
      <c r="F295">
        <f>+VLOOKUP(A295,[1]Base!$A$11:$O$1264,15,FALSE)</f>
        <v>184.97797174922599</v>
      </c>
      <c r="G295">
        <f t="shared" si="4"/>
        <v>1</v>
      </c>
    </row>
    <row r="296" spans="1:7" x14ac:dyDescent="0.25">
      <c r="A296" s="36">
        <v>8500321</v>
      </c>
      <c r="B296" s="35" t="s">
        <v>223</v>
      </c>
      <c r="C296" s="63">
        <v>1</v>
      </c>
      <c r="D296" s="58">
        <f>+VLOOKUP(A296,[1]Base!$A$11:$O$1318,15,FALSE)</f>
        <v>146.28226973684212</v>
      </c>
      <c r="E296" s="58">
        <f>+VLOOKUP(A296,[1]Base!$A$11:$R$1579,18,FALSE)</f>
        <v>182.85283717105264</v>
      </c>
      <c r="F296" t="e">
        <f>+VLOOKUP(A296,[1]Base!$A$11:$O$1264,15,FALSE)</f>
        <v>#N/A</v>
      </c>
      <c r="G296" t="e">
        <f t="shared" si="4"/>
        <v>#N/A</v>
      </c>
    </row>
    <row r="297" spans="1:7" x14ac:dyDescent="0.25">
      <c r="A297" s="38">
        <v>4023713</v>
      </c>
      <c r="B297" s="37" t="s">
        <v>1628</v>
      </c>
      <c r="C297" s="63"/>
      <c r="D297" s="58">
        <f>+VLOOKUP(A297,[1]Base!$A$11:$O$1318,15,FALSE)</f>
        <v>863.03931617647072</v>
      </c>
      <c r="E297" s="58">
        <f>+VLOOKUP(A297,[1]Base!$A$11:$R$1579,18,FALSE)</f>
        <v>1078.7991452205883</v>
      </c>
      <c r="F297">
        <f>+VLOOKUP(A297,[1]Base!$A$11:$O$1264,15,FALSE)</f>
        <v>863.03931617647072</v>
      </c>
      <c r="G297">
        <f t="shared" si="4"/>
        <v>1</v>
      </c>
    </row>
    <row r="298" spans="1:7" x14ac:dyDescent="0.25">
      <c r="A298" s="38">
        <v>8507719</v>
      </c>
      <c r="B298" s="37" t="s">
        <v>1662</v>
      </c>
      <c r="C298" s="63"/>
      <c r="D298" s="58">
        <f>+VLOOKUP(A298,[1]Base!$A$11:$O$1318,15,FALSE)</f>
        <v>66.987370936532514</v>
      </c>
      <c r="E298" s="58">
        <f>+VLOOKUP(A298,[1]Base!$A$11:$R$1579,18,FALSE)</f>
        <v>83.734213670665639</v>
      </c>
      <c r="F298">
        <f>+VLOOKUP(A298,[1]Base!$A$11:$O$1264,15,FALSE)</f>
        <v>66.987370936532514</v>
      </c>
      <c r="G298">
        <f t="shared" si="4"/>
        <v>1</v>
      </c>
    </row>
    <row r="299" spans="1:7" x14ac:dyDescent="0.25">
      <c r="A299" s="36" t="s">
        <v>543</v>
      </c>
      <c r="B299" s="37" t="s">
        <v>1771</v>
      </c>
      <c r="C299" s="63">
        <v>200</v>
      </c>
      <c r="D299" s="58">
        <f>+VLOOKUP(A299,[1]Base!$A$11:$O$1318,15,FALSE)</f>
        <v>438.66709558823533</v>
      </c>
      <c r="E299" s="58">
        <f>+VLOOKUP(A299,[1]Base!$A$11:$R$1579,18,FALSE)</f>
        <v>626.66727941176475</v>
      </c>
      <c r="F299">
        <f>+VLOOKUP(A299,[1]Base!$A$11:$O$1264,15,FALSE)</f>
        <v>438.66709558823533</v>
      </c>
      <c r="G299">
        <f t="shared" si="4"/>
        <v>1</v>
      </c>
    </row>
    <row r="300" spans="1:7" x14ac:dyDescent="0.25">
      <c r="A300" s="36">
        <v>4022784</v>
      </c>
      <c r="B300" s="35" t="s">
        <v>176</v>
      </c>
      <c r="C300" s="63">
        <v>1</v>
      </c>
      <c r="D300" s="58">
        <f>+VLOOKUP(A300,[1]Base!$A$11:$O$1318,15,FALSE)</f>
        <v>4735.4114674922603</v>
      </c>
      <c r="E300" s="58">
        <f>+VLOOKUP(A300,[1]Base!$A$11:$R$1579,18,FALSE)</f>
        <v>5261.5682972136228</v>
      </c>
      <c r="F300">
        <f>+VLOOKUP(A300,[1]Base!$A$11:$O$1264,15,FALSE)</f>
        <v>4735.4114674922603</v>
      </c>
      <c r="G300">
        <f t="shared" si="4"/>
        <v>1</v>
      </c>
    </row>
    <row r="301" spans="1:7" x14ac:dyDescent="0.25">
      <c r="A301" s="40">
        <v>8502127</v>
      </c>
      <c r="B301" s="35" t="s">
        <v>37</v>
      </c>
      <c r="C301" s="63">
        <v>1</v>
      </c>
      <c r="D301" s="58">
        <f>+VLOOKUP(A301,[1]Base!$A$11:$O$1318,15,FALSE)</f>
        <v>1999.4778477167179</v>
      </c>
      <c r="E301" s="58">
        <f>+VLOOKUP(A301,[1]Base!$A$11:$R$1579,18,FALSE)</f>
        <v>2499.347309645897</v>
      </c>
      <c r="F301">
        <f>+VLOOKUP(A301,[1]Base!$A$11:$O$1264,15,FALSE)</f>
        <v>1999.4778477167179</v>
      </c>
      <c r="G301">
        <f t="shared" si="4"/>
        <v>1</v>
      </c>
    </row>
    <row r="302" spans="1:7" x14ac:dyDescent="0.25">
      <c r="A302" s="38">
        <v>8519972</v>
      </c>
      <c r="B302" s="37" t="s">
        <v>1702</v>
      </c>
      <c r="C302" s="63"/>
      <c r="D302" s="58">
        <f>+VLOOKUP(A302,[1]Base!$A$11:$O$1318,15,FALSE)</f>
        <v>52.567746130030955</v>
      </c>
      <c r="E302" s="58">
        <f>+VLOOKUP(A302,[1]Base!$A$11:$R$1579,18,FALSE)</f>
        <v>65.709682662538683</v>
      </c>
      <c r="F302">
        <f>+VLOOKUP(A302,[1]Base!$A$11:$O$1264,15,FALSE)</f>
        <v>52.567746130030955</v>
      </c>
      <c r="G302">
        <f t="shared" si="4"/>
        <v>1</v>
      </c>
    </row>
    <row r="303" spans="1:7" x14ac:dyDescent="0.25">
      <c r="A303" s="38">
        <v>8507215</v>
      </c>
      <c r="B303" s="37" t="s">
        <v>1657</v>
      </c>
      <c r="C303" s="63"/>
      <c r="D303" s="58">
        <f>+VLOOKUP(A303,[1]Base!$A$11:$O$1318,15,FALSE)</f>
        <v>613.96832856037145</v>
      </c>
      <c r="E303" s="58">
        <f>+VLOOKUP(A303,[1]Base!$A$11:$R$1579,18,FALSE)</f>
        <v>767.46041070046431</v>
      </c>
      <c r="F303">
        <f>+VLOOKUP(A303,[1]Base!$A$11:$O$1264,15,FALSE)</f>
        <v>613.96832856037145</v>
      </c>
      <c r="G303">
        <f t="shared" si="4"/>
        <v>1</v>
      </c>
    </row>
    <row r="304" spans="1:7" x14ac:dyDescent="0.25">
      <c r="A304" s="36">
        <v>8511730</v>
      </c>
      <c r="B304" s="35" t="s">
        <v>351</v>
      </c>
      <c r="C304" s="63">
        <v>1</v>
      </c>
      <c r="D304" s="58">
        <f>+VLOOKUP(A304,[1]Base!$A$11:$O$1318,15,FALSE)</f>
        <v>674.38473123065023</v>
      </c>
      <c r="E304" s="58">
        <f>+VLOOKUP(A304,[1]Base!$A$11:$R$1579,18,FALSE)</f>
        <v>842.98091403831279</v>
      </c>
      <c r="F304">
        <f>+VLOOKUP(A304,[1]Base!$A$11:$O$1264,15,FALSE)</f>
        <v>674.38473123065023</v>
      </c>
      <c r="G304">
        <f t="shared" si="4"/>
        <v>1</v>
      </c>
    </row>
    <row r="305" spans="1:7" x14ac:dyDescent="0.25">
      <c r="A305" s="38">
        <v>8502797</v>
      </c>
      <c r="B305" s="37" t="s">
        <v>1649</v>
      </c>
      <c r="C305" s="63"/>
      <c r="D305" s="58">
        <f>+VLOOKUP(A305,[1]Base!$A$11:$O$1318,15,FALSE)</f>
        <v>236.26802960526311</v>
      </c>
      <c r="E305" s="58">
        <f>+VLOOKUP(A305,[1]Base!$A$11:$R$1579,18,FALSE)</f>
        <v>295.33503700657889</v>
      </c>
      <c r="F305">
        <f>+VLOOKUP(A305,[1]Base!$A$11:$O$1264,15,FALSE)</f>
        <v>236.26802960526311</v>
      </c>
      <c r="G305">
        <f t="shared" si="4"/>
        <v>1</v>
      </c>
    </row>
    <row r="306" spans="1:7" x14ac:dyDescent="0.25">
      <c r="A306" s="36">
        <v>8506805</v>
      </c>
      <c r="B306" s="35" t="s">
        <v>298</v>
      </c>
      <c r="C306" s="63">
        <v>1</v>
      </c>
      <c r="D306" s="58">
        <f>+VLOOKUP(A306,[1]Base!$A$11:$O$1318,15,FALSE)</f>
        <v>3.0768819659442723</v>
      </c>
      <c r="E306" s="58">
        <f>+VLOOKUP(A306,[1]Base!$A$11:$R$1579,18,FALSE)</f>
        <v>3.8461024574303404</v>
      </c>
      <c r="F306">
        <f>+VLOOKUP(A306,[1]Base!$A$11:$O$1264,15,FALSE)</f>
        <v>3.0768819659442723</v>
      </c>
      <c r="G306">
        <f t="shared" si="4"/>
        <v>1</v>
      </c>
    </row>
    <row r="307" spans="1:7" x14ac:dyDescent="0.25">
      <c r="A307" s="36">
        <v>8508251</v>
      </c>
      <c r="B307" s="35" t="s">
        <v>328</v>
      </c>
      <c r="C307" s="63">
        <v>1</v>
      </c>
      <c r="D307" s="58">
        <f>+VLOOKUP(A307,[1]Base!$A$11:$O$1318,15,FALSE)</f>
        <v>1068.5385261222912</v>
      </c>
      <c r="E307" s="58">
        <f>+VLOOKUP(A307,[1]Base!$A$11:$R$1579,18,FALSE)</f>
        <v>1335.6731576528639</v>
      </c>
      <c r="F307">
        <f>+VLOOKUP(A307,[1]Base!$A$11:$O$1264,15,FALSE)</f>
        <v>1068.5385261222912</v>
      </c>
      <c r="G307">
        <f t="shared" si="4"/>
        <v>1</v>
      </c>
    </row>
    <row r="308" spans="1:7" x14ac:dyDescent="0.25">
      <c r="A308" s="36" t="s">
        <v>495</v>
      </c>
      <c r="B308" s="35" t="s">
        <v>1745</v>
      </c>
      <c r="C308" s="63">
        <v>25</v>
      </c>
      <c r="D308" s="58">
        <f>+VLOOKUP(A308,[1]Base!$A$11:$O$1318,15,FALSE)</f>
        <v>62.001068474264713</v>
      </c>
      <c r="E308" s="58">
        <f>+VLOOKUP(A308,[1]Base!$A$11:$R$1579,18,FALSE)</f>
        <v>88.572954963235304</v>
      </c>
      <c r="F308">
        <f>+VLOOKUP(A308,[1]Base!$A$11:$O$1264,15,FALSE)</f>
        <v>62.001068474264713</v>
      </c>
      <c r="G308">
        <f t="shared" si="4"/>
        <v>1</v>
      </c>
    </row>
    <row r="309" spans="1:7" x14ac:dyDescent="0.25">
      <c r="A309" s="36">
        <v>8506832</v>
      </c>
      <c r="B309" s="35" t="s">
        <v>299</v>
      </c>
      <c r="C309" s="63">
        <v>1</v>
      </c>
      <c r="D309" s="58">
        <f>+VLOOKUP(A309,[1]Base!$A$11:$O$1318,15,FALSE)</f>
        <v>68.916940982972136</v>
      </c>
      <c r="E309" s="58">
        <f>+VLOOKUP(A309,[1]Base!$A$11:$R$1579,18,FALSE)</f>
        <v>86.146176228715163</v>
      </c>
      <c r="F309">
        <f>+VLOOKUP(A309,[1]Base!$A$11:$O$1264,15,FALSE)</f>
        <v>68.916940982972136</v>
      </c>
      <c r="G309">
        <f t="shared" si="4"/>
        <v>1</v>
      </c>
    </row>
    <row r="310" spans="1:7" x14ac:dyDescent="0.25">
      <c r="A310" s="38">
        <v>8512713</v>
      </c>
      <c r="B310" s="37" t="s">
        <v>365</v>
      </c>
      <c r="C310" s="63">
        <v>1</v>
      </c>
      <c r="D310" s="58">
        <f>+VLOOKUP(A310,[1]Base!$A$11:$O$1318,15,FALSE)</f>
        <v>9330.4359595588212</v>
      </c>
      <c r="E310" s="58">
        <f>+VLOOKUP(A310,[1]Base!$A$11:$R$1579,18,FALSE)</f>
        <v>11663.044949448526</v>
      </c>
      <c r="F310">
        <f>+VLOOKUP(A310,[1]Base!$A$11:$O$1264,15,FALSE)</f>
        <v>9330.4359595588212</v>
      </c>
      <c r="G310">
        <f t="shared" si="4"/>
        <v>1</v>
      </c>
    </row>
    <row r="311" spans="1:7" x14ac:dyDescent="0.25">
      <c r="A311" s="36" t="s">
        <v>544</v>
      </c>
      <c r="B311" s="37" t="s">
        <v>1772</v>
      </c>
      <c r="C311" s="63">
        <v>1000</v>
      </c>
      <c r="D311" s="58">
        <f>+VLOOKUP(A311,[1]Base!$A$11:$O$1318,15,FALSE)</f>
        <v>2101.5891544117644</v>
      </c>
      <c r="E311" s="58">
        <f>+VLOOKUP(A311,[1]Base!$A$11:$R$1579,18,FALSE)</f>
        <v>3002.2702205882351</v>
      </c>
      <c r="F311">
        <f>+VLOOKUP(A311,[1]Base!$A$11:$O$1264,15,FALSE)</f>
        <v>2101.5891544117644</v>
      </c>
      <c r="G311">
        <f t="shared" si="4"/>
        <v>1</v>
      </c>
    </row>
    <row r="312" spans="1:7" x14ac:dyDescent="0.25">
      <c r="A312" s="38" t="s">
        <v>623</v>
      </c>
      <c r="B312" s="37" t="s">
        <v>624</v>
      </c>
      <c r="C312" s="63"/>
      <c r="D312" s="58">
        <f>+VLOOKUP(A312,[1]Base!$A$11:$O$1318,15,FALSE)</f>
        <v>21.877152283281735</v>
      </c>
      <c r="E312" s="58">
        <f>+VLOOKUP(A312,[1]Base!$A$11:$R$1579,18,FALSE)</f>
        <v>27.346440354102167</v>
      </c>
      <c r="F312">
        <f>+VLOOKUP(A312,[1]Base!$A$11:$O$1264,15,FALSE)</f>
        <v>21.877152283281735</v>
      </c>
      <c r="G312">
        <f t="shared" si="4"/>
        <v>1</v>
      </c>
    </row>
    <row r="313" spans="1:7" x14ac:dyDescent="0.25">
      <c r="A313" s="38">
        <v>8518516</v>
      </c>
      <c r="B313" s="37" t="s">
        <v>1695</v>
      </c>
      <c r="C313" s="63"/>
      <c r="D313" s="58">
        <f>+VLOOKUP(A313,[1]Base!$A$11:$O$1318,15,FALSE)</f>
        <v>1543.9950156733746</v>
      </c>
      <c r="E313" s="58">
        <f>+VLOOKUP(A313,[1]Base!$A$11:$R$1579,18,FALSE)</f>
        <v>1929.9937695917181</v>
      </c>
      <c r="F313">
        <f>+VLOOKUP(A313,[1]Base!$A$11:$O$1264,15,FALSE)</f>
        <v>1543.9950156733746</v>
      </c>
      <c r="G313">
        <f t="shared" si="4"/>
        <v>1</v>
      </c>
    </row>
    <row r="314" spans="1:7" x14ac:dyDescent="0.25">
      <c r="A314" s="38">
        <v>8517041</v>
      </c>
      <c r="B314" s="37" t="s">
        <v>31</v>
      </c>
      <c r="C314" s="63">
        <v>1</v>
      </c>
      <c r="D314" s="58">
        <f>+VLOOKUP(A314,[1]Base!$A$11:$O$1318,15,FALSE)</f>
        <v>69.568822755417941</v>
      </c>
      <c r="E314" s="58">
        <f>+VLOOKUP(A314,[1]Base!$A$11:$R$1579,18,FALSE)</f>
        <v>86.961028444272415</v>
      </c>
      <c r="F314">
        <f>+VLOOKUP(A314,[1]Base!$A$11:$O$1264,15,FALSE)</f>
        <v>69.568822755417941</v>
      </c>
      <c r="G314">
        <f t="shared" si="4"/>
        <v>1</v>
      </c>
    </row>
    <row r="315" spans="1:7" x14ac:dyDescent="0.25">
      <c r="A315" s="38">
        <v>8504136</v>
      </c>
      <c r="B315" s="37" t="s">
        <v>1652</v>
      </c>
      <c r="C315" s="63"/>
      <c r="D315" s="58">
        <f>+VLOOKUP(A315,[1]Base!$A$11:$O$1318,15,FALSE)</f>
        <v>279.50082875386994</v>
      </c>
      <c r="E315" s="58">
        <f>+VLOOKUP(A315,[1]Base!$A$11:$R$1579,18,FALSE)</f>
        <v>349.37603594233741</v>
      </c>
      <c r="F315">
        <f>+VLOOKUP(A315,[1]Base!$A$11:$O$1264,15,FALSE)</f>
        <v>279.50082875386994</v>
      </c>
      <c r="G315">
        <f t="shared" si="4"/>
        <v>1</v>
      </c>
    </row>
    <row r="316" spans="1:7" x14ac:dyDescent="0.25">
      <c r="A316" s="36">
        <v>1917533</v>
      </c>
      <c r="B316" s="35" t="s">
        <v>83</v>
      </c>
      <c r="C316" s="63">
        <v>1</v>
      </c>
      <c r="D316" s="58">
        <f>+VLOOKUP(A316,[1]Base!$A$11:$O$1318,15,FALSE)</f>
        <v>8.2137103328173371</v>
      </c>
      <c r="E316" s="58">
        <f>+VLOOKUP(A316,[1]Base!$A$11:$R$1579,18,FALSE)</f>
        <v>10.267137916021671</v>
      </c>
      <c r="F316">
        <f>+VLOOKUP(A316,[1]Base!$A$11:$O$1264,15,FALSE)</f>
        <v>8.2137103328173371</v>
      </c>
      <c r="G316">
        <f t="shared" si="4"/>
        <v>1</v>
      </c>
    </row>
    <row r="317" spans="1:7" x14ac:dyDescent="0.25">
      <c r="A317" s="36">
        <v>4025981</v>
      </c>
      <c r="B317" s="35" t="s">
        <v>193</v>
      </c>
      <c r="C317" s="63">
        <v>1</v>
      </c>
      <c r="D317" s="58">
        <f>+VLOOKUP(A317,[1]Base!$A$11:$O$1318,15,FALSE)</f>
        <v>4696.1562886996908</v>
      </c>
      <c r="E317" s="58">
        <f>+VLOOKUP(A317,[1]Base!$A$11:$R$1579,18,FALSE)</f>
        <v>5870.1953608746135</v>
      </c>
      <c r="F317">
        <f>+VLOOKUP(A317,[1]Base!$A$11:$O$1264,15,FALSE)</f>
        <v>4696.1562886996908</v>
      </c>
      <c r="G317">
        <f t="shared" si="4"/>
        <v>1</v>
      </c>
    </row>
    <row r="318" spans="1:7" x14ac:dyDescent="0.25">
      <c r="A318" s="38">
        <v>4020794</v>
      </c>
      <c r="B318" s="37" t="s">
        <v>1624</v>
      </c>
      <c r="C318" s="63"/>
      <c r="D318" s="58">
        <f>+VLOOKUP(A318,[1]Base!$A$11:$O$1318,15,FALSE)</f>
        <v>4243.985016060371</v>
      </c>
      <c r="E318" s="58">
        <f>+VLOOKUP(A318,[1]Base!$A$11:$R$1579,18,FALSE)</f>
        <v>5304.9812700754637</v>
      </c>
      <c r="F318">
        <f>+VLOOKUP(A318,[1]Base!$A$11:$O$1264,15,FALSE)</f>
        <v>4243.985016060371</v>
      </c>
      <c r="G318">
        <f t="shared" si="4"/>
        <v>1</v>
      </c>
    </row>
    <row r="319" spans="1:7" x14ac:dyDescent="0.25">
      <c r="A319" s="38">
        <v>8519442</v>
      </c>
      <c r="B319" s="37" t="s">
        <v>1701</v>
      </c>
      <c r="C319" s="63"/>
      <c r="D319" s="58">
        <f>+VLOOKUP(A319,[1]Base!$A$11:$O$1318,15,FALSE)</f>
        <v>223.23039415634673</v>
      </c>
      <c r="E319" s="58">
        <f>+VLOOKUP(A319,[1]Base!$A$11:$R$1579,18,FALSE)</f>
        <v>279.03799269543339</v>
      </c>
      <c r="F319">
        <f>+VLOOKUP(A319,[1]Base!$A$11:$O$1264,15,FALSE)</f>
        <v>223.23039415634673</v>
      </c>
      <c r="G319">
        <f t="shared" si="4"/>
        <v>1</v>
      </c>
    </row>
    <row r="320" spans="1:7" x14ac:dyDescent="0.25">
      <c r="A320" s="39">
        <v>14124</v>
      </c>
      <c r="B320" s="35" t="s">
        <v>52</v>
      </c>
      <c r="C320" s="63">
        <v>1</v>
      </c>
      <c r="D320" s="58">
        <f>+VLOOKUP(A320,[1]Base!$A$11:$O$1318,15,FALSE)</f>
        <v>81.798124806501548</v>
      </c>
      <c r="E320" s="58">
        <f>+VLOOKUP(A320,[1]Base!$A$11:$R$1579,18,FALSE)</f>
        <v>102.24765600812692</v>
      </c>
      <c r="F320">
        <f>+VLOOKUP(A320,[1]Base!$A$11:$O$1264,15,FALSE)</f>
        <v>81.798124806501548</v>
      </c>
      <c r="G320">
        <f t="shared" si="4"/>
        <v>1</v>
      </c>
    </row>
    <row r="321" spans="1:7" x14ac:dyDescent="0.25">
      <c r="A321" s="36" t="s">
        <v>503</v>
      </c>
      <c r="B321" s="35" t="s">
        <v>1751</v>
      </c>
      <c r="C321" s="63">
        <v>25</v>
      </c>
      <c r="D321" s="58">
        <f>+VLOOKUP(A321,[1]Base!$A$11:$O$1318,15,FALSE)</f>
        <v>64.992796415441177</v>
      </c>
      <c r="E321" s="58">
        <f>+VLOOKUP(A321,[1]Base!$A$11:$R$1579,18,FALSE)</f>
        <v>92.846852022058826</v>
      </c>
      <c r="F321">
        <f>+VLOOKUP(A321,[1]Base!$A$11:$O$1264,15,FALSE)</f>
        <v>64.992796415441177</v>
      </c>
      <c r="G321">
        <f t="shared" si="4"/>
        <v>1</v>
      </c>
    </row>
    <row r="322" spans="1:7" x14ac:dyDescent="0.25">
      <c r="A322" s="38" t="s">
        <v>621</v>
      </c>
      <c r="B322" s="37" t="s">
        <v>1798</v>
      </c>
      <c r="C322" s="63"/>
      <c r="D322" s="58">
        <f>+VLOOKUP(A322,[1]Base!$A$11:$O$1318,15,FALSE)</f>
        <v>34.054303792569655</v>
      </c>
      <c r="E322" s="58">
        <f>+VLOOKUP(A322,[1]Base!$A$11:$R$1579,18,FALSE)</f>
        <v>42.567879740712065</v>
      </c>
      <c r="F322">
        <f>+VLOOKUP(A322,[1]Base!$A$11:$O$1264,15,FALSE)</f>
        <v>34.054303792569655</v>
      </c>
      <c r="G322">
        <f t="shared" si="4"/>
        <v>1</v>
      </c>
    </row>
    <row r="323" spans="1:7" x14ac:dyDescent="0.25">
      <c r="A323" s="387">
        <v>4026127</v>
      </c>
      <c r="B323" s="260" t="s">
        <v>1966</v>
      </c>
      <c r="C323" s="327">
        <v>1</v>
      </c>
      <c r="D323" s="58">
        <f>+VLOOKUP(A323,[1]Base!$A$11:$O$1318,15,FALSE)</f>
        <v>52.228767608359149</v>
      </c>
      <c r="E323" s="58">
        <f>+VLOOKUP(A323,[1]Base!$A$11:$R$1579,18,FALSE)</f>
        <v>65.285959510448933</v>
      </c>
      <c r="F323">
        <f>+VLOOKUP(A323,[1]Base!$A$11:$O$1264,15,FALSE)</f>
        <v>52.228767608359149</v>
      </c>
      <c r="G323">
        <f t="shared" si="4"/>
        <v>1</v>
      </c>
    </row>
    <row r="324" spans="1:7" x14ac:dyDescent="0.25">
      <c r="A324" s="36">
        <v>8507954</v>
      </c>
      <c r="B324" s="35" t="s">
        <v>324</v>
      </c>
      <c r="C324" s="63">
        <v>1</v>
      </c>
      <c r="D324" s="58">
        <f>+VLOOKUP(A324,[1]Base!$A$11:$O$1318,15,FALSE)</f>
        <v>82.945436726006179</v>
      </c>
      <c r="E324" s="58">
        <f>+VLOOKUP(A324,[1]Base!$A$11:$R$1579,18,FALSE)</f>
        <v>103.68179590750772</v>
      </c>
      <c r="F324" t="e">
        <f>+VLOOKUP(A324,[1]Base!$A$11:$O$1264,15,FALSE)</f>
        <v>#N/A</v>
      </c>
      <c r="G324" t="e">
        <f t="shared" ref="G324:G387" si="5">+F324/D324</f>
        <v>#N/A</v>
      </c>
    </row>
    <row r="325" spans="1:7" x14ac:dyDescent="0.25">
      <c r="A325" s="36" t="s">
        <v>561</v>
      </c>
      <c r="B325" s="35" t="s">
        <v>562</v>
      </c>
      <c r="C325" s="63">
        <v>260</v>
      </c>
      <c r="D325" s="58">
        <f>+VLOOKUP(A325,[1]Base!$A$11:$O$1318,15,FALSE)</f>
        <v>269.65441176470586</v>
      </c>
      <c r="E325" s="58">
        <f>+VLOOKUP(A325,[1]Base!$A$11:$R$1579,18,FALSE)</f>
        <v>337.06801470588232</v>
      </c>
      <c r="F325">
        <f>+VLOOKUP(A325,[1]Base!$A$11:$O$1264,15,FALSE)</f>
        <v>269.65441176470586</v>
      </c>
      <c r="G325">
        <f t="shared" si="5"/>
        <v>1</v>
      </c>
    </row>
    <row r="326" spans="1:7" x14ac:dyDescent="0.25">
      <c r="A326" s="163">
        <v>8583221</v>
      </c>
      <c r="B326" s="260" t="s">
        <v>1932</v>
      </c>
      <c r="C326" s="327">
        <v>1</v>
      </c>
      <c r="D326" s="58">
        <f>+VLOOKUP(A326,[1]Base!$A$11:$O$1318,15,FALSE)</f>
        <v>187.24652031733748</v>
      </c>
      <c r="E326" s="58">
        <f>+VLOOKUP(A326,[1]Base!$A$11:$R$1579,18,FALSE)</f>
        <v>234.05815039667183</v>
      </c>
      <c r="F326">
        <f>+VLOOKUP(A326,[1]Base!$A$11:$O$1264,15,FALSE)</f>
        <v>187.24652031733748</v>
      </c>
      <c r="G326">
        <f t="shared" si="5"/>
        <v>1</v>
      </c>
    </row>
    <row r="327" spans="1:7" x14ac:dyDescent="0.25">
      <c r="A327" s="38">
        <v>8504277</v>
      </c>
      <c r="B327" s="37" t="s">
        <v>1653</v>
      </c>
      <c r="C327" s="63"/>
      <c r="D327" s="58">
        <f>+VLOOKUP(A327,[1]Base!$A$11:$O$1318,15,FALSE)</f>
        <v>35.827422213622292</v>
      </c>
      <c r="E327" s="58">
        <f>+VLOOKUP(A327,[1]Base!$A$11:$R$1579,18,FALSE)</f>
        <v>44.784277767027859</v>
      </c>
      <c r="F327">
        <f>+VLOOKUP(A327,[1]Base!$A$11:$O$1264,15,FALSE)</f>
        <v>35.827422213622292</v>
      </c>
      <c r="G327">
        <f t="shared" si="5"/>
        <v>1</v>
      </c>
    </row>
    <row r="328" spans="1:7" x14ac:dyDescent="0.25">
      <c r="A328" s="38">
        <v>3559930</v>
      </c>
      <c r="B328" s="37" t="s">
        <v>1618</v>
      </c>
      <c r="C328" s="63">
        <v>1</v>
      </c>
      <c r="D328" s="58">
        <f>+VLOOKUP(A328,[1]Base!$A$11:$O$1318,15,FALSE)</f>
        <v>219.37125406346749</v>
      </c>
      <c r="E328" s="58">
        <f>+VLOOKUP(A328,[1]Base!$A$11:$R$1579,18,FALSE)</f>
        <v>274.21406757933437</v>
      </c>
      <c r="F328">
        <f>+VLOOKUP(A328,[1]Base!$A$11:$O$1264,15,FALSE)</f>
        <v>219.37125406346749</v>
      </c>
      <c r="G328">
        <f t="shared" si="5"/>
        <v>1</v>
      </c>
    </row>
    <row r="329" spans="1:7" x14ac:dyDescent="0.25">
      <c r="A329" s="36">
        <v>8508266</v>
      </c>
      <c r="B329" s="35" t="s">
        <v>330</v>
      </c>
      <c r="C329" s="63">
        <v>1</v>
      </c>
      <c r="D329" s="58">
        <f>+VLOOKUP(A329,[1]Base!$A$11:$O$1318,15,FALSE)</f>
        <v>333.26803734520121</v>
      </c>
      <c r="E329" s="58">
        <f>+VLOOKUP(A329,[1]Base!$A$11:$R$1579,18,FALSE)</f>
        <v>416.58504668150147</v>
      </c>
      <c r="F329">
        <f>+VLOOKUP(A329,[1]Base!$A$11:$O$1264,15,FALSE)</f>
        <v>333.26803734520121</v>
      </c>
      <c r="G329">
        <f t="shared" si="5"/>
        <v>1</v>
      </c>
    </row>
    <row r="330" spans="1:7" x14ac:dyDescent="0.25">
      <c r="A330" s="38">
        <v>3226151</v>
      </c>
      <c r="B330" s="37" t="s">
        <v>1592</v>
      </c>
      <c r="C330" s="63"/>
      <c r="D330" s="58">
        <f>+VLOOKUP(A330,[1]Base!$A$11:$O$1318,15,FALSE)</f>
        <v>2.9204303405572758</v>
      </c>
      <c r="E330" s="58">
        <f>+VLOOKUP(A330,[1]Base!$A$11:$R$1579,18,FALSE)</f>
        <v>3.6505379256965944</v>
      </c>
      <c r="F330">
        <f>+VLOOKUP(A330,[1]Base!$A$11:$O$1264,15,FALSE)</f>
        <v>2.9204303405572758</v>
      </c>
      <c r="G330">
        <f t="shared" si="5"/>
        <v>1</v>
      </c>
    </row>
    <row r="331" spans="1:7" x14ac:dyDescent="0.25">
      <c r="A331" s="36">
        <v>8513957</v>
      </c>
      <c r="B331" s="35" t="s">
        <v>385</v>
      </c>
      <c r="C331" s="63">
        <v>1</v>
      </c>
      <c r="D331" s="58">
        <f>+VLOOKUP(A331,[1]Base!$A$11:$O$1318,15,FALSE)</f>
        <v>1221.3396135835912</v>
      </c>
      <c r="E331" s="58">
        <f>+VLOOKUP(A331,[1]Base!$A$11:$R$1579,18,FALSE)</f>
        <v>1526.674516979489</v>
      </c>
      <c r="F331">
        <f>+VLOOKUP(A331,[1]Base!$A$11:$O$1264,15,FALSE)</f>
        <v>1221.3396135835912</v>
      </c>
      <c r="G331">
        <f t="shared" si="5"/>
        <v>1</v>
      </c>
    </row>
    <row r="332" spans="1:7" x14ac:dyDescent="0.25">
      <c r="A332" s="38">
        <v>8511967</v>
      </c>
      <c r="B332" s="37" t="s">
        <v>1647</v>
      </c>
      <c r="C332" s="63"/>
      <c r="D332" s="58">
        <f>+VLOOKUP(A332,[1]Base!$A$11:$O$1318,15,FALSE)</f>
        <v>1083.5057316176471</v>
      </c>
      <c r="E332" s="58">
        <f>+VLOOKUP(A332,[1]Base!$A$11:$R$1579,18,FALSE)</f>
        <v>1354.3821645220589</v>
      </c>
      <c r="F332">
        <f>+VLOOKUP(A332,[1]Base!$A$11:$O$1264,15,FALSE)</f>
        <v>1083.5057316176471</v>
      </c>
      <c r="G332">
        <f t="shared" si="5"/>
        <v>1</v>
      </c>
    </row>
    <row r="333" spans="1:7" x14ac:dyDescent="0.25">
      <c r="A333" s="36" t="s">
        <v>504</v>
      </c>
      <c r="B333" s="35" t="s">
        <v>1752</v>
      </c>
      <c r="C333" s="63">
        <v>25</v>
      </c>
      <c r="D333" s="58">
        <f>+VLOOKUP(A333,[1]Base!$A$11:$O$1318,15,FALSE)</f>
        <v>68.981767003676481</v>
      </c>
      <c r="E333" s="58">
        <f>+VLOOKUP(A333,[1]Base!$A$11:$R$1579,18,FALSE)</f>
        <v>98.54538143382355</v>
      </c>
      <c r="F333">
        <f>+VLOOKUP(A333,[1]Base!$A$11:$O$1264,15,FALSE)</f>
        <v>68.981767003676481</v>
      </c>
      <c r="G333">
        <f t="shared" si="5"/>
        <v>1</v>
      </c>
    </row>
    <row r="334" spans="1:7" x14ac:dyDescent="0.25">
      <c r="A334" s="36" t="s">
        <v>558</v>
      </c>
      <c r="B334" s="35" t="s">
        <v>1784</v>
      </c>
      <c r="C334" s="63">
        <v>30</v>
      </c>
      <c r="D334" s="58">
        <f>+VLOOKUP(A334,[1]Base!$A$11:$O$1318,15,FALSE)</f>
        <v>37.543252595155707</v>
      </c>
      <c r="E334" s="58">
        <f>+VLOOKUP(A334,[1]Base!$A$11:$R$1579,18,FALSE)</f>
        <v>50.057670126874278</v>
      </c>
      <c r="F334">
        <f>+VLOOKUP(A334,[1]Base!$A$11:$O$1264,15,FALSE)</f>
        <v>37.543252595155707</v>
      </c>
      <c r="G334">
        <f t="shared" si="5"/>
        <v>1</v>
      </c>
    </row>
    <row r="335" spans="1:7" x14ac:dyDescent="0.25">
      <c r="A335" s="38">
        <v>8581482</v>
      </c>
      <c r="B335" s="37" t="s">
        <v>1708</v>
      </c>
      <c r="C335" s="63"/>
      <c r="D335" s="58">
        <f>+VLOOKUP(A335,[1]Base!$A$11:$O$1318,15,FALSE)</f>
        <v>888.64523219814225</v>
      </c>
      <c r="E335" s="58">
        <f>+VLOOKUP(A335,[1]Base!$A$11:$R$1579,18,FALSE)</f>
        <v>1110.8065402476777</v>
      </c>
      <c r="F335">
        <f>+VLOOKUP(A335,[1]Base!$A$11:$O$1264,15,FALSE)</f>
        <v>888.64523219814225</v>
      </c>
      <c r="G335">
        <f t="shared" si="5"/>
        <v>1</v>
      </c>
    </row>
    <row r="336" spans="1:7" x14ac:dyDescent="0.25">
      <c r="A336" s="38" t="s">
        <v>605</v>
      </c>
      <c r="B336" s="37" t="s">
        <v>606</v>
      </c>
      <c r="C336" s="63"/>
      <c r="D336" s="58">
        <f>+VLOOKUP(A336,[1]Base!$A$11:$O$1318,15,FALSE)</f>
        <v>140.96291447368421</v>
      </c>
      <c r="E336" s="58">
        <f>+VLOOKUP(A336,[1]Base!$A$11:$R$1579,18,FALSE)</f>
        <v>176.20364309210524</v>
      </c>
      <c r="F336">
        <f>+VLOOKUP(A336,[1]Base!$A$11:$O$1264,15,FALSE)</f>
        <v>140.96291447368421</v>
      </c>
      <c r="G336">
        <f t="shared" si="5"/>
        <v>1</v>
      </c>
    </row>
    <row r="337" spans="1:7" x14ac:dyDescent="0.25">
      <c r="A337" s="36">
        <v>3558010</v>
      </c>
      <c r="B337" s="35" t="s">
        <v>133</v>
      </c>
      <c r="C337" s="63">
        <v>1</v>
      </c>
      <c r="D337" s="58">
        <f>+VLOOKUP(A337,[1]Base!$A$11:$O$1318,15,FALSE)</f>
        <v>486.43417859907117</v>
      </c>
      <c r="E337" s="58">
        <f>+VLOOKUP(A337,[1]Base!$A$11:$R$1579,18,FALSE)</f>
        <v>608.04272324883891</v>
      </c>
      <c r="F337">
        <f>+VLOOKUP(A337,[1]Base!$A$11:$O$1264,15,FALSE)</f>
        <v>486.43417859907117</v>
      </c>
      <c r="G337">
        <f t="shared" si="5"/>
        <v>1</v>
      </c>
    </row>
    <row r="338" spans="1:7" x14ac:dyDescent="0.25">
      <c r="A338" s="36">
        <v>4019879</v>
      </c>
      <c r="B338" s="35" t="s">
        <v>160</v>
      </c>
      <c r="C338" s="63">
        <v>1</v>
      </c>
      <c r="D338" s="58">
        <f>+VLOOKUP(A338,[1]Base!$A$11:$O$1318,15,FALSE)</f>
        <v>60227.294712074319</v>
      </c>
      <c r="E338" s="58">
        <f>+VLOOKUP(A338,[1]Base!$A$11:$R$1579,18,FALSE)</f>
        <v>66919.216346749236</v>
      </c>
      <c r="F338">
        <f>+VLOOKUP(A338,[1]Base!$A$11:$O$1264,15,FALSE)</f>
        <v>60227.294712074319</v>
      </c>
      <c r="G338">
        <f t="shared" si="5"/>
        <v>1</v>
      </c>
    </row>
    <row r="339" spans="1:7" x14ac:dyDescent="0.25">
      <c r="A339" s="36">
        <v>8517441</v>
      </c>
      <c r="B339" s="35" t="s">
        <v>413</v>
      </c>
      <c r="C339" s="63">
        <v>1</v>
      </c>
      <c r="D339" s="58">
        <f>+VLOOKUP(A339,[1]Base!$A$11:$O$1318,15,FALSE)</f>
        <v>1110.1025079334368</v>
      </c>
      <c r="E339" s="58">
        <f>+VLOOKUP(A339,[1]Base!$A$11:$R$1579,18,FALSE)</f>
        <v>1387.6281349167959</v>
      </c>
      <c r="F339">
        <f>+VLOOKUP(A339,[1]Base!$A$11:$O$1264,15,FALSE)</f>
        <v>1110.1025079334368</v>
      </c>
      <c r="G339">
        <f t="shared" si="5"/>
        <v>1</v>
      </c>
    </row>
    <row r="340" spans="1:7" x14ac:dyDescent="0.25">
      <c r="A340" s="36">
        <v>1997526</v>
      </c>
      <c r="B340" s="35" t="s">
        <v>90</v>
      </c>
      <c r="C340" s="63">
        <v>1</v>
      </c>
      <c r="D340" s="58">
        <f>+VLOOKUP(A340,[1]Base!$A$11:$O$1318,15,FALSE)</f>
        <v>469.79815576625384</v>
      </c>
      <c r="E340" s="58">
        <f>+VLOOKUP(A340,[1]Base!$A$11:$R$1579,18,FALSE)</f>
        <v>587.24769470781723</v>
      </c>
      <c r="F340">
        <f>+VLOOKUP(A340,[1]Base!$A$11:$O$1264,15,FALSE)</f>
        <v>469.79815576625384</v>
      </c>
      <c r="G340">
        <f t="shared" si="5"/>
        <v>1</v>
      </c>
    </row>
    <row r="341" spans="1:7" x14ac:dyDescent="0.25">
      <c r="A341" s="36">
        <v>8507904</v>
      </c>
      <c r="B341" s="35" t="s">
        <v>315</v>
      </c>
      <c r="C341" s="63">
        <v>1</v>
      </c>
      <c r="D341" s="58">
        <f>+VLOOKUP(A341,[1]Base!$A$11:$O$1318,15,FALSE)</f>
        <v>17.287904605263158</v>
      </c>
      <c r="E341" s="58">
        <f>+VLOOKUP(A341,[1]Base!$A$11:$R$1579,18,FALSE)</f>
        <v>21.609880756578946</v>
      </c>
      <c r="F341">
        <f>+VLOOKUP(A341,[1]Base!$A$11:$O$1264,15,FALSE)</f>
        <v>17.287904605263158</v>
      </c>
      <c r="G341">
        <f t="shared" si="5"/>
        <v>1</v>
      </c>
    </row>
    <row r="342" spans="1:7" x14ac:dyDescent="0.25">
      <c r="A342" s="38">
        <v>8503078</v>
      </c>
      <c r="B342" s="37" t="s">
        <v>1650</v>
      </c>
      <c r="C342" s="63"/>
      <c r="D342" s="58">
        <f>+VLOOKUP(A342,[1]Base!$A$11:$O$1318,15,FALSE)</f>
        <v>770.75893246904013</v>
      </c>
      <c r="E342" s="58">
        <f>+VLOOKUP(A342,[1]Base!$A$11:$R$1579,18,FALSE)</f>
        <v>963.44866558630008</v>
      </c>
      <c r="F342">
        <f>+VLOOKUP(A342,[1]Base!$A$11:$O$1264,15,FALSE)</f>
        <v>770.75893246904013</v>
      </c>
      <c r="G342">
        <f t="shared" si="5"/>
        <v>1</v>
      </c>
    </row>
    <row r="343" spans="1:7" x14ac:dyDescent="0.25">
      <c r="A343" s="36">
        <v>3556144</v>
      </c>
      <c r="B343" s="41" t="s">
        <v>107</v>
      </c>
      <c r="C343" s="63">
        <v>1</v>
      </c>
      <c r="D343" s="58">
        <f>+VLOOKUP(A343,[1]Base!$A$11:$O$1318,15,FALSE)</f>
        <v>549.90138796439624</v>
      </c>
      <c r="E343" s="58">
        <f>+VLOOKUP(A343,[1]Base!$A$11:$R$1579,18,FALSE)</f>
        <v>687.37673495549529</v>
      </c>
      <c r="F343">
        <f>+VLOOKUP(A343,[1]Base!$A$11:$O$1264,15,FALSE)</f>
        <v>549.90138796439624</v>
      </c>
      <c r="G343">
        <f t="shared" si="5"/>
        <v>1</v>
      </c>
    </row>
    <row r="344" spans="1:7" x14ac:dyDescent="0.25">
      <c r="A344" s="36">
        <v>8507953</v>
      </c>
      <c r="B344" s="35" t="s">
        <v>323</v>
      </c>
      <c r="C344" s="63">
        <v>1</v>
      </c>
      <c r="D344" s="58">
        <f>+VLOOKUP(A344,[1]Base!$A$11:$O$1318,15,FALSE)</f>
        <v>93.401620356037157</v>
      </c>
      <c r="E344" s="58">
        <f>+VLOOKUP(A344,[1]Base!$A$11:$R$1579,18,FALSE)</f>
        <v>116.75202544504644</v>
      </c>
      <c r="F344">
        <f>+VLOOKUP(A344,[1]Base!$A$11:$O$1264,15,FALSE)</f>
        <v>93.401620356037157</v>
      </c>
      <c r="G344">
        <f t="shared" si="5"/>
        <v>1</v>
      </c>
    </row>
    <row r="345" spans="1:7" x14ac:dyDescent="0.25">
      <c r="A345" s="36">
        <v>8500350</v>
      </c>
      <c r="B345" s="35" t="s">
        <v>231</v>
      </c>
      <c r="C345" s="63">
        <v>1</v>
      </c>
      <c r="D345" s="58">
        <f>+VLOOKUP(A345,[1]Base!$A$11:$O$1318,15,FALSE)</f>
        <v>170.11506733746126</v>
      </c>
      <c r="E345" s="58">
        <f>+VLOOKUP(A345,[1]Base!$A$11:$R$1579,18,FALSE)</f>
        <v>212.64383417182657</v>
      </c>
      <c r="F345" t="e">
        <f>+VLOOKUP(A345,[1]Base!$A$11:$O$1264,15,FALSE)</f>
        <v>#N/A</v>
      </c>
      <c r="G345" t="e">
        <f t="shared" si="5"/>
        <v>#N/A</v>
      </c>
    </row>
    <row r="346" spans="1:7" x14ac:dyDescent="0.25">
      <c r="A346" s="36" t="s">
        <v>973</v>
      </c>
      <c r="B346" s="37" t="s">
        <v>974</v>
      </c>
      <c r="C346" s="63">
        <v>100</v>
      </c>
      <c r="D346" s="58">
        <f>+VLOOKUP(A346,[1]Base!$A$11:$O$1318,15,FALSE)</f>
        <v>5839.1003460207612</v>
      </c>
      <c r="E346" s="58">
        <f>+VLOOKUP(A346,[1]Base!$A$11:$R$1579,18,FALSE)</f>
        <v>7298.8754325259515</v>
      </c>
      <c r="F346">
        <f>+VLOOKUP(A346,[1]Base!$A$11:$O$1264,15,FALSE)</f>
        <v>5839.1003460207612</v>
      </c>
      <c r="G346">
        <f t="shared" si="5"/>
        <v>1</v>
      </c>
    </row>
    <row r="347" spans="1:7" x14ac:dyDescent="0.25">
      <c r="A347" s="36">
        <v>8518159</v>
      </c>
      <c r="B347" s="35" t="s">
        <v>430</v>
      </c>
      <c r="C347" s="63">
        <v>1</v>
      </c>
      <c r="D347" s="58">
        <f>+VLOOKUP(A347,[1]Base!$A$11:$O$1318,15,FALSE)</f>
        <v>962.07319504643965</v>
      </c>
      <c r="E347" s="58">
        <f>+VLOOKUP(A347,[1]Base!$A$11:$R$1579,18,FALSE)</f>
        <v>1202.5914938080496</v>
      </c>
      <c r="F347">
        <f>+VLOOKUP(A347,[1]Base!$A$11:$O$1264,15,FALSE)</f>
        <v>962.07319504643965</v>
      </c>
      <c r="G347">
        <f t="shared" si="5"/>
        <v>1</v>
      </c>
    </row>
    <row r="348" spans="1:7" x14ac:dyDescent="0.25">
      <c r="A348" s="38">
        <v>8512566</v>
      </c>
      <c r="B348" s="37" t="s">
        <v>1677</v>
      </c>
      <c r="C348" s="63"/>
      <c r="D348" s="58">
        <f>+VLOOKUP(A348,[1]Base!$A$11:$O$1318,15,FALSE)</f>
        <v>189.82797213622288</v>
      </c>
      <c r="E348" s="58">
        <f>+VLOOKUP(A348,[1]Base!$A$11:$R$1579,18,FALSE)</f>
        <v>237.28496517027858</v>
      </c>
      <c r="F348">
        <f>+VLOOKUP(A348,[1]Base!$A$11:$O$1264,15,FALSE)</f>
        <v>189.82797213622288</v>
      </c>
      <c r="G348">
        <f t="shared" si="5"/>
        <v>1</v>
      </c>
    </row>
    <row r="349" spans="1:7" x14ac:dyDescent="0.25">
      <c r="A349" s="163">
        <v>3562403</v>
      </c>
      <c r="B349" s="260" t="s">
        <v>2169</v>
      </c>
      <c r="C349" s="327" t="s">
        <v>2167</v>
      </c>
      <c r="D349" s="58">
        <f>+VLOOKUP(A349,[1]Base!$A$11:$O$1318,15,FALSE)</f>
        <v>848.85436880804946</v>
      </c>
      <c r="E349" s="58">
        <f>+VLOOKUP(A349,[1]Base!$A$11:$R$1579,18,FALSE)</f>
        <v>1061.0679610100617</v>
      </c>
      <c r="F349">
        <f>+VLOOKUP(A349,[1]Base!$A$11:$O$1264,15,FALSE)</f>
        <v>848.85436880804946</v>
      </c>
      <c r="G349">
        <f t="shared" si="5"/>
        <v>1</v>
      </c>
    </row>
    <row r="350" spans="1:7" x14ac:dyDescent="0.25">
      <c r="A350" s="163">
        <v>8584197</v>
      </c>
      <c r="B350" s="260" t="s">
        <v>1915</v>
      </c>
      <c r="C350" s="327">
        <v>1</v>
      </c>
      <c r="D350" s="58">
        <f>+VLOOKUP(A350,[1]Base!$A$11:$O$1318,15,FALSE)</f>
        <v>228.65405050309599</v>
      </c>
      <c r="E350" s="58">
        <f>+VLOOKUP(A350,[1]Base!$A$11:$R$1579,18,FALSE)</f>
        <v>285.81756312886995</v>
      </c>
      <c r="F350">
        <f>+VLOOKUP(A350,[1]Base!$A$11:$O$1264,15,FALSE)</f>
        <v>228.65405050309599</v>
      </c>
      <c r="G350">
        <f t="shared" si="5"/>
        <v>1</v>
      </c>
    </row>
    <row r="351" spans="1:7" x14ac:dyDescent="0.25">
      <c r="A351" s="36">
        <v>3557391</v>
      </c>
      <c r="B351" s="35" t="s">
        <v>125</v>
      </c>
      <c r="C351" s="63">
        <v>1</v>
      </c>
      <c r="D351" s="58">
        <f>+VLOOKUP(A351,[1]Base!$A$11:$O$1318,15,FALSE)</f>
        <v>1288.4834361455107</v>
      </c>
      <c r="E351" s="58">
        <f>+VLOOKUP(A351,[1]Base!$A$11:$R$1579,18,FALSE)</f>
        <v>1610.6042951818883</v>
      </c>
      <c r="F351">
        <f>+VLOOKUP(A351,[1]Base!$A$11:$O$1264,15,FALSE)</f>
        <v>1288.4834361455107</v>
      </c>
      <c r="G351">
        <f t="shared" si="5"/>
        <v>1</v>
      </c>
    </row>
    <row r="352" spans="1:7" x14ac:dyDescent="0.25">
      <c r="A352" s="36">
        <v>8517327</v>
      </c>
      <c r="B352" s="35" t="s">
        <v>409</v>
      </c>
      <c r="C352" s="63">
        <v>1</v>
      </c>
      <c r="D352" s="58">
        <f>+VLOOKUP(A352,[1]Base!$A$11:$O$1318,15,FALSE)</f>
        <v>39.895164473684204</v>
      </c>
      <c r="E352" s="58">
        <f>+VLOOKUP(A352,[1]Base!$A$11:$R$1579,18,FALSE)</f>
        <v>49.868955592105252</v>
      </c>
      <c r="F352">
        <f>+VLOOKUP(A352,[1]Base!$A$11:$O$1264,15,FALSE)</f>
        <v>39.895164473684204</v>
      </c>
      <c r="G352">
        <f t="shared" si="5"/>
        <v>1</v>
      </c>
    </row>
    <row r="353" spans="1:7" x14ac:dyDescent="0.25">
      <c r="A353" s="36">
        <v>8518000</v>
      </c>
      <c r="B353" s="35" t="s">
        <v>426</v>
      </c>
      <c r="C353" s="63">
        <v>1</v>
      </c>
      <c r="D353" s="58">
        <f>+VLOOKUP(A353,[1]Base!$A$11:$O$1318,15,FALSE)</f>
        <v>3.911290634674923</v>
      </c>
      <c r="E353" s="58">
        <f>+VLOOKUP(A353,[1]Base!$A$11:$R$1579,18,FALSE)</f>
        <v>4.8891132933436534</v>
      </c>
      <c r="F353">
        <f>+VLOOKUP(A353,[1]Base!$A$11:$O$1264,15,FALSE)</f>
        <v>3.911290634674923</v>
      </c>
      <c r="G353">
        <f t="shared" si="5"/>
        <v>1</v>
      </c>
    </row>
    <row r="354" spans="1:7" x14ac:dyDescent="0.25">
      <c r="A354" s="36">
        <v>8503076</v>
      </c>
      <c r="B354" s="35" t="s">
        <v>280</v>
      </c>
      <c r="C354" s="63">
        <v>1</v>
      </c>
      <c r="D354" s="58">
        <f>+VLOOKUP(A354,[1]Base!$A$11:$O$1318,15,FALSE)</f>
        <v>269.67934365325078</v>
      </c>
      <c r="E354" s="58">
        <f>+VLOOKUP(A354,[1]Base!$A$11:$R$1579,18,FALSE)</f>
        <v>299.64371517027865</v>
      </c>
      <c r="F354">
        <f>+VLOOKUP(A354,[1]Base!$A$11:$O$1264,15,FALSE)</f>
        <v>269.67934365325078</v>
      </c>
      <c r="G354">
        <f t="shared" si="5"/>
        <v>1</v>
      </c>
    </row>
    <row r="355" spans="1:7" x14ac:dyDescent="0.25">
      <c r="A355" s="40" t="s">
        <v>679</v>
      </c>
      <c r="B355" s="35" t="s">
        <v>680</v>
      </c>
      <c r="C355" s="63">
        <v>1</v>
      </c>
      <c r="D355" s="58">
        <f>+VLOOKUP(A355,[1]Base!$A$11:$O$1318,15,FALSE)</f>
        <v>111.05457875386996</v>
      </c>
      <c r="E355" s="58">
        <f>+VLOOKUP(A355,[1]Base!$A$11:$R$1579,18,FALSE)</f>
        <v>138.81822344233746</v>
      </c>
      <c r="F355">
        <f>+VLOOKUP(A355,[1]Base!$A$11:$O$1264,15,FALSE)</f>
        <v>111.05457875386996</v>
      </c>
      <c r="G355">
        <f t="shared" si="5"/>
        <v>1</v>
      </c>
    </row>
    <row r="356" spans="1:7" x14ac:dyDescent="0.25">
      <c r="A356" s="387">
        <v>4026123</v>
      </c>
      <c r="B356" s="260" t="s">
        <v>1965</v>
      </c>
      <c r="C356" s="327">
        <v>36</v>
      </c>
      <c r="D356" s="58">
        <f>+VLOOKUP(A356,[1]Base!$A$11:$O$1318,15,FALSE)</f>
        <v>44.719089589783273</v>
      </c>
      <c r="E356" s="58">
        <f>+VLOOKUP(A356,[1]Base!$A$11:$R$1579,18,FALSE)</f>
        <v>55.89886198722909</v>
      </c>
      <c r="F356">
        <f>+VLOOKUP(A356,[1]Base!$A$11:$O$1264,15,FALSE)</f>
        <v>44.719089589783273</v>
      </c>
      <c r="G356">
        <f t="shared" si="5"/>
        <v>1</v>
      </c>
    </row>
    <row r="357" spans="1:7" x14ac:dyDescent="0.25">
      <c r="A357" s="36">
        <v>8507901</v>
      </c>
      <c r="B357" s="35" t="s">
        <v>313</v>
      </c>
      <c r="C357" s="63">
        <v>1</v>
      </c>
      <c r="D357" s="58">
        <f>+VLOOKUP(A357,[1]Base!$A$11:$O$1318,15,FALSE)</f>
        <v>66.491940789473688</v>
      </c>
      <c r="E357" s="58">
        <f>+VLOOKUP(A357,[1]Base!$A$11:$R$1579,18,FALSE)</f>
        <v>83.11492598684211</v>
      </c>
      <c r="F357" t="e">
        <f>+VLOOKUP(A357,[1]Base!$A$11:$O$1264,15,FALSE)</f>
        <v>#N/A</v>
      </c>
      <c r="G357" t="e">
        <f t="shared" si="5"/>
        <v>#N/A</v>
      </c>
    </row>
    <row r="358" spans="1:7" x14ac:dyDescent="0.25">
      <c r="A358" s="36">
        <v>8500331</v>
      </c>
      <c r="B358" s="35" t="s">
        <v>230</v>
      </c>
      <c r="C358" s="63">
        <v>1</v>
      </c>
      <c r="D358" s="58">
        <f>+VLOOKUP(A358,[1]Base!$A$11:$O$1318,15,FALSE)</f>
        <v>2.8682797987616104</v>
      </c>
      <c r="E358" s="58">
        <f>+VLOOKUP(A358,[1]Base!$A$11:$R$1579,18,FALSE)</f>
        <v>3.5853497484520127</v>
      </c>
      <c r="F358">
        <f>+VLOOKUP(A358,[1]Base!$A$11:$O$1264,15,FALSE)</f>
        <v>2.8682797987616104</v>
      </c>
      <c r="G358">
        <f t="shared" si="5"/>
        <v>1</v>
      </c>
    </row>
    <row r="359" spans="1:7" x14ac:dyDescent="0.25">
      <c r="A359" s="38">
        <v>8507265</v>
      </c>
      <c r="B359" s="37" t="s">
        <v>1660</v>
      </c>
      <c r="C359" s="63">
        <v>1</v>
      </c>
      <c r="D359" s="58">
        <f>+VLOOKUP(A359,[1]Base!$A$11:$O$1318,15,FALSE)</f>
        <v>166.25592724458201</v>
      </c>
      <c r="E359" s="58">
        <f>+VLOOKUP(A359,[1]Base!$A$11:$R$1579,18,FALSE)</f>
        <v>207.81990905572749</v>
      </c>
      <c r="F359">
        <f>+VLOOKUP(A359,[1]Base!$A$11:$O$1264,15,FALSE)</f>
        <v>166.25592724458201</v>
      </c>
      <c r="G359">
        <f t="shared" si="5"/>
        <v>1</v>
      </c>
    </row>
    <row r="360" spans="1:7" x14ac:dyDescent="0.25">
      <c r="A360" s="38">
        <v>8583065</v>
      </c>
      <c r="B360" s="37" t="s">
        <v>1722</v>
      </c>
      <c r="C360" s="63">
        <v>1</v>
      </c>
      <c r="D360" s="58">
        <f>+VLOOKUP(A360,[1]Base!$A$11:$O$1318,15,FALSE)</f>
        <v>81.772049535603699</v>
      </c>
      <c r="E360" s="58">
        <f>+VLOOKUP(A360,[1]Base!$A$11:$R$1579,18,FALSE)</f>
        <v>102.21506191950462</v>
      </c>
      <c r="F360">
        <f>+VLOOKUP(A360,[1]Base!$A$11:$O$1264,15,FALSE)</f>
        <v>81.772049535603699</v>
      </c>
      <c r="G360">
        <f t="shared" si="5"/>
        <v>1</v>
      </c>
    </row>
    <row r="361" spans="1:7" x14ac:dyDescent="0.25">
      <c r="A361" s="36">
        <v>8512719</v>
      </c>
      <c r="B361" s="35" t="s">
        <v>367</v>
      </c>
      <c r="C361" s="63">
        <v>1</v>
      </c>
      <c r="D361" s="58">
        <f>+VLOOKUP(A361,[1]Base!$A$11:$O$1318,15,FALSE)</f>
        <v>6898.6561956269352</v>
      </c>
      <c r="E361" s="58">
        <f>+VLOOKUP(A361,[1]Base!$A$11:$R$1579,18,FALSE)</f>
        <v>8623.3202445336683</v>
      </c>
      <c r="F361">
        <f>+VLOOKUP(A361,[1]Base!$A$11:$O$1264,15,FALSE)</f>
        <v>6898.6561956269352</v>
      </c>
      <c r="G361">
        <f t="shared" si="5"/>
        <v>1</v>
      </c>
    </row>
    <row r="362" spans="1:7" x14ac:dyDescent="0.25">
      <c r="A362" s="36">
        <v>4025752</v>
      </c>
      <c r="B362" s="35" t="s">
        <v>190</v>
      </c>
      <c r="C362" s="63">
        <v>1</v>
      </c>
      <c r="D362" s="58">
        <f>+VLOOKUP(A362,[1]Base!$A$11:$O$1318,15,FALSE)</f>
        <v>12967.571196013931</v>
      </c>
      <c r="E362" s="58">
        <f>+VLOOKUP(A362,[1]Base!$A$11:$R$1579,18,FALSE)</f>
        <v>16209.463995017413</v>
      </c>
      <c r="F362" t="e">
        <f>+VLOOKUP(A362,[1]Base!$A$11:$O$1264,15,FALSE)</f>
        <v>#N/A</v>
      </c>
      <c r="G362" t="e">
        <f t="shared" si="5"/>
        <v>#N/A</v>
      </c>
    </row>
    <row r="363" spans="1:7" x14ac:dyDescent="0.25">
      <c r="A363" s="38">
        <v>3559221</v>
      </c>
      <c r="B363" s="37" t="s">
        <v>1612</v>
      </c>
      <c r="C363" s="63">
        <v>1</v>
      </c>
      <c r="D363" s="58">
        <f>+VLOOKUP(A363,[1]Base!$A$11:$O$1318,15,FALSE)</f>
        <v>1266.3976816950465</v>
      </c>
      <c r="E363" s="58">
        <f>+VLOOKUP(A363,[1]Base!$A$11:$R$1579,18,FALSE)</f>
        <v>1582.997102118808</v>
      </c>
      <c r="F363">
        <f>+VLOOKUP(A363,[1]Base!$A$11:$O$1264,15,FALSE)</f>
        <v>1266.3976816950465</v>
      </c>
      <c r="G363">
        <f t="shared" si="5"/>
        <v>1</v>
      </c>
    </row>
    <row r="364" spans="1:7" x14ac:dyDescent="0.25">
      <c r="A364" s="36">
        <v>8519334</v>
      </c>
      <c r="B364" s="35" t="s">
        <v>440</v>
      </c>
      <c r="C364" s="63">
        <v>1</v>
      </c>
      <c r="D364" s="58">
        <f>+VLOOKUP(A364,[1]Base!$A$11:$O$1318,15,FALSE)</f>
        <v>370.03416931114549</v>
      </c>
      <c r="E364" s="58">
        <f>+VLOOKUP(A364,[1]Base!$A$11:$R$1579,18,FALSE)</f>
        <v>462.54271163893185</v>
      </c>
      <c r="F364">
        <f>+VLOOKUP(A364,[1]Base!$A$11:$O$1264,15,FALSE)</f>
        <v>370.03416931114549</v>
      </c>
      <c r="G364">
        <f t="shared" si="5"/>
        <v>1</v>
      </c>
    </row>
    <row r="365" spans="1:7" x14ac:dyDescent="0.25">
      <c r="A365" s="36">
        <v>8512721</v>
      </c>
      <c r="B365" s="35" t="s">
        <v>369</v>
      </c>
      <c r="C365" s="63">
        <v>1</v>
      </c>
      <c r="D365" s="58">
        <f>+VLOOKUP(A365,[1]Base!$A$11:$O$1318,15,FALSE)</f>
        <v>9713.2470116099066</v>
      </c>
      <c r="E365" s="58">
        <f>+VLOOKUP(A365,[1]Base!$A$11:$R$1579,18,FALSE)</f>
        <v>12141.558764512383</v>
      </c>
      <c r="F365">
        <f>+VLOOKUP(A365,[1]Base!$A$11:$O$1264,15,FALSE)</f>
        <v>9713.2470116099066</v>
      </c>
      <c r="G365">
        <f t="shared" si="5"/>
        <v>1</v>
      </c>
    </row>
    <row r="366" spans="1:7" x14ac:dyDescent="0.25">
      <c r="A366" s="38">
        <v>8583066</v>
      </c>
      <c r="B366" s="37" t="s">
        <v>462</v>
      </c>
      <c r="C366" s="63">
        <v>1</v>
      </c>
      <c r="D366" s="58">
        <f>+VLOOKUP(A366,[1]Base!$A$11:$O$1318,15,FALSE)</f>
        <v>6439.5749761996904</v>
      </c>
      <c r="E366" s="58">
        <f>+VLOOKUP(A366,[1]Base!$A$11:$R$1579,18,FALSE)</f>
        <v>8049.4687202496125</v>
      </c>
      <c r="F366">
        <f>+VLOOKUP(A366,[1]Base!$A$11:$O$1264,15,FALSE)</f>
        <v>6439.5749761996904</v>
      </c>
      <c r="G366">
        <f t="shared" si="5"/>
        <v>1</v>
      </c>
    </row>
    <row r="367" spans="1:7" x14ac:dyDescent="0.25">
      <c r="A367" s="36" t="s">
        <v>776</v>
      </c>
      <c r="B367" s="37" t="s">
        <v>777</v>
      </c>
      <c r="C367" s="63">
        <v>6</v>
      </c>
      <c r="D367" s="58">
        <f>+VLOOKUP(A367,[1]Base!$A$11:$O$1318,15,FALSE)</f>
        <v>100.77399380804953</v>
      </c>
      <c r="E367" s="58">
        <f>+VLOOKUP(A367,[1]Base!$A$11:$R$1579,18,FALSE)</f>
        <v>125.9674922600619</v>
      </c>
      <c r="F367">
        <f>+VLOOKUP(A367,[1]Base!$A$11:$O$1264,15,FALSE)</f>
        <v>100.77399380804953</v>
      </c>
      <c r="G367">
        <f t="shared" si="5"/>
        <v>1</v>
      </c>
    </row>
    <row r="368" spans="1:7" x14ac:dyDescent="0.25">
      <c r="A368" s="36" t="s">
        <v>778</v>
      </c>
      <c r="B368" s="37" t="s">
        <v>779</v>
      </c>
      <c r="C368" s="63">
        <v>6</v>
      </c>
      <c r="D368" s="58">
        <f>+VLOOKUP(A368,[1]Base!$A$11:$O$1318,15,FALSE)</f>
        <v>105.81269349845201</v>
      </c>
      <c r="E368" s="58">
        <f>+VLOOKUP(A368,[1]Base!$A$11:$R$1579,18,FALSE)</f>
        <v>132.26586687306499</v>
      </c>
      <c r="F368">
        <f>+VLOOKUP(A368,[1]Base!$A$11:$O$1264,15,FALSE)</f>
        <v>105.81269349845201</v>
      </c>
      <c r="G368">
        <f t="shared" si="5"/>
        <v>1</v>
      </c>
    </row>
    <row r="369" spans="1:7" x14ac:dyDescent="0.25">
      <c r="A369" s="36" t="s">
        <v>780</v>
      </c>
      <c r="B369" s="37" t="s">
        <v>781</v>
      </c>
      <c r="C369" s="63">
        <v>6</v>
      </c>
      <c r="D369" s="58">
        <f>+VLOOKUP(A369,[1]Base!$A$11:$O$1318,15,FALSE)</f>
        <v>110.85139318885449</v>
      </c>
      <c r="E369" s="58">
        <f>+VLOOKUP(A369,[1]Base!$A$11:$R$1579,18,FALSE)</f>
        <v>138.56424148606811</v>
      </c>
      <c r="F369">
        <f>+VLOOKUP(A369,[1]Base!$A$11:$O$1264,15,FALSE)</f>
        <v>110.85139318885449</v>
      </c>
      <c r="G369">
        <f t="shared" si="5"/>
        <v>1</v>
      </c>
    </row>
    <row r="370" spans="1:7" x14ac:dyDescent="0.25">
      <c r="A370" s="36" t="s">
        <v>784</v>
      </c>
      <c r="B370" s="37" t="s">
        <v>785</v>
      </c>
      <c r="C370" s="63">
        <v>6</v>
      </c>
      <c r="D370" s="58">
        <f>+VLOOKUP(A370,[1]Base!$A$11:$O$1318,15,FALSE)</f>
        <v>151.16099071207429</v>
      </c>
      <c r="E370" s="58">
        <f>+VLOOKUP(A370,[1]Base!$A$11:$R$1579,18,FALSE)</f>
        <v>188.95123839009287</v>
      </c>
      <c r="F370">
        <f>+VLOOKUP(A370,[1]Base!$A$11:$O$1264,15,FALSE)</f>
        <v>151.16099071207429</v>
      </c>
      <c r="G370">
        <f t="shared" si="5"/>
        <v>1</v>
      </c>
    </row>
    <row r="371" spans="1:7" x14ac:dyDescent="0.25">
      <c r="A371" s="36" t="s">
        <v>788</v>
      </c>
      <c r="B371" s="37" t="s">
        <v>789</v>
      </c>
      <c r="C371" s="63">
        <v>6</v>
      </c>
      <c r="D371" s="58">
        <f>+VLOOKUP(A371,[1]Base!$A$11:$O$1318,15,FALSE)</f>
        <v>201.54798761609905</v>
      </c>
      <c r="E371" s="58">
        <f>+VLOOKUP(A371,[1]Base!$A$11:$R$1579,18,FALSE)</f>
        <v>251.93498452012381</v>
      </c>
      <c r="F371">
        <f>+VLOOKUP(A371,[1]Base!$A$11:$O$1264,15,FALSE)</f>
        <v>201.54798761609905</v>
      </c>
      <c r="G371">
        <f t="shared" si="5"/>
        <v>1</v>
      </c>
    </row>
    <row r="372" spans="1:7" x14ac:dyDescent="0.25">
      <c r="A372" s="36">
        <v>8507956</v>
      </c>
      <c r="B372" s="35" t="s">
        <v>326</v>
      </c>
      <c r="C372" s="63">
        <v>1</v>
      </c>
      <c r="D372" s="58">
        <f>+VLOOKUP(A372,[1]Base!$A$11:$O$1318,15,FALSE)</f>
        <v>180.85807894736843</v>
      </c>
      <c r="E372" s="58">
        <f>+VLOOKUP(A372,[1]Base!$A$11:$R$1579,18,FALSE)</f>
        <v>226.07259868421053</v>
      </c>
      <c r="F372" t="e">
        <f>+VLOOKUP(A372,[1]Base!$A$11:$O$1264,15,FALSE)</f>
        <v>#N/A</v>
      </c>
      <c r="G372" t="e">
        <f t="shared" si="5"/>
        <v>#N/A</v>
      </c>
    </row>
    <row r="373" spans="1:7" x14ac:dyDescent="0.25">
      <c r="A373" s="36">
        <v>8512720</v>
      </c>
      <c r="B373" s="35" t="s">
        <v>368</v>
      </c>
      <c r="C373" s="63">
        <v>1</v>
      </c>
      <c r="D373" s="58">
        <f>+VLOOKUP(A373,[1]Base!$A$11:$O$1318,15,FALSE)</f>
        <v>8191.4159761996907</v>
      </c>
      <c r="E373" s="58">
        <f>+VLOOKUP(A373,[1]Base!$A$11:$R$1579,18,FALSE)</f>
        <v>10239.269970249612</v>
      </c>
      <c r="F373">
        <f>+VLOOKUP(A373,[1]Base!$A$11:$O$1264,15,FALSE)</f>
        <v>8191.4159761996907</v>
      </c>
      <c r="G373">
        <f t="shared" si="5"/>
        <v>1</v>
      </c>
    </row>
    <row r="374" spans="1:7" x14ac:dyDescent="0.25">
      <c r="A374" s="36">
        <v>3555933</v>
      </c>
      <c r="B374" s="41" t="s">
        <v>104</v>
      </c>
      <c r="C374" s="63">
        <v>1</v>
      </c>
      <c r="D374" s="58">
        <f>+VLOOKUP(A374,[1]Base!$A$11:$O$1318,15,FALSE)</f>
        <v>316.18873490712076</v>
      </c>
      <c r="E374" s="58">
        <f>+VLOOKUP(A374,[1]Base!$A$11:$R$1579,18,FALSE)</f>
        <v>395.23591863390095</v>
      </c>
      <c r="F374">
        <f>+VLOOKUP(A374,[1]Base!$A$11:$O$1264,15,FALSE)</f>
        <v>316.18873490712076</v>
      </c>
      <c r="G374">
        <f t="shared" si="5"/>
        <v>1</v>
      </c>
    </row>
    <row r="375" spans="1:7" x14ac:dyDescent="0.25">
      <c r="A375" s="38">
        <v>8500324</v>
      </c>
      <c r="B375" s="37" t="s">
        <v>225</v>
      </c>
      <c r="C375" s="63">
        <v>1</v>
      </c>
      <c r="D375" s="58">
        <f>+VLOOKUP(A375,[1]Base!$A$11:$O$1318,15,FALSE)</f>
        <v>279.26615131578944</v>
      </c>
      <c r="E375" s="58">
        <f>+VLOOKUP(A375,[1]Base!$A$11:$R$1579,18,FALSE)</f>
        <v>349.08268914473678</v>
      </c>
      <c r="F375">
        <f>+VLOOKUP(A375,[1]Base!$A$11:$O$1264,15,FALSE)</f>
        <v>279.26615131578944</v>
      </c>
      <c r="G375">
        <f t="shared" si="5"/>
        <v>1</v>
      </c>
    </row>
    <row r="376" spans="1:7" x14ac:dyDescent="0.25">
      <c r="A376" s="36" t="s">
        <v>695</v>
      </c>
      <c r="B376" s="35" t="s">
        <v>696</v>
      </c>
      <c r="C376" s="63">
        <v>1</v>
      </c>
      <c r="D376" s="58">
        <f>+VLOOKUP(A376,[1]Base!$A$11:$O$1318,15,FALSE)</f>
        <v>143.51829102167184</v>
      </c>
      <c r="E376" s="58">
        <f>+VLOOKUP(A376,[1]Base!$A$11:$R$1579,18,FALSE)</f>
        <v>179.39786377708978</v>
      </c>
      <c r="F376">
        <f>+VLOOKUP(A376,[1]Base!$A$11:$O$1264,15,FALSE)</f>
        <v>143.51829102167184</v>
      </c>
      <c r="G376">
        <f t="shared" si="5"/>
        <v>1</v>
      </c>
    </row>
    <row r="377" spans="1:7" x14ac:dyDescent="0.25">
      <c r="A377" s="36">
        <v>8500545</v>
      </c>
      <c r="B377" s="35" t="s">
        <v>245</v>
      </c>
      <c r="C377" s="63" t="s">
        <v>243</v>
      </c>
      <c r="D377" s="58">
        <f>+VLOOKUP(A377,[1]Base!$A$11:$O$1318,15,FALSE)</f>
        <v>99.477158475232201</v>
      </c>
      <c r="E377" s="58">
        <f>+VLOOKUP(A377,[1]Base!$A$11:$R$1579,18,FALSE)</f>
        <v>124.34644809404024</v>
      </c>
      <c r="F377">
        <f>+VLOOKUP(A377,[1]Base!$A$11:$O$1264,15,FALSE)</f>
        <v>99.477158475232201</v>
      </c>
      <c r="G377">
        <f t="shared" si="5"/>
        <v>1</v>
      </c>
    </row>
    <row r="378" spans="1:7" x14ac:dyDescent="0.25">
      <c r="A378" s="38">
        <v>14294</v>
      </c>
      <c r="B378" s="37" t="s">
        <v>1583</v>
      </c>
      <c r="C378" s="63"/>
      <c r="D378" s="58">
        <f>+VLOOKUP(A378,[1]Base!$A$11:$O$1318,15,FALSE)</f>
        <v>144.37877496130031</v>
      </c>
      <c r="E378" s="58">
        <f>+VLOOKUP(A378,[1]Base!$A$11:$R$1579,18,FALSE)</f>
        <v>180.47346870162536</v>
      </c>
      <c r="F378">
        <f>+VLOOKUP(A378,[1]Base!$A$11:$O$1264,15,FALSE)</f>
        <v>144.37877496130031</v>
      </c>
      <c r="G378">
        <f t="shared" si="5"/>
        <v>1</v>
      </c>
    </row>
    <row r="379" spans="1:7" x14ac:dyDescent="0.25">
      <c r="A379" s="36">
        <v>8513545</v>
      </c>
      <c r="B379" s="35" t="s">
        <v>383</v>
      </c>
      <c r="C379" s="63">
        <v>1</v>
      </c>
      <c r="D379" s="58">
        <f>+VLOOKUP(A379,[1]Base!$A$11:$O$1318,15,FALSE)</f>
        <v>665.10193479102168</v>
      </c>
      <c r="E379" s="58">
        <f>+VLOOKUP(A379,[1]Base!$A$11:$R$1579,18,FALSE)</f>
        <v>831.37741848877704</v>
      </c>
      <c r="F379">
        <f>+VLOOKUP(A379,[1]Base!$A$11:$O$1264,15,FALSE)</f>
        <v>665.10193479102168</v>
      </c>
      <c r="G379">
        <f t="shared" si="5"/>
        <v>1</v>
      </c>
    </row>
    <row r="380" spans="1:7" x14ac:dyDescent="0.25">
      <c r="A380" s="36">
        <v>8518076</v>
      </c>
      <c r="B380" s="35" t="s">
        <v>427</v>
      </c>
      <c r="C380" s="63">
        <v>1</v>
      </c>
      <c r="D380" s="58">
        <f>+VLOOKUP(A380,[1]Base!$A$11:$O$1318,15,FALSE)</f>
        <v>14.732528057275541</v>
      </c>
      <c r="E380" s="58">
        <f>+VLOOKUP(A380,[1]Base!$A$11:$R$1579,18,FALSE)</f>
        <v>18.415660071594424</v>
      </c>
      <c r="F380">
        <f>+VLOOKUP(A380,[1]Base!$A$11:$O$1264,15,FALSE)</f>
        <v>14.732528057275541</v>
      </c>
      <c r="G380">
        <f t="shared" si="5"/>
        <v>1</v>
      </c>
    </row>
    <row r="381" spans="1:7" x14ac:dyDescent="0.25">
      <c r="A381" s="36">
        <v>8504276</v>
      </c>
      <c r="B381" s="35" t="s">
        <v>293</v>
      </c>
      <c r="C381" s="63">
        <v>1</v>
      </c>
      <c r="D381" s="58">
        <f>+VLOOKUP(A381,[1]Base!$A$11:$O$1318,15,FALSE)</f>
        <v>508.59815886222913</v>
      </c>
      <c r="E381" s="58">
        <f>+VLOOKUP(A381,[1]Base!$A$11:$R$1579,18,FALSE)</f>
        <v>635.74769857778642</v>
      </c>
      <c r="F381">
        <f>+VLOOKUP(A381,[1]Base!$A$11:$O$1264,15,FALSE)</f>
        <v>508.59815886222913</v>
      </c>
      <c r="G381">
        <f t="shared" si="5"/>
        <v>1</v>
      </c>
    </row>
    <row r="382" spans="1:7" x14ac:dyDescent="0.25">
      <c r="A382" s="38" t="s">
        <v>485</v>
      </c>
      <c r="B382" s="37" t="s">
        <v>1735</v>
      </c>
      <c r="C382" s="63">
        <v>1</v>
      </c>
      <c r="D382" s="58">
        <f>+VLOOKUP(A382,[1]Base!$A$11:$O$1318,15,FALSE)</f>
        <v>98.095169117647046</v>
      </c>
      <c r="E382" s="58">
        <f>+VLOOKUP(A382,[1]Base!$A$11:$R$1579,18,FALSE)</f>
        <v>122.6189613970588</v>
      </c>
      <c r="F382">
        <f>+VLOOKUP(A382,[1]Base!$A$11:$O$1264,15,FALSE)</f>
        <v>98.095169117647046</v>
      </c>
      <c r="G382">
        <f t="shared" si="5"/>
        <v>1</v>
      </c>
    </row>
    <row r="383" spans="1:7" x14ac:dyDescent="0.25">
      <c r="A383" s="36">
        <v>8518191</v>
      </c>
      <c r="B383" s="35" t="s">
        <v>432</v>
      </c>
      <c r="C383" s="63">
        <v>1</v>
      </c>
      <c r="D383" s="58">
        <f>+VLOOKUP(A383,[1]Base!$A$11:$O$1318,15,FALSE)</f>
        <v>25.266937499999994</v>
      </c>
      <c r="E383" s="58">
        <f>+VLOOKUP(A383,[1]Base!$A$11:$R$1579,18,FALSE)</f>
        <v>31.58367187499999</v>
      </c>
      <c r="F383">
        <f>+VLOOKUP(A383,[1]Base!$A$11:$O$1264,15,FALSE)</f>
        <v>25.266937499999994</v>
      </c>
      <c r="G383">
        <f t="shared" si="5"/>
        <v>1</v>
      </c>
    </row>
    <row r="384" spans="1:7" x14ac:dyDescent="0.25">
      <c r="A384" s="36" t="s">
        <v>599</v>
      </c>
      <c r="B384" s="35" t="s">
        <v>600</v>
      </c>
      <c r="C384" s="63">
        <v>100</v>
      </c>
      <c r="D384" s="58">
        <f>+VLOOKUP(A384,[1]Base!$A$11:$O$1318,15,FALSE)</f>
        <v>66.623558823529407</v>
      </c>
      <c r="E384" s="58">
        <f>+VLOOKUP(A384,[1]Base!$A$11:$R$1579,18,FALSE)</f>
        <v>83.279448529411752</v>
      </c>
      <c r="F384">
        <f>+VLOOKUP(A384,[1]Base!$A$11:$O$1264,15,FALSE)</f>
        <v>66.623558823529407</v>
      </c>
      <c r="G384">
        <f t="shared" si="5"/>
        <v>1</v>
      </c>
    </row>
    <row r="385" spans="1:7" x14ac:dyDescent="0.25">
      <c r="A385" s="38">
        <v>8512561</v>
      </c>
      <c r="B385" s="37" t="s">
        <v>1676</v>
      </c>
      <c r="C385" s="63"/>
      <c r="D385" s="58">
        <f>+VLOOKUP(A385,[1]Base!$A$11:$O$1318,15,FALSE)</f>
        <v>48.734681308049545</v>
      </c>
      <c r="E385" s="58">
        <f>+VLOOKUP(A385,[1]Base!$A$11:$R$1579,18,FALSE)</f>
        <v>60.918351635061931</v>
      </c>
      <c r="F385">
        <f>+VLOOKUP(A385,[1]Base!$A$11:$O$1264,15,FALSE)</f>
        <v>48.734681308049545</v>
      </c>
      <c r="G385">
        <f t="shared" si="5"/>
        <v>1</v>
      </c>
    </row>
    <row r="386" spans="1:7" x14ac:dyDescent="0.25">
      <c r="A386" s="36">
        <v>8507951</v>
      </c>
      <c r="B386" s="35" t="s">
        <v>322</v>
      </c>
      <c r="C386" s="63">
        <v>1</v>
      </c>
      <c r="D386" s="58">
        <f>+VLOOKUP(A386,[1]Base!$A$11:$O$1318,15,FALSE)</f>
        <v>2.0642922794117649</v>
      </c>
      <c r="E386" s="58">
        <f>+VLOOKUP(A386,[1]Base!$A$11:$R$1579,18,FALSE)</f>
        <v>2.5803653492647061</v>
      </c>
      <c r="F386">
        <f>+VLOOKUP(A386,[1]Base!$A$11:$O$1264,15,FALSE)</f>
        <v>2.0642922794117649</v>
      </c>
      <c r="G386">
        <f t="shared" si="5"/>
        <v>1</v>
      </c>
    </row>
    <row r="387" spans="1:7" x14ac:dyDescent="0.25">
      <c r="A387" s="38">
        <v>3559989</v>
      </c>
      <c r="B387" s="37" t="s">
        <v>1619</v>
      </c>
      <c r="C387" s="63">
        <v>1</v>
      </c>
      <c r="D387" s="58">
        <f>+VLOOKUP(A387,[1]Base!$A$11:$O$1318,15,FALSE)</f>
        <v>2909.3860147058817</v>
      </c>
      <c r="E387" s="58">
        <f>+VLOOKUP(A387,[1]Base!$A$11:$R$1579,18,FALSE)</f>
        <v>3636.7325183823518</v>
      </c>
      <c r="F387">
        <f>+VLOOKUP(A387,[1]Base!$A$11:$O$1264,15,FALSE)</f>
        <v>2909.3860147058817</v>
      </c>
      <c r="G387">
        <f t="shared" si="5"/>
        <v>1</v>
      </c>
    </row>
    <row r="388" spans="1:7" x14ac:dyDescent="0.25">
      <c r="A388" s="36">
        <v>8504063</v>
      </c>
      <c r="B388" s="35" t="s">
        <v>289</v>
      </c>
      <c r="C388" s="63">
        <v>1</v>
      </c>
      <c r="D388" s="58">
        <f>+VLOOKUP(A388,[1]Base!$A$11:$O$1318,15,FALSE)</f>
        <v>102.36137316176469</v>
      </c>
      <c r="E388" s="58">
        <f>+VLOOKUP(A388,[1]Base!$A$11:$R$1579,18,FALSE)</f>
        <v>127.95171645220586</v>
      </c>
      <c r="F388">
        <f>+VLOOKUP(A388,[1]Base!$A$11:$O$1264,15,FALSE)</f>
        <v>102.36137316176469</v>
      </c>
      <c r="G388">
        <f t="shared" ref="G388:G451" si="6">+F388/D388</f>
        <v>1</v>
      </c>
    </row>
    <row r="389" spans="1:7" x14ac:dyDescent="0.25">
      <c r="A389" s="38">
        <v>8587717</v>
      </c>
      <c r="B389" s="37" t="s">
        <v>465</v>
      </c>
      <c r="C389" s="63">
        <v>1</v>
      </c>
      <c r="D389" s="58">
        <f>+VLOOKUP(A389,[1]Base!$A$11:$O$1318,15,FALSE)</f>
        <v>316.35967279411756</v>
      </c>
      <c r="E389" s="58">
        <f>+VLOOKUP(A389,[1]Base!$A$11:$R$1579,18,FALSE)</f>
        <v>395.4495909926469</v>
      </c>
      <c r="F389">
        <f>+VLOOKUP(A389,[1]Base!$A$11:$O$1264,15,FALSE)</f>
        <v>316.35967279411756</v>
      </c>
      <c r="G389">
        <f t="shared" si="6"/>
        <v>1</v>
      </c>
    </row>
    <row r="390" spans="1:7" x14ac:dyDescent="0.25">
      <c r="A390" s="36">
        <v>8500320</v>
      </c>
      <c r="B390" s="35" t="s">
        <v>222</v>
      </c>
      <c r="C390" s="63">
        <v>1</v>
      </c>
      <c r="D390" s="58">
        <f>+VLOOKUP(A390,[1]Base!$A$11:$O$1318,15,FALSE)</f>
        <v>123.52725000000001</v>
      </c>
      <c r="E390" s="58">
        <f>+VLOOKUP(A390,[1]Base!$A$11:$R$1579,18,FALSE)</f>
        <v>154.4090625</v>
      </c>
      <c r="F390" t="e">
        <f>+VLOOKUP(A390,[1]Base!$A$11:$O$1264,15,FALSE)</f>
        <v>#N/A</v>
      </c>
      <c r="G390" t="e">
        <f t="shared" si="6"/>
        <v>#N/A</v>
      </c>
    </row>
    <row r="391" spans="1:7" x14ac:dyDescent="0.25">
      <c r="A391" s="36">
        <v>8511715</v>
      </c>
      <c r="B391" s="35" t="s">
        <v>350</v>
      </c>
      <c r="C391" s="63">
        <v>1</v>
      </c>
      <c r="D391" s="58">
        <f>+VLOOKUP(A391,[1]Base!$A$11:$O$1318,15,FALSE)</f>
        <v>126.60992647058821</v>
      </c>
      <c r="E391" s="58">
        <f>+VLOOKUP(A391,[1]Base!$A$11:$R$1579,18,FALSE)</f>
        <v>158.26240808823525</v>
      </c>
      <c r="F391">
        <f>+VLOOKUP(A391,[1]Base!$A$11:$O$1264,15,FALSE)</f>
        <v>126.60992647058821</v>
      </c>
      <c r="G391">
        <f t="shared" si="6"/>
        <v>1</v>
      </c>
    </row>
    <row r="392" spans="1:7" x14ac:dyDescent="0.25">
      <c r="A392" s="36">
        <v>4020818</v>
      </c>
      <c r="B392" s="35" t="s">
        <v>172</v>
      </c>
      <c r="C392" s="63">
        <v>1</v>
      </c>
      <c r="D392" s="58">
        <f>+VLOOKUP(A392,[1]Base!$A$11:$O$1318,15,FALSE)</f>
        <v>3246.6997370242211</v>
      </c>
      <c r="E392" s="58">
        <f>+VLOOKUP(A392,[1]Base!$A$11:$R$1579,18,FALSE)</f>
        <v>3819.6467494402605</v>
      </c>
      <c r="F392">
        <f>+VLOOKUP(A392,[1]Base!$A$11:$O$1264,15,FALSE)</f>
        <v>3246.6997370242211</v>
      </c>
      <c r="G392">
        <f t="shared" si="6"/>
        <v>1</v>
      </c>
    </row>
    <row r="393" spans="1:7" x14ac:dyDescent="0.25">
      <c r="A393" s="38">
        <v>8516826</v>
      </c>
      <c r="B393" s="37" t="s">
        <v>1689</v>
      </c>
      <c r="C393" s="63"/>
      <c r="D393" s="58">
        <f>+VLOOKUP(A393,[1]Base!$A$11:$O$1318,15,FALSE)</f>
        <v>71.341941176470584</v>
      </c>
      <c r="E393" s="58">
        <f>+VLOOKUP(A393,[1]Base!$A$11:$R$1579,18,FALSE)</f>
        <v>89.17742647058823</v>
      </c>
      <c r="F393">
        <f>+VLOOKUP(A393,[1]Base!$A$11:$O$1264,15,FALSE)</f>
        <v>71.341941176470584</v>
      </c>
      <c r="G393">
        <f t="shared" si="6"/>
        <v>1</v>
      </c>
    </row>
    <row r="394" spans="1:7" x14ac:dyDescent="0.25">
      <c r="A394" s="40">
        <v>8507013</v>
      </c>
      <c r="B394" s="35" t="s">
        <v>301</v>
      </c>
      <c r="C394" s="63">
        <v>1</v>
      </c>
      <c r="D394" s="58">
        <f>+VLOOKUP(A394,[1]Base!$A$11:$O$1318,15,FALSE)</f>
        <v>6.1928768382352937</v>
      </c>
      <c r="E394" s="58">
        <f>+VLOOKUP(A394,[1]Base!$A$11:$R$1579,18,FALSE)</f>
        <v>7.7410960477941169</v>
      </c>
      <c r="F394">
        <f>+VLOOKUP(A394,[1]Base!$A$11:$O$1264,15,FALSE)</f>
        <v>6.1928768382352937</v>
      </c>
      <c r="G394">
        <f t="shared" si="6"/>
        <v>1</v>
      </c>
    </row>
    <row r="395" spans="1:7" x14ac:dyDescent="0.25">
      <c r="A395" s="36">
        <v>1996550</v>
      </c>
      <c r="B395" s="35" t="s">
        <v>85</v>
      </c>
      <c r="C395" s="63">
        <v>1</v>
      </c>
      <c r="D395" s="58">
        <f>+VLOOKUP(A395,[1]Base!$A$11:$O$1318,15,FALSE)</f>
        <v>0.44038235294117639</v>
      </c>
      <c r="E395" s="58">
        <f>+VLOOKUP(A395,[1]Base!$A$11:$R$1579,18,FALSE)</f>
        <v>0.55047794117647042</v>
      </c>
      <c r="F395">
        <f>+VLOOKUP(A395,[1]Base!$A$11:$O$1264,15,FALSE)</f>
        <v>0.44038235294117639</v>
      </c>
      <c r="G395">
        <f t="shared" si="6"/>
        <v>1</v>
      </c>
    </row>
    <row r="396" spans="1:7" x14ac:dyDescent="0.25">
      <c r="A396" s="36">
        <v>8507955</v>
      </c>
      <c r="B396" s="35" t="s">
        <v>325</v>
      </c>
      <c r="C396" s="63">
        <v>1</v>
      </c>
      <c r="D396" s="58">
        <f>+VLOOKUP(A396,[1]Base!$A$11:$O$1318,15,FALSE)</f>
        <v>14.0371875</v>
      </c>
      <c r="E396" s="58">
        <f>+VLOOKUP(A396,[1]Base!$A$11:$R$1579,18,FALSE)</f>
        <v>17.546484374999999</v>
      </c>
      <c r="F396">
        <f>+VLOOKUP(A396,[1]Base!$A$11:$O$1264,15,FALSE)</f>
        <v>14.0371875</v>
      </c>
      <c r="G396">
        <f t="shared" si="6"/>
        <v>1</v>
      </c>
    </row>
    <row r="397" spans="1:7" x14ac:dyDescent="0.25">
      <c r="A397" s="36">
        <v>8500327</v>
      </c>
      <c r="B397" s="35" t="s">
        <v>228</v>
      </c>
      <c r="C397" s="63">
        <v>1</v>
      </c>
      <c r="D397" s="58">
        <f>+VLOOKUP(A397,[1]Base!$A$11:$O$1318,15,FALSE)</f>
        <v>151.18876654411764</v>
      </c>
      <c r="E397" s="58">
        <f>+VLOOKUP(A397,[1]Base!$A$11:$R$1579,18,FALSE)</f>
        <v>188.98595818014704</v>
      </c>
      <c r="F397">
        <f>+VLOOKUP(A397,[1]Base!$A$11:$O$1264,15,FALSE)</f>
        <v>151.18876654411764</v>
      </c>
      <c r="G397">
        <f t="shared" si="6"/>
        <v>1</v>
      </c>
    </row>
    <row r="398" spans="1:7" x14ac:dyDescent="0.25">
      <c r="A398" s="38">
        <v>8518653</v>
      </c>
      <c r="B398" s="37" t="s">
        <v>1696</v>
      </c>
      <c r="C398" s="63"/>
      <c r="D398" s="58">
        <f>+VLOOKUP(A398,[1]Base!$A$11:$O$1318,15,FALSE)</f>
        <v>18.24834375</v>
      </c>
      <c r="E398" s="58">
        <f>+VLOOKUP(A398,[1]Base!$A$11:$R$1579,18,FALSE)</f>
        <v>22.810429687499997</v>
      </c>
      <c r="F398">
        <f>+VLOOKUP(A398,[1]Base!$A$11:$O$1264,15,FALSE)</f>
        <v>18.24834375</v>
      </c>
      <c r="G398">
        <f t="shared" si="6"/>
        <v>1</v>
      </c>
    </row>
    <row r="399" spans="1:7" x14ac:dyDescent="0.25">
      <c r="A399" s="38">
        <v>8512714</v>
      </c>
      <c r="B399" s="37" t="s">
        <v>366</v>
      </c>
      <c r="C399" s="63">
        <v>1</v>
      </c>
      <c r="D399" s="58">
        <f>+VLOOKUP(A399,[1]Base!$A$11:$O$1318,15,FALSE)</f>
        <v>12184.994371323528</v>
      </c>
      <c r="E399" s="58">
        <f>+VLOOKUP(A399,[1]Base!$A$11:$R$1579,18,FALSE)</f>
        <v>15231.242964154409</v>
      </c>
      <c r="F399">
        <f>+VLOOKUP(A399,[1]Base!$A$11:$O$1264,15,FALSE)</f>
        <v>12184.994371323528</v>
      </c>
      <c r="G399">
        <f t="shared" si="6"/>
        <v>1</v>
      </c>
    </row>
    <row r="400" spans="1:7" x14ac:dyDescent="0.25">
      <c r="A400" s="36">
        <v>8510211</v>
      </c>
      <c r="B400" s="35" t="s">
        <v>339</v>
      </c>
      <c r="C400" s="63">
        <v>1</v>
      </c>
      <c r="D400" s="58">
        <f>+VLOOKUP(A400,[1]Base!$A$11:$O$1318,15,FALSE)</f>
        <v>65.921352508650529</v>
      </c>
      <c r="E400" s="58">
        <f>+VLOOKUP(A400,[1]Base!$A$11:$R$1579,18,FALSE)</f>
        <v>82.401690635813154</v>
      </c>
      <c r="F400">
        <f>+VLOOKUP(A400,[1]Base!$A$11:$O$1264,15,FALSE)</f>
        <v>65.921352508650529</v>
      </c>
      <c r="G400">
        <f t="shared" si="6"/>
        <v>1</v>
      </c>
    </row>
    <row r="401" spans="1:7" x14ac:dyDescent="0.25">
      <c r="A401" s="38">
        <v>321730</v>
      </c>
      <c r="B401" s="37" t="s">
        <v>1588</v>
      </c>
      <c r="C401" s="63"/>
      <c r="D401" s="58">
        <f>+VLOOKUP(A401,[1]Base!$A$11:$O$1318,15,FALSE)</f>
        <v>62.451722426470575</v>
      </c>
      <c r="E401" s="58">
        <f>+VLOOKUP(A401,[1]Base!$A$11:$R$1579,18,FALSE)</f>
        <v>78.06465303308822</v>
      </c>
      <c r="F401">
        <f>+VLOOKUP(A401,[1]Base!$A$11:$O$1264,15,FALSE)</f>
        <v>62.451722426470575</v>
      </c>
      <c r="G401">
        <f t="shared" si="6"/>
        <v>1</v>
      </c>
    </row>
    <row r="402" spans="1:7" x14ac:dyDescent="0.25">
      <c r="A402" s="43">
        <v>3562182</v>
      </c>
      <c r="B402" s="43" t="s">
        <v>2071</v>
      </c>
      <c r="C402" s="300">
        <v>1</v>
      </c>
      <c r="D402" s="58">
        <f>+VLOOKUP(A402,[1]Base!$A$11:$O$1318,15,FALSE)</f>
        <v>20369.558345781734</v>
      </c>
      <c r="E402" s="58">
        <f>+VLOOKUP(A402,[1]Base!$A$11:$R$1579,18,FALSE)</f>
        <v>25461.947932227165</v>
      </c>
      <c r="F402" t="e">
        <f>+VLOOKUP(A402,[1]Base!$A$11:$O$1264,15,FALSE)</f>
        <v>#N/A</v>
      </c>
      <c r="G402" t="e">
        <f t="shared" si="6"/>
        <v>#N/A</v>
      </c>
    </row>
    <row r="403" spans="1:7" x14ac:dyDescent="0.25">
      <c r="A403" s="38">
        <v>8512708</v>
      </c>
      <c r="B403" s="37" t="s">
        <v>41</v>
      </c>
      <c r="C403" s="63">
        <v>1</v>
      </c>
      <c r="D403" s="58">
        <f>+VLOOKUP(A403,[1]Base!$A$11:$O$1318,15,FALSE)</f>
        <v>7817.6675294117631</v>
      </c>
      <c r="E403" s="58">
        <f>+VLOOKUP(A403,[1]Base!$A$11:$R$1579,18,FALSE)</f>
        <v>9772.084411764703</v>
      </c>
      <c r="F403">
        <f>+VLOOKUP(A403,[1]Base!$A$11:$O$1264,15,FALSE)</f>
        <v>7817.6675294117631</v>
      </c>
      <c r="G403">
        <f t="shared" si="6"/>
        <v>1</v>
      </c>
    </row>
    <row r="404" spans="1:7" x14ac:dyDescent="0.25">
      <c r="A404" s="38" t="s">
        <v>654</v>
      </c>
      <c r="B404" s="37" t="s">
        <v>655</v>
      </c>
      <c r="C404" s="63"/>
      <c r="D404" s="58">
        <f>+VLOOKUP(A404,[1]Base!$A$11:$O$1318,15,FALSE)</f>
        <v>14.394998161764706</v>
      </c>
      <c r="E404" s="58">
        <f>+VLOOKUP(A404,[1]Base!$A$11:$R$1579,18,FALSE)</f>
        <v>17.99374770220588</v>
      </c>
      <c r="F404">
        <f>+VLOOKUP(A404,[1]Base!$A$11:$O$1264,15,FALSE)</f>
        <v>14.394998161764706</v>
      </c>
      <c r="G404">
        <f t="shared" si="6"/>
        <v>1</v>
      </c>
    </row>
    <row r="405" spans="1:7" x14ac:dyDescent="0.25">
      <c r="A405" s="43">
        <v>3562183</v>
      </c>
      <c r="B405" s="43" t="s">
        <v>2072</v>
      </c>
      <c r="C405" s="300">
        <v>1</v>
      </c>
      <c r="D405" s="58">
        <f>+VLOOKUP(A405,[1]Base!$A$11:$O$1318,15,FALSE)</f>
        <v>18165.311395704335</v>
      </c>
      <c r="E405" s="58">
        <f>+VLOOKUP(A405,[1]Base!$A$11:$R$1579,18,FALSE)</f>
        <v>22706.639244630416</v>
      </c>
      <c r="F405">
        <f>+VLOOKUP(A405,[1]Base!$A$11:$O$1264,15,FALSE)</f>
        <v>18165.311395704335</v>
      </c>
      <c r="G405">
        <f t="shared" si="6"/>
        <v>1</v>
      </c>
    </row>
    <row r="406" spans="1:7" x14ac:dyDescent="0.25">
      <c r="A406" s="38" t="s">
        <v>660</v>
      </c>
      <c r="B406" s="37" t="s">
        <v>661</v>
      </c>
      <c r="C406" s="63"/>
      <c r="D406" s="58">
        <f>+VLOOKUP(A406,[1]Base!$A$11:$O$1318,15,FALSE)</f>
        <v>11.725180147058824</v>
      </c>
      <c r="E406" s="58">
        <f>+VLOOKUP(A406,[1]Base!$A$11:$R$1579,18,FALSE)</f>
        <v>14.656475183823529</v>
      </c>
      <c r="F406">
        <f>+VLOOKUP(A406,[1]Base!$A$11:$O$1264,15,FALSE)</f>
        <v>11.725180147058824</v>
      </c>
      <c r="G406">
        <f t="shared" si="6"/>
        <v>1</v>
      </c>
    </row>
    <row r="407" spans="1:7" x14ac:dyDescent="0.25">
      <c r="A407" s="43">
        <v>3562184</v>
      </c>
      <c r="B407" s="43" t="s">
        <v>2073</v>
      </c>
      <c r="C407" s="300">
        <v>1</v>
      </c>
      <c r="D407" s="58">
        <f>+VLOOKUP(A407,[1]Base!$A$11:$O$1318,15,FALSE)</f>
        <v>16925.275812887001</v>
      </c>
      <c r="E407" s="58">
        <f>+VLOOKUP(A407,[1]Base!$A$11:$R$1579,18,FALSE)</f>
        <v>21156.594766108748</v>
      </c>
      <c r="F407" t="e">
        <f>+VLOOKUP(A407,[1]Base!$A$11:$O$1264,15,FALSE)</f>
        <v>#N/A</v>
      </c>
      <c r="G407" t="e">
        <f t="shared" si="6"/>
        <v>#N/A</v>
      </c>
    </row>
    <row r="408" spans="1:7" x14ac:dyDescent="0.25">
      <c r="A408" s="38">
        <v>8509312</v>
      </c>
      <c r="B408" s="37" t="s">
        <v>39</v>
      </c>
      <c r="C408" s="63">
        <v>1</v>
      </c>
      <c r="D408" s="58">
        <f>+VLOOKUP(A408,[1]Base!$A$11:$O$1318,15,FALSE)</f>
        <v>486.09954595588232</v>
      </c>
      <c r="E408" s="58">
        <f>+VLOOKUP(A408,[1]Base!$A$11:$R$1579,18,FALSE)</f>
        <v>607.62443244485291</v>
      </c>
      <c r="F408">
        <f>+VLOOKUP(A408,[1]Base!$A$11:$O$1264,15,FALSE)</f>
        <v>486.09954595588232</v>
      </c>
      <c r="G408">
        <f t="shared" si="6"/>
        <v>1</v>
      </c>
    </row>
    <row r="409" spans="1:7" x14ac:dyDescent="0.25">
      <c r="A409" s="40">
        <v>8507090</v>
      </c>
      <c r="B409" s="35" t="s">
        <v>304</v>
      </c>
      <c r="C409" s="63">
        <v>1</v>
      </c>
      <c r="D409" s="58">
        <f>+VLOOKUP(A409,[1]Base!$A$11:$O$1318,15,FALSE)</f>
        <v>13.260042171280276</v>
      </c>
      <c r="E409" s="58">
        <f>+VLOOKUP(A409,[1]Base!$A$11:$R$1579,18,FALSE)</f>
        <v>16.575052714100345</v>
      </c>
      <c r="F409">
        <f>+VLOOKUP(A409,[1]Base!$A$11:$O$1264,15,FALSE)</f>
        <v>13.260042171280276</v>
      </c>
      <c r="G409">
        <f t="shared" si="6"/>
        <v>1</v>
      </c>
    </row>
    <row r="410" spans="1:7" x14ac:dyDescent="0.25">
      <c r="A410" s="36">
        <v>8500544</v>
      </c>
      <c r="B410" s="35" t="s">
        <v>244</v>
      </c>
      <c r="C410" s="63" t="s">
        <v>243</v>
      </c>
      <c r="D410" s="58">
        <f>+VLOOKUP(A410,[1]Base!$A$11:$O$1318,15,FALSE)</f>
        <v>77.975200367647048</v>
      </c>
      <c r="E410" s="58">
        <f>+VLOOKUP(A410,[1]Base!$A$11:$R$1579,18,FALSE)</f>
        <v>97.469000459558799</v>
      </c>
      <c r="F410">
        <f>+VLOOKUP(A410,[1]Base!$A$11:$O$1264,15,FALSE)</f>
        <v>77.975200367647048</v>
      </c>
      <c r="G410">
        <f t="shared" si="6"/>
        <v>1</v>
      </c>
    </row>
    <row r="411" spans="1:7" x14ac:dyDescent="0.25">
      <c r="A411" s="43">
        <v>3562185</v>
      </c>
      <c r="B411" s="43" t="s">
        <v>2074</v>
      </c>
      <c r="C411" s="300">
        <v>1</v>
      </c>
      <c r="D411" s="58">
        <f>+VLOOKUP(A411,[1]Base!$A$11:$O$1318,15,FALSE)</f>
        <v>15216.693687306501</v>
      </c>
      <c r="E411" s="58">
        <f>+VLOOKUP(A411,[1]Base!$A$11:$R$1579,18,FALSE)</f>
        <v>19020.867109133123</v>
      </c>
      <c r="F411" t="e">
        <f>+VLOOKUP(A411,[1]Base!$A$11:$O$1264,15,FALSE)</f>
        <v>#N/A</v>
      </c>
      <c r="G411" t="e">
        <f t="shared" si="6"/>
        <v>#N/A</v>
      </c>
    </row>
    <row r="412" spans="1:7" x14ac:dyDescent="0.25">
      <c r="A412" s="38">
        <v>8580137</v>
      </c>
      <c r="B412" s="37" t="s">
        <v>457</v>
      </c>
      <c r="C412" s="63">
        <v>1</v>
      </c>
      <c r="D412" s="58">
        <f>+VLOOKUP(A412,[1]Base!$A$11:$O$1318,15,FALSE)</f>
        <v>260.54120955882348</v>
      </c>
      <c r="E412" s="58">
        <f>+VLOOKUP(A412,[1]Base!$A$11:$R$1579,18,FALSE)</f>
        <v>325.67651194852931</v>
      </c>
      <c r="F412">
        <f>+VLOOKUP(A412,[1]Base!$A$11:$O$1264,15,FALSE)</f>
        <v>260.54120955882348</v>
      </c>
      <c r="G412">
        <f t="shared" si="6"/>
        <v>1</v>
      </c>
    </row>
    <row r="413" spans="1:7" x14ac:dyDescent="0.25">
      <c r="A413" s="38">
        <v>4032930</v>
      </c>
      <c r="B413" s="37" t="s">
        <v>1637</v>
      </c>
      <c r="C413" s="63"/>
      <c r="D413" s="58">
        <f>+VLOOKUP(A413,[1]Base!$A$11:$O$1318,15,FALSE)</f>
        <v>8357.0533400735276</v>
      </c>
      <c r="E413" s="58">
        <f>+VLOOKUP(A413,[1]Base!$A$11:$R$1579,18,FALSE)</f>
        <v>10446.316675091908</v>
      </c>
      <c r="F413">
        <f>+VLOOKUP(A413,[1]Base!$A$11:$O$1264,15,FALSE)</f>
        <v>8357.0533400735276</v>
      </c>
      <c r="G413">
        <f t="shared" si="6"/>
        <v>1</v>
      </c>
    </row>
    <row r="414" spans="1:7" x14ac:dyDescent="0.25">
      <c r="A414" s="36">
        <v>8500322</v>
      </c>
      <c r="B414" s="35" t="s">
        <v>224</v>
      </c>
      <c r="C414" s="63">
        <v>1</v>
      </c>
      <c r="D414" s="58">
        <f>+VLOOKUP(A414,[1]Base!$A$11:$O$1318,15,FALSE)</f>
        <v>110.39835110294118</v>
      </c>
      <c r="E414" s="58">
        <f>+VLOOKUP(A414,[1]Base!$A$11:$R$1579,18,FALSE)</f>
        <v>137.99793887867645</v>
      </c>
      <c r="F414">
        <f>+VLOOKUP(A414,[1]Base!$A$11:$O$1264,15,FALSE)</f>
        <v>110.39835110294118</v>
      </c>
      <c r="G414">
        <f t="shared" si="6"/>
        <v>1</v>
      </c>
    </row>
    <row r="415" spans="1:7" x14ac:dyDescent="0.25">
      <c r="A415" s="43">
        <v>3562186</v>
      </c>
      <c r="B415" s="43" t="s">
        <v>2075</v>
      </c>
      <c r="C415" s="300">
        <v>1</v>
      </c>
      <c r="D415" s="58">
        <f>+VLOOKUP(A415,[1]Base!$A$11:$O$1318,15,FALSE)</f>
        <v>13915.042239357585</v>
      </c>
      <c r="E415" s="58">
        <f>+VLOOKUP(A415,[1]Base!$A$11:$R$1579,18,FALSE)</f>
        <v>17393.802799196979</v>
      </c>
      <c r="F415" t="e">
        <f>+VLOOKUP(A415,[1]Base!$A$11:$O$1264,15,FALSE)</f>
        <v>#N/A</v>
      </c>
      <c r="G415" t="e">
        <f t="shared" si="6"/>
        <v>#N/A</v>
      </c>
    </row>
    <row r="416" spans="1:7" x14ac:dyDescent="0.25">
      <c r="A416" s="36">
        <v>4025751</v>
      </c>
      <c r="B416" s="35" t="s">
        <v>189</v>
      </c>
      <c r="C416" s="63">
        <v>1</v>
      </c>
      <c r="D416" s="58">
        <f>+VLOOKUP(A416,[1]Base!$A$11:$O$1318,15,FALSE)</f>
        <v>8117.2732441609005</v>
      </c>
      <c r="E416" s="58">
        <f>+VLOOKUP(A416,[1]Base!$A$11:$R$1579,18,FALSE)</f>
        <v>10146.591555201125</v>
      </c>
      <c r="F416">
        <f>+VLOOKUP(A416,[1]Base!$A$11:$O$1264,15,FALSE)</f>
        <v>8117.2732441609005</v>
      </c>
      <c r="G416">
        <f t="shared" si="6"/>
        <v>1</v>
      </c>
    </row>
    <row r="417" spans="1:7" x14ac:dyDescent="0.25">
      <c r="A417" s="36">
        <v>8512078</v>
      </c>
      <c r="B417" s="35" t="s">
        <v>359</v>
      </c>
      <c r="C417" s="63">
        <v>1</v>
      </c>
      <c r="D417" s="58">
        <f>+VLOOKUP(A417,[1]Base!$A$11:$O$1318,15,FALSE)</f>
        <v>10109.773656153249</v>
      </c>
      <c r="E417" s="58">
        <f>+VLOOKUP(A417,[1]Base!$A$11:$R$1579,18,FALSE)</f>
        <v>12637.21707019156</v>
      </c>
      <c r="F417">
        <f>+VLOOKUP(A417,[1]Base!$A$11:$O$1264,15,FALSE)</f>
        <v>10109.773656153249</v>
      </c>
      <c r="G417">
        <f t="shared" si="6"/>
        <v>1</v>
      </c>
    </row>
    <row r="418" spans="1:7" x14ac:dyDescent="0.25">
      <c r="A418" s="36">
        <v>8512079</v>
      </c>
      <c r="B418" s="35" t="s">
        <v>360</v>
      </c>
      <c r="C418" s="63">
        <v>1</v>
      </c>
      <c r="D418" s="58">
        <f>+VLOOKUP(A418,[1]Base!$A$11:$O$1318,15,FALSE)</f>
        <v>10173.371241873065</v>
      </c>
      <c r="E418" s="58">
        <f>+VLOOKUP(A418,[1]Base!$A$11:$R$1579,18,FALSE)</f>
        <v>12716.714052341331</v>
      </c>
      <c r="F418">
        <f>+VLOOKUP(A418,[1]Base!$A$11:$O$1264,15,FALSE)</f>
        <v>10173.371241873065</v>
      </c>
      <c r="G418">
        <f t="shared" si="6"/>
        <v>1</v>
      </c>
    </row>
    <row r="419" spans="1:7" x14ac:dyDescent="0.25">
      <c r="A419" s="36">
        <v>4025982</v>
      </c>
      <c r="B419" s="35" t="s">
        <v>194</v>
      </c>
      <c r="C419" s="63">
        <v>1</v>
      </c>
      <c r="D419" s="58">
        <f>+VLOOKUP(A419,[1]Base!$A$11:$O$1318,15,FALSE)</f>
        <v>6989.2662281574376</v>
      </c>
      <c r="E419" s="58">
        <f>+VLOOKUP(A419,[1]Base!$A$11:$R$1579,18,FALSE)</f>
        <v>8736.582785196797</v>
      </c>
      <c r="F419">
        <f>+VLOOKUP(A419,[1]Base!$A$11:$O$1264,15,FALSE)</f>
        <v>6989.2662281574376</v>
      </c>
      <c r="G419">
        <f t="shared" si="6"/>
        <v>1</v>
      </c>
    </row>
    <row r="420" spans="1:7" x14ac:dyDescent="0.25">
      <c r="A420" s="43">
        <v>8512715</v>
      </c>
      <c r="B420" s="35" t="s">
        <v>1820</v>
      </c>
      <c r="C420" s="63">
        <v>1</v>
      </c>
      <c r="D420" s="58">
        <f>+VLOOKUP(A420,[1]Base!$A$11:$O$1318,15,FALSE)</f>
        <v>7595.3352834752322</v>
      </c>
      <c r="E420" s="58">
        <f>+VLOOKUP(A420,[1]Base!$A$11:$R$1579,18,FALSE)</f>
        <v>9494.1691043440405</v>
      </c>
      <c r="F420">
        <f>+VLOOKUP(A420,[1]Base!$A$11:$O$1264,15,FALSE)</f>
        <v>7595.3352834752322</v>
      </c>
      <c r="G420">
        <f t="shared" si="6"/>
        <v>1</v>
      </c>
    </row>
    <row r="421" spans="1:7" x14ac:dyDescent="0.25">
      <c r="A421" s="36">
        <v>8504061</v>
      </c>
      <c r="B421" s="35" t="s">
        <v>287</v>
      </c>
      <c r="C421" s="63">
        <v>1</v>
      </c>
      <c r="D421" s="58">
        <f>+VLOOKUP(A421,[1]Base!$A$11:$O$1318,15,FALSE)</f>
        <v>66.772974264705894</v>
      </c>
      <c r="E421" s="58">
        <f>+VLOOKUP(A421,[1]Base!$A$11:$R$1579,18,FALSE)</f>
        <v>83.466217830882357</v>
      </c>
      <c r="F421">
        <f>+VLOOKUP(A421,[1]Base!$A$11:$O$1264,15,FALSE)</f>
        <v>66.772974264705894</v>
      </c>
      <c r="G421">
        <f t="shared" si="6"/>
        <v>1</v>
      </c>
    </row>
    <row r="422" spans="1:7" x14ac:dyDescent="0.25">
      <c r="A422" s="38" t="s">
        <v>482</v>
      </c>
      <c r="B422" s="37" t="s">
        <v>1732</v>
      </c>
      <c r="C422" s="63">
        <v>1</v>
      </c>
      <c r="D422" s="58">
        <f>+VLOOKUP(A422,[1]Base!$A$11:$O$1318,15,FALSE)</f>
        <v>35.120492647058825</v>
      </c>
      <c r="E422" s="58">
        <f>+VLOOKUP(A422,[1]Base!$A$11:$R$1579,18,FALSE)</f>
        <v>43.900615808823531</v>
      </c>
      <c r="F422">
        <f>+VLOOKUP(A422,[1]Base!$A$11:$O$1264,15,FALSE)</f>
        <v>35.120492647058825</v>
      </c>
      <c r="G422">
        <f t="shared" si="6"/>
        <v>1</v>
      </c>
    </row>
    <row r="423" spans="1:7" x14ac:dyDescent="0.25">
      <c r="A423" s="36" t="s">
        <v>603</v>
      </c>
      <c r="B423" s="35" t="s">
        <v>604</v>
      </c>
      <c r="C423" s="63">
        <v>1</v>
      </c>
      <c r="D423" s="58">
        <f>+VLOOKUP(A423,[1]Base!$A$11:$O$1318,15,FALSE)</f>
        <v>123.27560294117647</v>
      </c>
      <c r="E423" s="58">
        <f>+VLOOKUP(A423,[1]Base!$A$11:$R$1579,18,FALSE)</f>
        <v>154.09450367647059</v>
      </c>
      <c r="F423">
        <f>+VLOOKUP(A423,[1]Base!$A$11:$O$1264,15,FALSE)</f>
        <v>123.27560294117647</v>
      </c>
      <c r="G423">
        <f t="shared" si="6"/>
        <v>1</v>
      </c>
    </row>
    <row r="424" spans="1:7" x14ac:dyDescent="0.25">
      <c r="A424" s="36" t="s">
        <v>592</v>
      </c>
      <c r="B424" s="35" t="s">
        <v>593</v>
      </c>
      <c r="C424" s="63">
        <v>1</v>
      </c>
      <c r="D424" s="58">
        <f>+VLOOKUP(A424,[1]Base!$A$11:$O$1318,15,FALSE)</f>
        <v>2.9253970588235299</v>
      </c>
      <c r="E424" s="58">
        <f>+VLOOKUP(A424,[1]Base!$A$11:$R$1579,18,FALSE)</f>
        <v>3.6567463235294122</v>
      </c>
      <c r="F424">
        <f>+VLOOKUP(A424,[1]Base!$A$11:$O$1264,15,FALSE)</f>
        <v>2.9253970588235299</v>
      </c>
      <c r="G424">
        <f t="shared" si="6"/>
        <v>1</v>
      </c>
    </row>
    <row r="425" spans="1:7" x14ac:dyDescent="0.25">
      <c r="A425" s="36">
        <v>8500861</v>
      </c>
      <c r="B425" s="35" t="s">
        <v>256</v>
      </c>
      <c r="C425" s="63">
        <v>1</v>
      </c>
      <c r="D425" s="58">
        <f>+VLOOKUP(A425,[1]Base!$A$11:$O$1318,15,FALSE)</f>
        <v>341.90184926470579</v>
      </c>
      <c r="E425" s="58">
        <f>+VLOOKUP(A425,[1]Base!$A$11:$R$1579,18,FALSE)</f>
        <v>427.37731158088224</v>
      </c>
      <c r="F425">
        <f>+VLOOKUP(A425,[1]Base!$A$11:$O$1264,15,FALSE)</f>
        <v>341.90184926470579</v>
      </c>
      <c r="G425">
        <f t="shared" si="6"/>
        <v>1</v>
      </c>
    </row>
    <row r="426" spans="1:7" x14ac:dyDescent="0.25">
      <c r="A426" s="40">
        <v>3554085</v>
      </c>
      <c r="B426" s="35" t="s">
        <v>92</v>
      </c>
      <c r="C426" s="63">
        <v>1</v>
      </c>
      <c r="D426" s="58">
        <f>+VLOOKUP(A426,[1]Base!$A$11:$O$1318,15,FALSE)</f>
        <v>8.3947886029411745</v>
      </c>
      <c r="E426" s="58">
        <f>+VLOOKUP(A426,[1]Base!$A$11:$R$1579,18,FALSE)</f>
        <v>10.493485753676467</v>
      </c>
      <c r="F426">
        <f>+VLOOKUP(A426,[1]Base!$A$11:$O$1264,15,FALSE)</f>
        <v>8.3947886029411745</v>
      </c>
      <c r="G426">
        <f t="shared" si="6"/>
        <v>1</v>
      </c>
    </row>
    <row r="427" spans="1:7" x14ac:dyDescent="0.25">
      <c r="A427" s="40">
        <v>8515467</v>
      </c>
      <c r="B427" s="35" t="s">
        <v>35</v>
      </c>
      <c r="C427" s="63">
        <v>1</v>
      </c>
      <c r="D427" s="58">
        <f>+VLOOKUP(A427,[1]Base!$A$11:$O$1318,15,FALSE)</f>
        <v>259.44025367647055</v>
      </c>
      <c r="E427" s="58">
        <f>+VLOOKUP(A427,[1]Base!$A$11:$R$1579,18,FALSE)</f>
        <v>324.30031709558818</v>
      </c>
      <c r="F427">
        <f>+VLOOKUP(A427,[1]Base!$A$11:$O$1264,15,FALSE)</f>
        <v>259.44025367647055</v>
      </c>
      <c r="G427">
        <f t="shared" si="6"/>
        <v>1</v>
      </c>
    </row>
    <row r="428" spans="1:7" x14ac:dyDescent="0.25">
      <c r="A428" s="38" t="s">
        <v>591</v>
      </c>
      <c r="B428" s="37" t="s">
        <v>1792</v>
      </c>
      <c r="C428" s="63"/>
      <c r="D428" s="58">
        <f>+VLOOKUP(A428,[1]Base!$A$11:$O$1318,15,FALSE)</f>
        <v>12.027943014705883</v>
      </c>
      <c r="E428" s="58">
        <f>+VLOOKUP(A428,[1]Base!$A$11:$R$1579,18,FALSE)</f>
        <v>15.034928768382354</v>
      </c>
      <c r="F428">
        <f>+VLOOKUP(A428,[1]Base!$A$11:$O$1264,15,FALSE)</f>
        <v>12.027943014705883</v>
      </c>
      <c r="G428">
        <f t="shared" si="6"/>
        <v>1</v>
      </c>
    </row>
    <row r="429" spans="1:7" x14ac:dyDescent="0.25">
      <c r="A429" s="36">
        <v>5100546</v>
      </c>
      <c r="B429" s="35" t="s">
        <v>217</v>
      </c>
      <c r="C429" s="63">
        <v>1</v>
      </c>
      <c r="D429" s="58">
        <f>+VLOOKUP(A429,[1]Base!$A$11:$O$1318,15,FALSE)</f>
        <v>28.542281249999991</v>
      </c>
      <c r="E429" s="58">
        <f>+VLOOKUP(A429,[1]Base!$A$11:$R$1579,18,FALSE)</f>
        <v>35.677851562499988</v>
      </c>
      <c r="F429">
        <f>+VLOOKUP(A429,[1]Base!$A$11:$O$1264,15,FALSE)</f>
        <v>28.542281249999991</v>
      </c>
      <c r="G429">
        <f t="shared" si="6"/>
        <v>1</v>
      </c>
    </row>
    <row r="430" spans="1:7" x14ac:dyDescent="0.25">
      <c r="A430" s="38">
        <v>14254</v>
      </c>
      <c r="B430" s="37" t="s">
        <v>1581</v>
      </c>
      <c r="C430" s="63"/>
      <c r="D430" s="58">
        <f>+VLOOKUP(A430,[1]Base!$A$11:$O$1318,15,FALSE)</f>
        <v>106.40738602941173</v>
      </c>
      <c r="E430" s="58">
        <f>+VLOOKUP(A430,[1]Base!$A$11:$R$1579,18,FALSE)</f>
        <v>133.00923253676464</v>
      </c>
      <c r="F430">
        <f>+VLOOKUP(A430,[1]Base!$A$11:$O$1264,15,FALSE)</f>
        <v>106.40738602941173</v>
      </c>
      <c r="G430">
        <f t="shared" si="6"/>
        <v>1</v>
      </c>
    </row>
    <row r="431" spans="1:7" x14ac:dyDescent="0.25">
      <c r="A431" s="36">
        <v>3557209</v>
      </c>
      <c r="B431" s="35" t="s">
        <v>123</v>
      </c>
      <c r="C431" s="63">
        <v>1</v>
      </c>
      <c r="D431" s="58">
        <f>+VLOOKUP(A431,[1]Base!$A$11:$O$1318,15,FALSE)</f>
        <v>87.278277573529394</v>
      </c>
      <c r="E431" s="58">
        <f>+VLOOKUP(A431,[1]Base!$A$11:$R$1579,18,FALSE)</f>
        <v>109.09784696691173</v>
      </c>
      <c r="F431">
        <f>+VLOOKUP(A431,[1]Base!$A$11:$O$1264,15,FALSE)</f>
        <v>87.278277573529394</v>
      </c>
      <c r="G431">
        <f t="shared" si="6"/>
        <v>1</v>
      </c>
    </row>
    <row r="432" spans="1:7" x14ac:dyDescent="0.25">
      <c r="A432" s="391">
        <v>8507100</v>
      </c>
      <c r="B432" s="35" t="s">
        <v>305</v>
      </c>
      <c r="C432" s="63">
        <v>1</v>
      </c>
      <c r="D432" s="58">
        <f>+VLOOKUP(A432,[1]Base!$A$11:$O$1318,15,FALSE)</f>
        <v>10.928606185121108</v>
      </c>
      <c r="E432" s="58">
        <f>+VLOOKUP(A432,[1]Base!$A$11:$R$1579,18,FALSE)</f>
        <v>13.660757731401384</v>
      </c>
      <c r="F432">
        <f>+VLOOKUP(A432,[1]Base!$A$11:$O$1264,15,FALSE)</f>
        <v>10.928606185121108</v>
      </c>
      <c r="G432">
        <f t="shared" si="6"/>
        <v>1</v>
      </c>
    </row>
    <row r="433" spans="1:7" x14ac:dyDescent="0.25">
      <c r="A433" s="39">
        <v>8512716</v>
      </c>
      <c r="B433" s="35" t="s">
        <v>40</v>
      </c>
      <c r="C433" s="63">
        <v>1</v>
      </c>
      <c r="D433" s="58">
        <f>+VLOOKUP(A433,[1]Base!$A$11:$O$1318,15,FALSE)</f>
        <v>8957.3770588235293</v>
      </c>
      <c r="E433" s="58">
        <f>+VLOOKUP(A433,[1]Base!$A$11:$R$1579,18,FALSE)</f>
        <v>11196.721323529411</v>
      </c>
      <c r="F433">
        <f>+VLOOKUP(A433,[1]Base!$A$11:$O$1264,15,FALSE)</f>
        <v>8957.3770588235293</v>
      </c>
      <c r="G433">
        <f t="shared" si="6"/>
        <v>1</v>
      </c>
    </row>
    <row r="434" spans="1:7" x14ac:dyDescent="0.25">
      <c r="A434" s="36">
        <v>8507467</v>
      </c>
      <c r="B434" s="35" t="s">
        <v>311</v>
      </c>
      <c r="C434" s="63">
        <v>1</v>
      </c>
      <c r="D434" s="58">
        <f>+VLOOKUP(A434,[1]Base!$A$11:$O$1318,15,FALSE)</f>
        <v>4792.4334319852933</v>
      </c>
      <c r="E434" s="58">
        <f>+VLOOKUP(A434,[1]Base!$A$11:$R$1579,18,FALSE)</f>
        <v>5990.5417899816166</v>
      </c>
      <c r="F434">
        <f>+VLOOKUP(A434,[1]Base!$A$11:$O$1264,15,FALSE)</f>
        <v>4792.4334319852933</v>
      </c>
      <c r="G434">
        <f t="shared" si="6"/>
        <v>1</v>
      </c>
    </row>
    <row r="435" spans="1:7" x14ac:dyDescent="0.25">
      <c r="A435" s="36">
        <v>3557444</v>
      </c>
      <c r="B435" s="35" t="s">
        <v>127</v>
      </c>
      <c r="C435" s="63">
        <v>1</v>
      </c>
      <c r="D435" s="58">
        <f>+VLOOKUP(A435,[1]Base!$A$11:$O$1318,15,FALSE)</f>
        <v>4148.291669117647</v>
      </c>
      <c r="E435" s="58">
        <f>+VLOOKUP(A435,[1]Base!$A$11:$R$1579,18,FALSE)</f>
        <v>5185.3645863970587</v>
      </c>
      <c r="F435">
        <f>+VLOOKUP(A435,[1]Base!$A$11:$O$1264,15,FALSE)</f>
        <v>4148.291669117647</v>
      </c>
      <c r="G435">
        <f t="shared" si="6"/>
        <v>1</v>
      </c>
    </row>
    <row r="436" spans="1:7" x14ac:dyDescent="0.25">
      <c r="A436" s="36">
        <v>3557443</v>
      </c>
      <c r="B436" s="35" t="s">
        <v>126</v>
      </c>
      <c r="C436" s="63">
        <v>1</v>
      </c>
      <c r="D436" s="58">
        <f>+VLOOKUP(A436,[1]Base!$A$11:$O$1318,15,FALSE)</f>
        <v>4065.3346433823526</v>
      </c>
      <c r="E436" s="58">
        <f>+VLOOKUP(A436,[1]Base!$A$11:$R$1579,18,FALSE)</f>
        <v>5081.6683042279401</v>
      </c>
      <c r="F436">
        <f>+VLOOKUP(A436,[1]Base!$A$11:$O$1264,15,FALSE)</f>
        <v>4065.3346433823526</v>
      </c>
      <c r="G436">
        <f t="shared" si="6"/>
        <v>1</v>
      </c>
    </row>
    <row r="437" spans="1:7" x14ac:dyDescent="0.25">
      <c r="A437" s="38">
        <v>8512924</v>
      </c>
      <c r="B437" s="37" t="s">
        <v>373</v>
      </c>
      <c r="C437" s="63">
        <v>1</v>
      </c>
      <c r="D437" s="58">
        <f>+VLOOKUP(A437,[1]Base!$A$11:$O$1318,15,FALSE)</f>
        <v>118.46285294117645</v>
      </c>
      <c r="E437" s="58">
        <f>+VLOOKUP(A437,[1]Base!$A$11:$R$1579,18,FALSE)</f>
        <v>148.07856617647056</v>
      </c>
      <c r="F437">
        <f>+VLOOKUP(A437,[1]Base!$A$11:$O$1264,15,FALSE)</f>
        <v>118.46285294117645</v>
      </c>
      <c r="G437">
        <f t="shared" si="6"/>
        <v>1</v>
      </c>
    </row>
    <row r="438" spans="1:7" x14ac:dyDescent="0.25">
      <c r="A438" s="39">
        <v>8507022</v>
      </c>
      <c r="B438" s="35" t="s">
        <v>303</v>
      </c>
      <c r="C438" s="63">
        <v>1</v>
      </c>
      <c r="D438" s="58">
        <f>+VLOOKUP(A438,[1]Base!$A$11:$O$1318,15,FALSE)</f>
        <v>13.260042171280276</v>
      </c>
      <c r="E438" s="58">
        <f>+VLOOKUP(A438,[1]Base!$A$11:$R$1579,18,FALSE)</f>
        <v>16.575052714100345</v>
      </c>
      <c r="F438">
        <f>+VLOOKUP(A438,[1]Base!$A$11:$O$1264,15,FALSE)</f>
        <v>13.260042171280276</v>
      </c>
      <c r="G438">
        <f t="shared" si="6"/>
        <v>1</v>
      </c>
    </row>
    <row r="439" spans="1:7" x14ac:dyDescent="0.25">
      <c r="A439" s="36">
        <v>8516325</v>
      </c>
      <c r="B439" s="35" t="s">
        <v>406</v>
      </c>
      <c r="C439" s="63">
        <v>1</v>
      </c>
      <c r="D439" s="58">
        <f>+VLOOKUP(A439,[1]Base!$A$11:$O$1318,15,FALSE)</f>
        <v>8953.083330882353</v>
      </c>
      <c r="E439" s="58">
        <f>+VLOOKUP(A439,[1]Base!$A$11:$R$1579,18,FALSE)</f>
        <v>11191.35416360294</v>
      </c>
      <c r="F439">
        <f>+VLOOKUP(A439,[1]Base!$A$11:$O$1264,15,FALSE)</f>
        <v>8953.083330882353</v>
      </c>
      <c r="G439">
        <f t="shared" si="6"/>
        <v>1</v>
      </c>
    </row>
    <row r="440" spans="1:7" x14ac:dyDescent="0.25">
      <c r="A440" s="36">
        <v>8515270</v>
      </c>
      <c r="B440" s="35" t="s">
        <v>396</v>
      </c>
      <c r="C440" s="63">
        <v>1</v>
      </c>
      <c r="D440" s="58">
        <f>+VLOOKUP(A440,[1]Base!$A$11:$O$1318,15,FALSE)</f>
        <v>9017.1314393382363</v>
      </c>
      <c r="E440" s="58">
        <f>+VLOOKUP(A440,[1]Base!$A$11:$R$1579,18,FALSE)</f>
        <v>11271.414299172795</v>
      </c>
      <c r="F440">
        <f>+VLOOKUP(A440,[1]Base!$A$11:$O$1264,15,FALSE)</f>
        <v>9017.1314393382363</v>
      </c>
      <c r="G440">
        <f t="shared" si="6"/>
        <v>1</v>
      </c>
    </row>
    <row r="441" spans="1:7" x14ac:dyDescent="0.25">
      <c r="A441" s="38">
        <v>3558754</v>
      </c>
      <c r="B441" s="37" t="s">
        <v>1608</v>
      </c>
      <c r="C441" s="63">
        <v>1</v>
      </c>
      <c r="D441" s="58">
        <f>+VLOOKUP(A441,[1]Base!$A$11:$O$1318,15,FALSE)</f>
        <v>872.58286532507748</v>
      </c>
      <c r="E441" s="58">
        <f>+VLOOKUP(A441,[1]Base!$A$11:$R$1579,18,FALSE)</f>
        <v>1090.7285816563467</v>
      </c>
      <c r="F441">
        <f>+VLOOKUP(A441,[1]Base!$A$11:$O$1264,15,FALSE)</f>
        <v>872.58286532507748</v>
      </c>
      <c r="G441">
        <f t="shared" si="6"/>
        <v>1</v>
      </c>
    </row>
    <row r="442" spans="1:7" x14ac:dyDescent="0.25">
      <c r="A442" s="40">
        <v>8553787</v>
      </c>
      <c r="B442" s="35" t="s">
        <v>30</v>
      </c>
      <c r="C442" s="63">
        <v>1</v>
      </c>
      <c r="D442" s="58">
        <f>+VLOOKUP(A442,[1]Base!$A$11:$O$1318,15,FALSE)</f>
        <v>106.15967095588235</v>
      </c>
      <c r="E442" s="58">
        <f>+VLOOKUP(A442,[1]Base!$A$11:$R$1579,18,FALSE)</f>
        <v>132.69958869485293</v>
      </c>
      <c r="F442">
        <f>+VLOOKUP(A442,[1]Base!$A$11:$O$1264,15,FALSE)</f>
        <v>106.15967095588235</v>
      </c>
      <c r="G442">
        <f t="shared" si="6"/>
        <v>1</v>
      </c>
    </row>
    <row r="443" spans="1:7" x14ac:dyDescent="0.25">
      <c r="A443" s="141">
        <v>8582269</v>
      </c>
      <c r="B443" s="43" t="s">
        <v>2077</v>
      </c>
      <c r="C443" s="300">
        <v>1</v>
      </c>
      <c r="D443" s="58">
        <f>+VLOOKUP(A443,[1]Base!$A$11:$O$1318,15,FALSE)</f>
        <v>87.247856424148608</v>
      </c>
      <c r="E443" s="58">
        <f>+VLOOKUP(A443,[1]Base!$A$11:$R$1579,18,FALSE)</f>
        <v>109.05982053018576</v>
      </c>
      <c r="F443">
        <f>+VLOOKUP(A443,[1]Base!$A$11:$O$1264,15,FALSE)</f>
        <v>87.247856424148608</v>
      </c>
      <c r="G443">
        <f t="shared" si="6"/>
        <v>1</v>
      </c>
    </row>
    <row r="444" spans="1:7" x14ac:dyDescent="0.25">
      <c r="A444" s="36">
        <v>8501917</v>
      </c>
      <c r="B444" s="35" t="s">
        <v>265</v>
      </c>
      <c r="C444" s="63">
        <v>1</v>
      </c>
      <c r="D444" s="58">
        <f>+VLOOKUP(A444,[1]Base!$A$11:$O$1318,15,FALSE)</f>
        <v>4325.1573343653254</v>
      </c>
      <c r="E444" s="58">
        <f>+VLOOKUP(A444,[1]Base!$A$11:$R$1579,18,FALSE)</f>
        <v>5406.4466679566567</v>
      </c>
      <c r="F444">
        <f>+VLOOKUP(A444,[1]Base!$A$11:$O$1264,15,FALSE)</f>
        <v>4325.1573343653254</v>
      </c>
      <c r="G444">
        <f t="shared" si="6"/>
        <v>1</v>
      </c>
    </row>
    <row r="445" spans="1:7" x14ac:dyDescent="0.25">
      <c r="A445" s="39">
        <v>8507225</v>
      </c>
      <c r="B445" s="35" t="s">
        <v>307</v>
      </c>
      <c r="C445" s="63">
        <v>1</v>
      </c>
      <c r="D445" s="58">
        <f>+VLOOKUP(A445,[1]Base!$A$11:$O$1318,15,FALSE)</f>
        <v>13.260042171280276</v>
      </c>
      <c r="E445" s="58">
        <f>+VLOOKUP(A445,[1]Base!$A$11:$R$1579,18,FALSE)</f>
        <v>16.575052714100345</v>
      </c>
      <c r="F445">
        <f>+VLOOKUP(A445,[1]Base!$A$11:$O$1264,15,FALSE)</f>
        <v>13.260042171280276</v>
      </c>
      <c r="G445">
        <f t="shared" si="6"/>
        <v>1</v>
      </c>
    </row>
    <row r="446" spans="1:7" x14ac:dyDescent="0.25">
      <c r="A446" s="36">
        <v>14975270</v>
      </c>
      <c r="B446" s="37" t="s">
        <v>473</v>
      </c>
      <c r="C446" s="63">
        <v>1</v>
      </c>
      <c r="D446" s="58">
        <f>+VLOOKUP(A446,[1]Base!$A$11:$O$1318,15,FALSE)</f>
        <v>2836.9112478715174</v>
      </c>
      <c r="E446" s="58">
        <f>+VLOOKUP(A446,[1]Base!$A$11:$R$1579,18,FALSE)</f>
        <v>3546.1390598393964</v>
      </c>
      <c r="F446">
        <f>+VLOOKUP(A446,[1]Base!$A$11:$O$1264,15,FALSE)</f>
        <v>2836.9112478715174</v>
      </c>
      <c r="G446">
        <f t="shared" si="6"/>
        <v>1</v>
      </c>
    </row>
    <row r="447" spans="1:7" x14ac:dyDescent="0.25">
      <c r="A447" s="43">
        <v>14975270</v>
      </c>
      <c r="B447" s="37" t="s">
        <v>1731</v>
      </c>
      <c r="C447" s="63">
        <v>1</v>
      </c>
      <c r="D447" s="58">
        <f>+VLOOKUP(A447,[1]Base!$A$11:$O$1318,15,FALSE)</f>
        <v>2836.9112478715174</v>
      </c>
      <c r="E447" s="58">
        <f>+VLOOKUP(A447,[1]Base!$A$11:$R$1579,18,FALSE)</f>
        <v>3546.1390598393964</v>
      </c>
      <c r="F447">
        <f>+VLOOKUP(A447,[1]Base!$A$11:$O$1264,15,FALSE)</f>
        <v>2836.9112478715174</v>
      </c>
      <c r="G447">
        <f t="shared" si="6"/>
        <v>1</v>
      </c>
    </row>
    <row r="448" spans="1:7" x14ac:dyDescent="0.25">
      <c r="A448" s="36">
        <v>3557161</v>
      </c>
      <c r="B448" s="35" t="s">
        <v>122</v>
      </c>
      <c r="C448" s="63">
        <v>1</v>
      </c>
      <c r="D448" s="58">
        <f>+VLOOKUP(A448,[1]Base!$A$11:$O$1318,15,FALSE)</f>
        <v>2164.4517408088232</v>
      </c>
      <c r="E448" s="58">
        <f>+VLOOKUP(A448,[1]Base!$A$11:$R$1579,18,FALSE)</f>
        <v>2705.564676011029</v>
      </c>
      <c r="F448">
        <f>+VLOOKUP(A448,[1]Base!$A$11:$O$1264,15,FALSE)</f>
        <v>2164.4517408088232</v>
      </c>
      <c r="G448">
        <f t="shared" si="6"/>
        <v>1</v>
      </c>
    </row>
    <row r="449" spans="1:7" x14ac:dyDescent="0.25">
      <c r="A449" s="38" t="s">
        <v>484</v>
      </c>
      <c r="B449" s="37" t="s">
        <v>1734</v>
      </c>
      <c r="C449" s="63">
        <v>1</v>
      </c>
      <c r="D449" s="58">
        <f>+VLOOKUP(A449,[1]Base!$A$11:$O$1318,15,FALSE)</f>
        <v>49.735681985294107</v>
      </c>
      <c r="E449" s="58">
        <f>+VLOOKUP(A449,[1]Base!$A$11:$R$1579,18,FALSE)</f>
        <v>62.16960248161763</v>
      </c>
      <c r="F449">
        <f>+VLOOKUP(A449,[1]Base!$A$11:$O$1264,15,FALSE)</f>
        <v>49.735681985294107</v>
      </c>
      <c r="G449">
        <f t="shared" si="6"/>
        <v>1</v>
      </c>
    </row>
    <row r="450" spans="1:7" x14ac:dyDescent="0.25">
      <c r="A450" s="36">
        <v>8517844</v>
      </c>
      <c r="B450" s="35" t="s">
        <v>425</v>
      </c>
      <c r="C450" s="63">
        <v>1</v>
      </c>
      <c r="D450" s="58">
        <f>+VLOOKUP(A450,[1]Base!$A$11:$O$1318,15,FALSE)</f>
        <v>4.2662040441176465</v>
      </c>
      <c r="E450" s="58">
        <f>+VLOOKUP(A450,[1]Base!$A$11:$R$1579,18,FALSE)</f>
        <v>5.3327550551470582</v>
      </c>
      <c r="F450">
        <f>+VLOOKUP(A450,[1]Base!$A$11:$O$1264,15,FALSE)</f>
        <v>4.2662040441176465</v>
      </c>
      <c r="G450">
        <f t="shared" si="6"/>
        <v>1</v>
      </c>
    </row>
    <row r="451" spans="1:7" x14ac:dyDescent="0.25">
      <c r="A451" s="38">
        <v>32615</v>
      </c>
      <c r="B451" s="37" t="s">
        <v>1584</v>
      </c>
      <c r="C451" s="63"/>
      <c r="D451" s="58">
        <f>+VLOOKUP(A451,[1]Base!$A$11:$O$1318,15,FALSE)</f>
        <v>135.22490625</v>
      </c>
      <c r="E451" s="58">
        <f>+VLOOKUP(A451,[1]Base!$A$11:$R$1579,18,FALSE)</f>
        <v>169.0311328125</v>
      </c>
      <c r="F451">
        <f>+VLOOKUP(A451,[1]Base!$A$11:$O$1264,15,FALSE)</f>
        <v>135.22490625</v>
      </c>
      <c r="G451">
        <f t="shared" si="6"/>
        <v>1</v>
      </c>
    </row>
    <row r="452" spans="1:7" x14ac:dyDescent="0.25">
      <c r="A452" s="38">
        <v>3558683</v>
      </c>
      <c r="B452" s="37" t="s">
        <v>1606</v>
      </c>
      <c r="C452" s="63">
        <v>1</v>
      </c>
      <c r="D452" s="58">
        <f>+VLOOKUP(A452,[1]Base!$A$11:$O$1318,15,FALSE)</f>
        <v>91.106996517027852</v>
      </c>
      <c r="E452" s="58">
        <f>+VLOOKUP(A452,[1]Base!$A$11:$R$1579,18,FALSE)</f>
        <v>113.88374564628481</v>
      </c>
      <c r="F452">
        <f>+VLOOKUP(A452,[1]Base!$A$11:$O$1264,15,FALSE)</f>
        <v>91.106996517027852</v>
      </c>
      <c r="G452">
        <f t="shared" ref="G452:G515" si="7">+F452/D452</f>
        <v>1</v>
      </c>
    </row>
    <row r="453" spans="1:7" x14ac:dyDescent="0.25">
      <c r="A453" s="261">
        <v>3562408</v>
      </c>
      <c r="B453" s="32" t="s">
        <v>2038</v>
      </c>
      <c r="C453" s="299">
        <v>1</v>
      </c>
      <c r="D453" s="58">
        <f>+VLOOKUP(A453,[1]Base!$A$11:$O$1318,15,FALSE)</f>
        <v>511.33606230650156</v>
      </c>
      <c r="E453" s="58">
        <f>+VLOOKUP(A453,[1]Base!$A$11:$R$1579,18,FALSE)</f>
        <v>639.17007788312696</v>
      </c>
      <c r="F453">
        <f>+VLOOKUP(A453,[1]Base!$A$11:$O$1264,15,FALSE)</f>
        <v>511.33606230650156</v>
      </c>
      <c r="G453">
        <f t="shared" si="7"/>
        <v>1</v>
      </c>
    </row>
    <row r="454" spans="1:7" x14ac:dyDescent="0.25">
      <c r="A454" s="38">
        <v>3559265</v>
      </c>
      <c r="B454" s="37" t="s">
        <v>1614</v>
      </c>
      <c r="C454" s="63">
        <v>1</v>
      </c>
      <c r="D454" s="58">
        <f>+VLOOKUP(A454,[1]Base!$A$11:$O$1318,15,FALSE)</f>
        <v>858.58044485294101</v>
      </c>
      <c r="E454" s="58">
        <f>+VLOOKUP(A454,[1]Base!$A$11:$R$1579,18,FALSE)</f>
        <v>1073.2255560661763</v>
      </c>
      <c r="F454">
        <f>+VLOOKUP(A454,[1]Base!$A$11:$O$1264,15,FALSE)</f>
        <v>858.58044485294101</v>
      </c>
      <c r="G454">
        <f t="shared" si="7"/>
        <v>1</v>
      </c>
    </row>
    <row r="455" spans="1:7" x14ac:dyDescent="0.25">
      <c r="A455" s="36">
        <v>1997529</v>
      </c>
      <c r="B455" s="35" t="s">
        <v>91</v>
      </c>
      <c r="C455" s="63">
        <v>1</v>
      </c>
      <c r="D455" s="58">
        <f>+VLOOKUP(A455,[1]Base!$A$11:$O$1318,15,FALSE)</f>
        <v>703.38043246904022</v>
      </c>
      <c r="E455" s="58">
        <f>+VLOOKUP(A455,[1]Base!$A$11:$R$1579,18,FALSE)</f>
        <v>879.22554058630021</v>
      </c>
      <c r="F455">
        <f>+VLOOKUP(A455,[1]Base!$A$11:$O$1264,15,FALSE)</f>
        <v>703.38043246904022</v>
      </c>
      <c r="G455">
        <f t="shared" si="7"/>
        <v>1</v>
      </c>
    </row>
    <row r="456" spans="1:7" x14ac:dyDescent="0.25">
      <c r="A456" s="38">
        <v>3558684</v>
      </c>
      <c r="B456" s="37" t="s">
        <v>1607</v>
      </c>
      <c r="C456" s="63">
        <v>1</v>
      </c>
      <c r="D456" s="58">
        <f>+VLOOKUP(A456,[1]Base!$A$11:$O$1318,15,FALSE)</f>
        <v>284.09007643188852</v>
      </c>
      <c r="E456" s="58">
        <f>+VLOOKUP(A456,[1]Base!$A$11:$R$1579,18,FALSE)</f>
        <v>355.11259553986065</v>
      </c>
      <c r="F456">
        <f>+VLOOKUP(A456,[1]Base!$A$11:$O$1264,15,FALSE)</f>
        <v>284.09007643188852</v>
      </c>
      <c r="G456">
        <f t="shared" si="7"/>
        <v>1</v>
      </c>
    </row>
    <row r="457" spans="1:7" x14ac:dyDescent="0.25">
      <c r="A457" s="36">
        <v>3557160</v>
      </c>
      <c r="B457" s="35" t="s">
        <v>121</v>
      </c>
      <c r="C457" s="63">
        <v>1</v>
      </c>
      <c r="D457" s="58">
        <f>+VLOOKUP(A457,[1]Base!$A$11:$O$1318,15,FALSE)</f>
        <v>2287.2908933823524</v>
      </c>
      <c r="E457" s="58">
        <f>+VLOOKUP(A457,[1]Base!$A$11:$R$1579,18,FALSE)</f>
        <v>2859.1136167279401</v>
      </c>
      <c r="F457">
        <f>+VLOOKUP(A457,[1]Base!$A$11:$O$1264,15,FALSE)</f>
        <v>2287.2908933823524</v>
      </c>
      <c r="G457">
        <f t="shared" si="7"/>
        <v>1</v>
      </c>
    </row>
    <row r="458" spans="1:7" x14ac:dyDescent="0.25">
      <c r="A458" s="43">
        <v>8584193</v>
      </c>
      <c r="B458" s="35" t="s">
        <v>1819</v>
      </c>
      <c r="C458" s="63">
        <v>1</v>
      </c>
      <c r="D458" s="58">
        <f>+VLOOKUP(A458,[1]Base!$A$11:$O$1318,15,FALSE)</f>
        <v>2197.8324334365329</v>
      </c>
      <c r="E458" s="58">
        <f>+VLOOKUP(A458,[1]Base!$A$11:$R$1579,18,FALSE)</f>
        <v>2747.2905417956658</v>
      </c>
      <c r="F458">
        <f>+VLOOKUP(A458,[1]Base!$A$11:$O$1264,15,FALSE)</f>
        <v>2197.8324334365329</v>
      </c>
      <c r="G458">
        <f t="shared" si="7"/>
        <v>1</v>
      </c>
    </row>
    <row r="459" spans="1:7" x14ac:dyDescent="0.25">
      <c r="A459" s="168" t="s">
        <v>2062</v>
      </c>
      <c r="B459" s="164" t="s">
        <v>2063</v>
      </c>
      <c r="C459" s="263">
        <v>260</v>
      </c>
      <c r="D459" s="58">
        <f>+VLOOKUP(A459,[1]Base!$A$11:$O$1318,15,FALSE)</f>
        <v>364.63884083044979</v>
      </c>
      <c r="E459" s="58">
        <f>+VLOOKUP(A459,[1]Base!$A$11:$R$1579,18,FALSE)</f>
        <v>455.79855103806221</v>
      </c>
      <c r="F459">
        <f>+VLOOKUP(A459,[1]Base!$A$11:$O$1264,15,FALSE)</f>
        <v>364.63884083044979</v>
      </c>
      <c r="G459">
        <f t="shared" si="7"/>
        <v>1</v>
      </c>
    </row>
    <row r="460" spans="1:7" x14ac:dyDescent="0.25">
      <c r="A460" s="38" t="s">
        <v>483</v>
      </c>
      <c r="B460" s="37" t="s">
        <v>1733</v>
      </c>
      <c r="C460" s="63">
        <v>1</v>
      </c>
      <c r="D460" s="58">
        <f>+VLOOKUP(A460,[1]Base!$A$11:$O$1318,15,FALSE)</f>
        <v>33.331439338235292</v>
      </c>
      <c r="E460" s="58">
        <f>+VLOOKUP(A460,[1]Base!$A$11:$R$1579,18,FALSE)</f>
        <v>41.664299172794109</v>
      </c>
      <c r="F460">
        <f>+VLOOKUP(A460,[1]Base!$A$11:$O$1264,15,FALSE)</f>
        <v>33.331439338235292</v>
      </c>
      <c r="G460">
        <f t="shared" si="7"/>
        <v>1</v>
      </c>
    </row>
    <row r="461" spans="1:7" x14ac:dyDescent="0.25">
      <c r="A461" s="36">
        <v>8502405</v>
      </c>
      <c r="B461" s="35" t="s">
        <v>272</v>
      </c>
      <c r="C461" s="63">
        <v>1</v>
      </c>
      <c r="D461" s="58">
        <f>+VLOOKUP(A461,[1]Base!$A$11:$O$1318,15,FALSE)</f>
        <v>412.91350367647055</v>
      </c>
      <c r="E461" s="58">
        <f>+VLOOKUP(A461,[1]Base!$A$11:$R$1579,18,FALSE)</f>
        <v>516.14187959558819</v>
      </c>
      <c r="F461">
        <f>+VLOOKUP(A461,[1]Base!$A$11:$O$1264,15,FALSE)</f>
        <v>412.91350367647055</v>
      </c>
      <c r="G461">
        <f t="shared" si="7"/>
        <v>1</v>
      </c>
    </row>
    <row r="462" spans="1:7" x14ac:dyDescent="0.25">
      <c r="A462" s="36">
        <v>4018875</v>
      </c>
      <c r="B462" s="35" t="s">
        <v>152</v>
      </c>
      <c r="C462" s="63">
        <v>1</v>
      </c>
      <c r="D462" s="58">
        <f>+VLOOKUP(A462,[1]Base!$A$11:$O$1318,15,FALSE)</f>
        <v>7362.2150034602091</v>
      </c>
      <c r="E462" s="58">
        <f>+VLOOKUP(A462,[1]Base!$A$11:$R$1579,18,FALSE)</f>
        <v>8661.4294158355406</v>
      </c>
      <c r="F462">
        <f>+VLOOKUP(A462,[1]Base!$A$11:$O$1264,15,FALSE)</f>
        <v>7362.2150034602091</v>
      </c>
      <c r="G462">
        <f t="shared" si="7"/>
        <v>1</v>
      </c>
    </row>
    <row r="463" spans="1:7" x14ac:dyDescent="0.25">
      <c r="A463" s="36">
        <v>3557582</v>
      </c>
      <c r="B463" s="35" t="s">
        <v>131</v>
      </c>
      <c r="C463" s="63">
        <v>1</v>
      </c>
      <c r="D463" s="58">
        <f>+VLOOKUP(A463,[1]Base!$A$11:$O$1318,15,FALSE)</f>
        <v>4055.3985165441172</v>
      </c>
      <c r="E463" s="58">
        <f>+VLOOKUP(A463,[1]Base!$A$11:$R$1579,18,FALSE)</f>
        <v>5069.2481456801461</v>
      </c>
      <c r="F463">
        <f>+VLOOKUP(A463,[1]Base!$A$11:$O$1264,15,FALSE)</f>
        <v>4055.3985165441172</v>
      </c>
      <c r="G463">
        <f t="shared" si="7"/>
        <v>1</v>
      </c>
    </row>
    <row r="464" spans="1:7" x14ac:dyDescent="0.25">
      <c r="A464" s="36">
        <v>3558192</v>
      </c>
      <c r="B464" s="35" t="s">
        <v>136</v>
      </c>
      <c r="C464" s="63">
        <v>1</v>
      </c>
      <c r="D464" s="58">
        <f>+VLOOKUP(A464,[1]Base!$A$11:$O$1318,15,FALSE)</f>
        <v>1242.390349835526</v>
      </c>
      <c r="E464" s="58">
        <f>+VLOOKUP(A464,[1]Base!$A$11:$R$1579,18,FALSE)</f>
        <v>1552.9879372944074</v>
      </c>
      <c r="F464">
        <f>+VLOOKUP(A464,[1]Base!$A$11:$O$1264,15,FALSE)</f>
        <v>1242.390349835526</v>
      </c>
      <c r="G464">
        <f t="shared" si="7"/>
        <v>1</v>
      </c>
    </row>
    <row r="465" spans="1:7" x14ac:dyDescent="0.25">
      <c r="A465" s="36">
        <v>8500477</v>
      </c>
      <c r="B465" s="35" t="s">
        <v>238</v>
      </c>
      <c r="C465" s="63">
        <v>1</v>
      </c>
      <c r="D465" s="58">
        <f>+VLOOKUP(A465,[1]Base!$A$11:$O$1318,15,FALSE)</f>
        <v>711.3000716911763</v>
      </c>
      <c r="E465" s="58">
        <f>+VLOOKUP(A465,[1]Base!$A$11:$R$1579,18,FALSE)</f>
        <v>889.12508961397032</v>
      </c>
      <c r="F465">
        <f>+VLOOKUP(A465,[1]Base!$A$11:$O$1264,15,FALSE)</f>
        <v>711.3000716911763</v>
      </c>
      <c r="G465">
        <f t="shared" si="7"/>
        <v>1</v>
      </c>
    </row>
    <row r="466" spans="1:7" x14ac:dyDescent="0.25">
      <c r="A466" s="22">
        <v>8512709</v>
      </c>
      <c r="B466" s="32" t="s">
        <v>2048</v>
      </c>
      <c r="C466" s="299">
        <v>1</v>
      </c>
      <c r="D466" s="58">
        <f>+VLOOKUP(A466,[1]Base!$A$11:$O$1318,15,FALSE)</f>
        <v>8709.4533831269327</v>
      </c>
      <c r="E466" s="58">
        <f>+VLOOKUP(A466,[1]Base!$A$11:$R$1579,18,FALSE)</f>
        <v>10886.816728908665</v>
      </c>
      <c r="F466">
        <f>+VLOOKUP(A466,[1]Base!$A$11:$O$1264,15,FALSE)</f>
        <v>8709.4533831269327</v>
      </c>
      <c r="G466">
        <f t="shared" si="7"/>
        <v>1</v>
      </c>
    </row>
    <row r="467" spans="1:7" x14ac:dyDescent="0.25">
      <c r="A467" s="38">
        <v>3559840</v>
      </c>
      <c r="B467" s="37" t="s">
        <v>1617</v>
      </c>
      <c r="C467" s="63">
        <v>1</v>
      </c>
      <c r="D467" s="58">
        <f>+VLOOKUP(A467,[1]Base!$A$11:$O$1318,15,FALSE)</f>
        <v>1157.9853970588235</v>
      </c>
      <c r="E467" s="58">
        <f>+VLOOKUP(A467,[1]Base!$A$11:$R$1579,18,FALSE)</f>
        <v>1447.4817463235293</v>
      </c>
      <c r="F467">
        <f>+VLOOKUP(A467,[1]Base!$A$11:$O$1264,15,FALSE)</f>
        <v>1157.9853970588235</v>
      </c>
      <c r="G467">
        <f t="shared" si="7"/>
        <v>1</v>
      </c>
    </row>
    <row r="468" spans="1:7" x14ac:dyDescent="0.25">
      <c r="A468" s="38">
        <v>8508649</v>
      </c>
      <c r="B468" s="37" t="s">
        <v>1666</v>
      </c>
      <c r="C468" s="63">
        <v>1</v>
      </c>
      <c r="D468" s="58">
        <f>+VLOOKUP(A468,[1]Base!$A$11:$O$1318,15,FALSE)</f>
        <v>1639.9013106617645</v>
      </c>
      <c r="E468" s="58">
        <f>+VLOOKUP(A468,[1]Base!$A$11:$R$1579,18,FALSE)</f>
        <v>2049.8766383272055</v>
      </c>
      <c r="F468">
        <f>+VLOOKUP(A468,[1]Base!$A$11:$O$1264,15,FALSE)</f>
        <v>1639.9013106617645</v>
      </c>
      <c r="G468">
        <f t="shared" si="7"/>
        <v>1</v>
      </c>
    </row>
    <row r="469" spans="1:7" x14ac:dyDescent="0.25">
      <c r="A469" s="36">
        <v>8512775</v>
      </c>
      <c r="B469" s="35" t="s">
        <v>371</v>
      </c>
      <c r="C469" s="63">
        <v>1</v>
      </c>
      <c r="D469" s="58">
        <f>+VLOOKUP(A469,[1]Base!$A$11:$O$1318,15,FALSE)</f>
        <v>725.28366002321957</v>
      </c>
      <c r="E469" s="58">
        <f>+VLOOKUP(A469,[1]Base!$A$11:$R$1579,18,FALSE)</f>
        <v>906.60457502902443</v>
      </c>
      <c r="F469">
        <f>+VLOOKUP(A469,[1]Base!$A$11:$O$1264,15,FALSE)</f>
        <v>725.28366002321957</v>
      </c>
      <c r="G469">
        <f t="shared" si="7"/>
        <v>1</v>
      </c>
    </row>
    <row r="470" spans="1:7" x14ac:dyDescent="0.25">
      <c r="A470" s="38">
        <v>4022871</v>
      </c>
      <c r="B470" s="37" t="s">
        <v>1626</v>
      </c>
      <c r="C470" s="63"/>
      <c r="D470" s="58">
        <f>+VLOOKUP(A470,[1]Base!$A$11:$O$1318,15,FALSE)</f>
        <v>791.39461213235268</v>
      </c>
      <c r="E470" s="58">
        <f>+VLOOKUP(A470,[1]Base!$A$11:$R$1579,18,FALSE)</f>
        <v>989.24326516544079</v>
      </c>
      <c r="F470">
        <f>+VLOOKUP(A470,[1]Base!$A$11:$O$1264,15,FALSE)</f>
        <v>791.39461213235268</v>
      </c>
      <c r="G470">
        <f t="shared" si="7"/>
        <v>1</v>
      </c>
    </row>
    <row r="471" spans="1:7" x14ac:dyDescent="0.25">
      <c r="A471" s="261">
        <v>3562412</v>
      </c>
      <c r="B471" s="32" t="s">
        <v>2036</v>
      </c>
      <c r="C471" s="299">
        <v>1</v>
      </c>
      <c r="D471" s="58">
        <f>+VLOOKUP(A471,[1]Base!$A$11:$O$1318,15,FALSE)</f>
        <v>143.85726954334365</v>
      </c>
      <c r="E471" s="58">
        <f>+VLOOKUP(A471,[1]Base!$A$11:$R$1579,18,FALSE)</f>
        <v>179.82158692917955</v>
      </c>
      <c r="F471">
        <f>+VLOOKUP(A471,[1]Base!$A$11:$O$1264,15,FALSE)</f>
        <v>143.85726954334365</v>
      </c>
      <c r="G471">
        <f t="shared" si="7"/>
        <v>1</v>
      </c>
    </row>
    <row r="472" spans="1:7" x14ac:dyDescent="0.25">
      <c r="A472" s="36" t="s">
        <v>496</v>
      </c>
      <c r="B472" s="35" t="s">
        <v>1746</v>
      </c>
      <c r="C472" s="63">
        <v>30</v>
      </c>
      <c r="D472" s="58">
        <f>+VLOOKUP(A472,[1]Base!$A$11:$O$1318,15,FALSE)</f>
        <v>43.164860681114547</v>
      </c>
      <c r="E472" s="58">
        <f>+VLOOKUP(A472,[1]Base!$A$11:$R$1579,18,FALSE)</f>
        <v>53.95607585139318</v>
      </c>
      <c r="F472">
        <f>+VLOOKUP(A472,[1]Base!$A$11:$O$1264,15,FALSE)</f>
        <v>43.164860681114547</v>
      </c>
      <c r="G472">
        <f t="shared" si="7"/>
        <v>1</v>
      </c>
    </row>
    <row r="473" spans="1:7" x14ac:dyDescent="0.25">
      <c r="A473" s="36">
        <v>8507932</v>
      </c>
      <c r="B473" s="35" t="s">
        <v>318</v>
      </c>
      <c r="C473" s="63">
        <v>1</v>
      </c>
      <c r="D473" s="58">
        <f>+VLOOKUP(A473,[1]Base!$A$11:$O$1318,15,FALSE)</f>
        <v>9.5783161764705884</v>
      </c>
      <c r="E473" s="58">
        <f>+VLOOKUP(A473,[1]Base!$A$11:$R$1579,18,FALSE)</f>
        <v>11.972895220588235</v>
      </c>
      <c r="F473">
        <f>+VLOOKUP(A473,[1]Base!$A$11:$O$1264,15,FALSE)</f>
        <v>9.5783161764705884</v>
      </c>
      <c r="G473">
        <f t="shared" si="7"/>
        <v>1</v>
      </c>
    </row>
    <row r="474" spans="1:7" x14ac:dyDescent="0.25">
      <c r="A474" s="36">
        <v>8509979</v>
      </c>
      <c r="B474" s="35" t="s">
        <v>333</v>
      </c>
      <c r="C474" s="63">
        <v>1</v>
      </c>
      <c r="D474" s="58">
        <f>+VLOOKUP(A474,[1]Base!$A$11:$O$1318,15,FALSE)</f>
        <v>1586.2722128289474</v>
      </c>
      <c r="E474" s="58">
        <f>+VLOOKUP(A474,[1]Base!$A$11:$R$1579,18,FALSE)</f>
        <v>1982.8402660361842</v>
      </c>
      <c r="F474">
        <f>+VLOOKUP(A474,[1]Base!$A$11:$O$1264,15,FALSE)</f>
        <v>1586.2722128289474</v>
      </c>
      <c r="G474">
        <f t="shared" si="7"/>
        <v>1</v>
      </c>
    </row>
    <row r="475" spans="1:7" x14ac:dyDescent="0.25">
      <c r="A475" s="36">
        <v>4019026</v>
      </c>
      <c r="B475" s="35" t="s">
        <v>154</v>
      </c>
      <c r="C475" s="63">
        <v>1</v>
      </c>
      <c r="D475" s="58">
        <f>+VLOOKUP(A475,[1]Base!$A$11:$O$1318,15,FALSE)</f>
        <v>8000.842235294117</v>
      </c>
      <c r="E475" s="58">
        <f>+VLOOKUP(A475,[1]Base!$A$11:$R$1579,18,FALSE)</f>
        <v>9412.755570934256</v>
      </c>
      <c r="F475">
        <f>+VLOOKUP(A475,[1]Base!$A$11:$O$1264,15,FALSE)</f>
        <v>8000.842235294117</v>
      </c>
      <c r="G475">
        <f t="shared" si="7"/>
        <v>1</v>
      </c>
    </row>
    <row r="476" spans="1:7" x14ac:dyDescent="0.25">
      <c r="A476" s="36">
        <v>3557246</v>
      </c>
      <c r="B476" s="35" t="s">
        <v>124</v>
      </c>
      <c r="C476" s="63">
        <v>1</v>
      </c>
      <c r="D476" s="58">
        <f>+VLOOKUP(A476,[1]Base!$A$11:$O$1318,15,FALSE)</f>
        <v>526.66977022058813</v>
      </c>
      <c r="E476" s="58">
        <f>+VLOOKUP(A476,[1]Base!$A$11:$R$1579,18,FALSE)</f>
        <v>658.33721277573511</v>
      </c>
      <c r="F476">
        <f>+VLOOKUP(A476,[1]Base!$A$11:$O$1264,15,FALSE)</f>
        <v>526.66977022058813</v>
      </c>
      <c r="G476">
        <f t="shared" si="7"/>
        <v>1</v>
      </c>
    </row>
    <row r="477" spans="1:7" x14ac:dyDescent="0.25">
      <c r="A477" s="36">
        <v>3557940</v>
      </c>
      <c r="B477" s="35" t="s">
        <v>132</v>
      </c>
      <c r="C477" s="63">
        <v>1</v>
      </c>
      <c r="D477" s="58">
        <f>+VLOOKUP(A477,[1]Base!$A$11:$O$1318,15,FALSE)</f>
        <v>4762.3222886029407</v>
      </c>
      <c r="E477" s="58">
        <f>+VLOOKUP(A477,[1]Base!$A$11:$R$1579,18,FALSE)</f>
        <v>5952.9028607536757</v>
      </c>
      <c r="F477">
        <f>+VLOOKUP(A477,[1]Base!$A$11:$O$1264,15,FALSE)</f>
        <v>4762.3222886029407</v>
      </c>
      <c r="G477">
        <f t="shared" si="7"/>
        <v>1</v>
      </c>
    </row>
    <row r="478" spans="1:7" x14ac:dyDescent="0.25">
      <c r="A478" s="38">
        <v>8583502</v>
      </c>
      <c r="B478" s="37" t="s">
        <v>1724</v>
      </c>
      <c r="C478" s="63">
        <v>1</v>
      </c>
      <c r="D478" s="58">
        <f>+VLOOKUP(A478,[1]Base!$A$11:$O$1318,15,FALSE)</f>
        <v>17.918056985294122</v>
      </c>
      <c r="E478" s="58">
        <f>+VLOOKUP(A478,[1]Base!$A$11:$R$1579,18,FALSE)</f>
        <v>22.397571231617651</v>
      </c>
      <c r="F478">
        <f>+VLOOKUP(A478,[1]Base!$A$11:$O$1264,15,FALSE)</f>
        <v>17.918056985294122</v>
      </c>
      <c r="G478">
        <f t="shared" si="7"/>
        <v>1</v>
      </c>
    </row>
    <row r="479" spans="1:7" x14ac:dyDescent="0.25">
      <c r="A479" s="36">
        <v>3557578</v>
      </c>
      <c r="B479" s="35" t="s">
        <v>130</v>
      </c>
      <c r="C479" s="63">
        <v>1</v>
      </c>
      <c r="D479" s="58">
        <f>+VLOOKUP(A479,[1]Base!$A$11:$O$1318,15,FALSE)</f>
        <v>4140.0344999999998</v>
      </c>
      <c r="E479" s="58">
        <f>+VLOOKUP(A479,[1]Base!$A$11:$R$1579,18,FALSE)</f>
        <v>5175.0431249999992</v>
      </c>
      <c r="F479">
        <f>+VLOOKUP(A479,[1]Base!$A$11:$O$1264,15,FALSE)</f>
        <v>4140.0344999999998</v>
      </c>
      <c r="G479">
        <f t="shared" si="7"/>
        <v>1</v>
      </c>
    </row>
    <row r="480" spans="1:7" x14ac:dyDescent="0.25">
      <c r="A480" s="40">
        <v>3554451</v>
      </c>
      <c r="B480" s="41" t="s">
        <v>99</v>
      </c>
      <c r="C480" s="63">
        <v>1</v>
      </c>
      <c r="D480" s="58">
        <f>+VLOOKUP(A480,[1]Base!$A$11:$O$1318,15,FALSE)</f>
        <v>9.1379338235294103</v>
      </c>
      <c r="E480" s="58">
        <f>+VLOOKUP(A480,[1]Base!$A$11:$R$1579,18,FALSE)</f>
        <v>11.422417279411762</v>
      </c>
      <c r="F480">
        <f>+VLOOKUP(A480,[1]Base!$A$11:$O$1264,15,FALSE)</f>
        <v>9.1379338235294103</v>
      </c>
      <c r="G480">
        <f t="shared" si="7"/>
        <v>1</v>
      </c>
    </row>
    <row r="481" spans="1:7" x14ac:dyDescent="0.25">
      <c r="A481" s="43">
        <v>8509313</v>
      </c>
      <c r="B481" s="35" t="s">
        <v>1822</v>
      </c>
      <c r="C481" s="383">
        <v>1</v>
      </c>
      <c r="D481" s="58">
        <f>+VLOOKUP(A481,[1]Base!$A$11:$O$1318,15,FALSE)</f>
        <v>734.93151025541783</v>
      </c>
      <c r="E481" s="58">
        <f>+VLOOKUP(A481,[1]Base!$A$11:$R$1579,18,FALSE)</f>
        <v>918.66438781927229</v>
      </c>
      <c r="F481">
        <f>+VLOOKUP(A481,[1]Base!$A$11:$O$1264,15,FALSE)</f>
        <v>734.93151025541783</v>
      </c>
      <c r="G481">
        <f t="shared" si="7"/>
        <v>1</v>
      </c>
    </row>
    <row r="482" spans="1:7" x14ac:dyDescent="0.25">
      <c r="A482" s="40">
        <v>8504118</v>
      </c>
      <c r="B482" s="35" t="s">
        <v>36</v>
      </c>
      <c r="C482" s="63">
        <v>1</v>
      </c>
      <c r="D482" s="58">
        <f>+VLOOKUP(A482,[1]Base!$A$11:$O$1318,15,FALSE)</f>
        <v>1989.9971859861591</v>
      </c>
      <c r="E482" s="58">
        <f>+VLOOKUP(A482,[1]Base!$A$11:$R$1579,18,FALSE)</f>
        <v>2487.4964824826989</v>
      </c>
      <c r="F482">
        <f>+VLOOKUP(A482,[1]Base!$A$11:$O$1264,15,FALSE)</f>
        <v>1989.9971859861591</v>
      </c>
      <c r="G482">
        <f t="shared" si="7"/>
        <v>1</v>
      </c>
    </row>
    <row r="483" spans="1:7" x14ac:dyDescent="0.25">
      <c r="A483" s="36">
        <v>8502330</v>
      </c>
      <c r="B483" s="35" t="s">
        <v>268</v>
      </c>
      <c r="C483" s="63">
        <v>1</v>
      </c>
      <c r="D483" s="58">
        <f>+VLOOKUP(A483,[1]Base!$A$11:$O$1318,15,FALSE)</f>
        <v>240.03590624999995</v>
      </c>
      <c r="E483" s="58">
        <f>+VLOOKUP(A483,[1]Base!$A$11:$R$1579,18,FALSE)</f>
        <v>300.04488281249991</v>
      </c>
      <c r="F483">
        <f>+VLOOKUP(A483,[1]Base!$A$11:$O$1264,15,FALSE)</f>
        <v>240.03590624999995</v>
      </c>
      <c r="G483">
        <f t="shared" si="7"/>
        <v>1</v>
      </c>
    </row>
    <row r="484" spans="1:7" x14ac:dyDescent="0.25">
      <c r="A484" s="36">
        <v>8518158</v>
      </c>
      <c r="B484" s="35" t="s">
        <v>429</v>
      </c>
      <c r="C484" s="63">
        <v>1</v>
      </c>
      <c r="D484" s="58">
        <f>+VLOOKUP(A484,[1]Base!$A$11:$O$1318,15,FALSE)</f>
        <v>321.53416544117647</v>
      </c>
      <c r="E484" s="58">
        <f>+VLOOKUP(A484,[1]Base!$A$11:$R$1579,18,FALSE)</f>
        <v>401.91770680147056</v>
      </c>
      <c r="F484">
        <f>+VLOOKUP(A484,[1]Base!$A$11:$O$1264,15,FALSE)</f>
        <v>321.53416544117647</v>
      </c>
      <c r="G484">
        <f t="shared" si="7"/>
        <v>1</v>
      </c>
    </row>
    <row r="485" spans="1:7" x14ac:dyDescent="0.25">
      <c r="A485" s="36">
        <v>4021841</v>
      </c>
      <c r="B485" s="35" t="s">
        <v>174</v>
      </c>
      <c r="C485" s="63">
        <v>1</v>
      </c>
      <c r="D485" s="58">
        <f>+VLOOKUP(A485,[1]Base!$A$11:$O$1318,15,FALSE)</f>
        <v>395.53278018575855</v>
      </c>
      <c r="E485" s="58">
        <f>+VLOOKUP(A485,[1]Base!$A$11:$R$1579,18,FALSE)</f>
        <v>439.48086687306505</v>
      </c>
      <c r="F485">
        <f>+VLOOKUP(A485,[1]Base!$A$11:$O$1264,15,FALSE)</f>
        <v>395.53278018575855</v>
      </c>
      <c r="G485">
        <f t="shared" si="7"/>
        <v>1</v>
      </c>
    </row>
    <row r="486" spans="1:7" x14ac:dyDescent="0.25">
      <c r="A486" s="40">
        <v>8590279</v>
      </c>
      <c r="B486" s="35" t="s">
        <v>468</v>
      </c>
      <c r="C486" s="63">
        <v>1</v>
      </c>
      <c r="D486" s="58">
        <f>+VLOOKUP(A486,[1]Base!$A$11:$O$1318,15,FALSE)</f>
        <v>9.5783161764705884</v>
      </c>
      <c r="E486" s="58">
        <f>+VLOOKUP(A486,[1]Base!$A$11:$R$1579,18,FALSE)</f>
        <v>11.972895220588235</v>
      </c>
      <c r="F486">
        <f>+VLOOKUP(A486,[1]Base!$A$11:$O$1264,15,FALSE)</f>
        <v>9.5783161764705884</v>
      </c>
      <c r="G486">
        <f t="shared" si="7"/>
        <v>1</v>
      </c>
    </row>
    <row r="487" spans="1:7" x14ac:dyDescent="0.25">
      <c r="A487" s="36">
        <v>8500476</v>
      </c>
      <c r="B487" s="35" t="s">
        <v>237</v>
      </c>
      <c r="C487" s="63">
        <v>1</v>
      </c>
      <c r="D487" s="58">
        <f>+VLOOKUP(A487,[1]Base!$A$11:$O$1318,15,FALSE)</f>
        <v>476.79646874999992</v>
      </c>
      <c r="E487" s="58">
        <f>+VLOOKUP(A487,[1]Base!$A$11:$R$1579,18,FALSE)</f>
        <v>595.99558593749987</v>
      </c>
      <c r="F487">
        <f>+VLOOKUP(A487,[1]Base!$A$11:$O$1264,15,FALSE)</f>
        <v>476.79646874999992</v>
      </c>
      <c r="G487">
        <f t="shared" si="7"/>
        <v>1</v>
      </c>
    </row>
    <row r="488" spans="1:7" x14ac:dyDescent="0.25">
      <c r="A488" s="39">
        <v>8584192</v>
      </c>
      <c r="B488" s="35" t="s">
        <v>48</v>
      </c>
      <c r="C488" s="63">
        <v>1</v>
      </c>
      <c r="D488" s="58">
        <f>+VLOOKUP(A488,[1]Base!$A$11:$O$1318,15,FALSE)</f>
        <v>1148.9316539792389</v>
      </c>
      <c r="E488" s="58">
        <f>+VLOOKUP(A488,[1]Base!$A$11:$R$1579,18,FALSE)</f>
        <v>1436.1645674740487</v>
      </c>
      <c r="F488">
        <f>+VLOOKUP(A488,[1]Base!$A$11:$O$1264,15,FALSE)</f>
        <v>1148.9316539792389</v>
      </c>
      <c r="G488">
        <f t="shared" si="7"/>
        <v>1</v>
      </c>
    </row>
    <row r="489" spans="1:7" x14ac:dyDescent="0.25">
      <c r="A489" s="36">
        <v>4023262</v>
      </c>
      <c r="B489" s="35" t="s">
        <v>178</v>
      </c>
      <c r="C489" s="63">
        <v>1</v>
      </c>
      <c r="D489" s="58">
        <f>+VLOOKUP(A489,[1]Base!$A$11:$O$1318,15,FALSE)</f>
        <v>8097.7400247678015</v>
      </c>
      <c r="E489" s="58">
        <f>+VLOOKUP(A489,[1]Base!$A$11:$R$1579,18,FALSE)</f>
        <v>8997.488916408669</v>
      </c>
      <c r="F489">
        <f>+VLOOKUP(A489,[1]Base!$A$11:$O$1264,15,FALSE)</f>
        <v>8097.7400247678015</v>
      </c>
      <c r="G489">
        <f t="shared" si="7"/>
        <v>1</v>
      </c>
    </row>
    <row r="490" spans="1:7" x14ac:dyDescent="0.25">
      <c r="A490" s="36">
        <v>8502406</v>
      </c>
      <c r="B490" s="35" t="s">
        <v>273</v>
      </c>
      <c r="C490" s="63">
        <v>1</v>
      </c>
      <c r="D490" s="58">
        <f>+VLOOKUP(A490,[1]Base!$A$11:$O$1318,15,FALSE)</f>
        <v>411.26206985294101</v>
      </c>
      <c r="E490" s="58">
        <f>+VLOOKUP(A490,[1]Base!$A$11:$R$1579,18,FALSE)</f>
        <v>514.07758731617628</v>
      </c>
      <c r="F490">
        <f>+VLOOKUP(A490,[1]Base!$A$11:$O$1264,15,FALSE)</f>
        <v>411.26206985294101</v>
      </c>
      <c r="G490">
        <f t="shared" si="7"/>
        <v>1</v>
      </c>
    </row>
    <row r="491" spans="1:7" x14ac:dyDescent="0.25">
      <c r="A491" s="394">
        <v>8512717</v>
      </c>
      <c r="B491" s="260" t="s">
        <v>1823</v>
      </c>
      <c r="C491" s="383">
        <v>1</v>
      </c>
      <c r="D491" s="58">
        <f>+VLOOKUP(A491,[1]Base!$A$11:$O$1318,15,FALSE)</f>
        <v>9696.4023866099051</v>
      </c>
      <c r="E491" s="58">
        <f>+VLOOKUP(A491,[1]Base!$A$11:$R$1579,18,FALSE)</f>
        <v>12120.50298326238</v>
      </c>
      <c r="F491">
        <f>+VLOOKUP(A491,[1]Base!$A$11:$O$1264,15,FALSE)</f>
        <v>9696.4023866099051</v>
      </c>
      <c r="G491">
        <f t="shared" si="7"/>
        <v>1</v>
      </c>
    </row>
    <row r="492" spans="1:7" x14ac:dyDescent="0.25">
      <c r="A492" s="38">
        <v>5100355</v>
      </c>
      <c r="B492" s="37" t="s">
        <v>1641</v>
      </c>
      <c r="C492" s="63"/>
      <c r="D492" s="58">
        <f>+VLOOKUP(A492,[1]Base!$A$11:$O$1318,15,FALSE)</f>
        <v>793.87176286764702</v>
      </c>
      <c r="E492" s="58">
        <f>+VLOOKUP(A492,[1]Base!$A$11:$R$1579,18,FALSE)</f>
        <v>992.33970358455872</v>
      </c>
      <c r="F492">
        <f>+VLOOKUP(A492,[1]Base!$A$11:$O$1264,15,FALSE)</f>
        <v>793.87176286764702</v>
      </c>
      <c r="G492">
        <f t="shared" si="7"/>
        <v>1</v>
      </c>
    </row>
    <row r="493" spans="1:7" x14ac:dyDescent="0.25">
      <c r="A493" s="44" t="s">
        <v>480</v>
      </c>
      <c r="B493" s="35" t="s">
        <v>481</v>
      </c>
      <c r="C493" s="63">
        <v>1</v>
      </c>
      <c r="D493" s="58">
        <f>+VLOOKUP(A493,[1]Base!$A$11:$O$1318,15,FALSE)</f>
        <v>6711.774729102166</v>
      </c>
      <c r="E493" s="58">
        <f>+VLOOKUP(A493,[1]Base!$A$11:$R$1579,18,FALSE)</f>
        <v>8389.7184113777075</v>
      </c>
      <c r="F493">
        <f>+VLOOKUP(A493,[1]Base!$A$11:$O$1264,15,FALSE)</f>
        <v>6711.774729102166</v>
      </c>
      <c r="G493">
        <f t="shared" si="7"/>
        <v>1</v>
      </c>
    </row>
    <row r="494" spans="1:7" x14ac:dyDescent="0.25">
      <c r="A494" s="38" t="s">
        <v>486</v>
      </c>
      <c r="B494" s="37" t="s">
        <v>1736</v>
      </c>
      <c r="C494" s="63">
        <v>1</v>
      </c>
      <c r="D494" s="58">
        <f>+VLOOKUP(A494,[1]Base!$A$11:$O$1318,15,FALSE)</f>
        <v>1503.6304963235291</v>
      </c>
      <c r="E494" s="58">
        <f>+VLOOKUP(A494,[1]Base!$A$11:$R$1579,18,FALSE)</f>
        <v>1879.5381204044113</v>
      </c>
      <c r="F494">
        <f>+VLOOKUP(A494,[1]Base!$A$11:$O$1264,15,FALSE)</f>
        <v>1503.6304963235291</v>
      </c>
      <c r="G494">
        <f t="shared" si="7"/>
        <v>1</v>
      </c>
    </row>
    <row r="495" spans="1:7" x14ac:dyDescent="0.25">
      <c r="A495" s="44" t="s">
        <v>478</v>
      </c>
      <c r="B495" s="35" t="s">
        <v>479</v>
      </c>
      <c r="C495" s="63">
        <v>1</v>
      </c>
      <c r="D495" s="58">
        <f>+VLOOKUP(A495,[1]Base!$A$11:$O$1318,15,FALSE)</f>
        <v>6711.774729102166</v>
      </c>
      <c r="E495" s="58">
        <f>+VLOOKUP(A495,[1]Base!$A$11:$R$1579,18,FALSE)</f>
        <v>8389.7184113777075</v>
      </c>
      <c r="F495">
        <f>+VLOOKUP(A495,[1]Base!$A$11:$O$1264,15,FALSE)</f>
        <v>6711.774729102166</v>
      </c>
      <c r="G495">
        <f t="shared" si="7"/>
        <v>1</v>
      </c>
    </row>
    <row r="496" spans="1:7" x14ac:dyDescent="0.25">
      <c r="A496" s="163">
        <v>8511740</v>
      </c>
      <c r="B496" s="260" t="s">
        <v>2163</v>
      </c>
      <c r="C496" s="327">
        <v>1</v>
      </c>
      <c r="D496" s="58">
        <f>+VLOOKUP(A496,[1]Base!$A$11:$O$1318,15,FALSE)</f>
        <v>45.662145220588229</v>
      </c>
      <c r="E496" s="58">
        <f>+VLOOKUP(A496,[1]Base!$A$11:$R$1579,18,FALSE)</f>
        <v>57.077681525735287</v>
      </c>
      <c r="F496">
        <f>+VLOOKUP(A496,[1]Base!$A$11:$O$1264,15,FALSE)</f>
        <v>45.662145220588229</v>
      </c>
      <c r="G496">
        <f t="shared" si="7"/>
        <v>1</v>
      </c>
    </row>
    <row r="497" spans="1:7" x14ac:dyDescent="0.25">
      <c r="A497" s="36">
        <v>8510723</v>
      </c>
      <c r="B497" s="35" t="s">
        <v>343</v>
      </c>
      <c r="C497" s="63">
        <v>1</v>
      </c>
      <c r="D497" s="58">
        <f>+VLOOKUP(A497,[1]Base!$A$11:$O$1318,15,FALSE)</f>
        <v>7793.2538327205875</v>
      </c>
      <c r="E497" s="58">
        <f>+VLOOKUP(A497,[1]Base!$A$11:$R$1579,18,FALSE)</f>
        <v>9741.5672909007335</v>
      </c>
      <c r="F497">
        <f>+VLOOKUP(A497,[1]Base!$A$11:$O$1264,15,FALSE)</f>
        <v>7793.2538327205875</v>
      </c>
      <c r="G497">
        <f t="shared" si="7"/>
        <v>1</v>
      </c>
    </row>
    <row r="498" spans="1:7" x14ac:dyDescent="0.25">
      <c r="A498" s="36">
        <v>8500424</v>
      </c>
      <c r="B498" s="35" t="s">
        <v>234</v>
      </c>
      <c r="C498" s="63">
        <v>20</v>
      </c>
      <c r="D498" s="58">
        <f>+VLOOKUP(A498,[1]Base!$A$11:$O$1318,15,FALSE)</f>
        <v>71.809847426470569</v>
      </c>
      <c r="E498" s="58">
        <f>+VLOOKUP(A498,[1]Base!$A$11:$R$1579,18,FALSE)</f>
        <v>89.7623092830882</v>
      </c>
      <c r="F498">
        <f>+VLOOKUP(A498,[1]Base!$A$11:$O$1264,15,FALSE)</f>
        <v>71.809847426470569</v>
      </c>
      <c r="G498">
        <f t="shared" si="7"/>
        <v>1</v>
      </c>
    </row>
    <row r="499" spans="1:7" x14ac:dyDescent="0.25">
      <c r="A499" s="38">
        <v>8515872</v>
      </c>
      <c r="B499" s="37" t="s">
        <v>1688</v>
      </c>
      <c r="C499" s="63"/>
      <c r="D499" s="58">
        <f>+VLOOKUP(A499,[1]Base!$A$11:$O$1318,15,FALSE)</f>
        <v>19.046536764705877</v>
      </c>
      <c r="E499" s="58">
        <f>+VLOOKUP(A499,[1]Base!$A$11:$R$1579,18,FALSE)</f>
        <v>23.808170955882346</v>
      </c>
      <c r="F499">
        <f>+VLOOKUP(A499,[1]Base!$A$11:$O$1264,15,FALSE)</f>
        <v>19.046536764705877</v>
      </c>
      <c r="G499">
        <f t="shared" si="7"/>
        <v>1</v>
      </c>
    </row>
    <row r="500" spans="1:7" x14ac:dyDescent="0.25">
      <c r="A500" s="163">
        <v>8584191</v>
      </c>
      <c r="B500" s="260" t="s">
        <v>2162</v>
      </c>
      <c r="C500" s="327">
        <v>1</v>
      </c>
      <c r="D500" s="58">
        <f>+VLOOKUP(A500,[1]Base!$A$11:$O$1318,15,FALSE)</f>
        <v>761.00678115325081</v>
      </c>
      <c r="E500" s="58">
        <f>+VLOOKUP(A500,[1]Base!$A$11:$R$1579,18,FALSE)</f>
        <v>951.25847644156352</v>
      </c>
      <c r="F500">
        <f>+VLOOKUP(A500,[1]Base!$A$11:$O$1264,15,FALSE)</f>
        <v>761.00678115325081</v>
      </c>
      <c r="G500">
        <f t="shared" si="7"/>
        <v>1</v>
      </c>
    </row>
    <row r="501" spans="1:7" x14ac:dyDescent="0.25">
      <c r="A501" s="163">
        <v>8584191</v>
      </c>
      <c r="B501" s="260" t="s">
        <v>2162</v>
      </c>
      <c r="C501" s="327">
        <v>1</v>
      </c>
      <c r="D501" s="58">
        <f>+VLOOKUP(A501,[1]Base!$A$11:$O$1318,15,FALSE)</f>
        <v>761.00678115325081</v>
      </c>
      <c r="E501" s="58">
        <f>+VLOOKUP(A501,[1]Base!$A$11:$R$1579,18,FALSE)</f>
        <v>951.25847644156352</v>
      </c>
      <c r="F501">
        <f>+VLOOKUP(A501,[1]Base!$A$11:$O$1264,15,FALSE)</f>
        <v>761.00678115325081</v>
      </c>
      <c r="G501">
        <f t="shared" si="7"/>
        <v>1</v>
      </c>
    </row>
    <row r="502" spans="1:7" x14ac:dyDescent="0.25">
      <c r="A502" s="36">
        <v>8500560</v>
      </c>
      <c r="B502" s="35" t="s">
        <v>247</v>
      </c>
      <c r="C502" s="63">
        <v>1</v>
      </c>
      <c r="D502" s="58">
        <f>+VLOOKUP(A502,[1]Base!$A$11:$O$1318,15,FALSE)</f>
        <v>29.670761029411764</v>
      </c>
      <c r="E502" s="58">
        <f>+VLOOKUP(A502,[1]Base!$A$11:$R$1579,18,FALSE)</f>
        <v>37.088451286764702</v>
      </c>
      <c r="F502">
        <f>+VLOOKUP(A502,[1]Base!$A$11:$O$1264,15,FALSE)</f>
        <v>29.670761029411764</v>
      </c>
      <c r="G502">
        <f t="shared" si="7"/>
        <v>1</v>
      </c>
    </row>
    <row r="503" spans="1:7" x14ac:dyDescent="0.25">
      <c r="A503" s="36" t="s">
        <v>648</v>
      </c>
      <c r="B503" s="35" t="s">
        <v>649</v>
      </c>
      <c r="C503" s="63">
        <v>1</v>
      </c>
      <c r="D503" s="58">
        <f>+VLOOKUP(A503,[1]Base!$A$11:$O$1318,15,FALSE)</f>
        <v>7.2663088235294113</v>
      </c>
      <c r="E503" s="58">
        <f>+VLOOKUP(A503,[1]Base!$A$11:$R$1579,18,FALSE)</f>
        <v>9.0828860294117639</v>
      </c>
      <c r="F503">
        <f>+VLOOKUP(A503,[1]Base!$A$11:$O$1264,15,FALSE)</f>
        <v>7.2663088235294113</v>
      </c>
      <c r="G503">
        <f t="shared" si="7"/>
        <v>1</v>
      </c>
    </row>
    <row r="504" spans="1:7" x14ac:dyDescent="0.25">
      <c r="A504" s="36">
        <v>8518935</v>
      </c>
      <c r="B504" s="35" t="s">
        <v>436</v>
      </c>
      <c r="C504" s="63">
        <v>1</v>
      </c>
      <c r="D504" s="58">
        <f>+VLOOKUP(A504,[1]Base!$A$11:$O$1318,15,FALSE)</f>
        <v>12.523373161764706</v>
      </c>
      <c r="E504" s="58">
        <f>+VLOOKUP(A504,[1]Base!$A$11:$R$1579,18,FALSE)</f>
        <v>15.654216452205882</v>
      </c>
      <c r="F504">
        <f>+VLOOKUP(A504,[1]Base!$A$11:$O$1264,15,FALSE)</f>
        <v>12.523373161764706</v>
      </c>
      <c r="G504">
        <f t="shared" si="7"/>
        <v>1</v>
      </c>
    </row>
    <row r="505" spans="1:7" x14ac:dyDescent="0.25">
      <c r="A505" s="38">
        <v>8500912</v>
      </c>
      <c r="B505" s="37" t="s">
        <v>32</v>
      </c>
      <c r="C505" s="63">
        <v>1</v>
      </c>
      <c r="D505" s="58">
        <f>+VLOOKUP(A505,[1]Base!$A$11:$O$1318,15,FALSE)</f>
        <v>147.38372319078948</v>
      </c>
      <c r="E505" s="58">
        <f>+VLOOKUP(A505,[1]Base!$A$11:$R$1579,18,FALSE)</f>
        <v>184.22965398848683</v>
      </c>
      <c r="F505">
        <f>+VLOOKUP(A505,[1]Base!$A$11:$O$1264,15,FALSE)</f>
        <v>147.38372319078948</v>
      </c>
      <c r="G505">
        <f t="shared" si="7"/>
        <v>1</v>
      </c>
    </row>
    <row r="506" spans="1:7" x14ac:dyDescent="0.25">
      <c r="A506" s="36">
        <v>4016975</v>
      </c>
      <c r="B506" s="35" t="s">
        <v>150</v>
      </c>
      <c r="C506" s="63">
        <v>1</v>
      </c>
      <c r="D506" s="58">
        <f>+VLOOKUP(A506,[1]Base!$A$11:$O$1318,15,FALSE)</f>
        <v>11276.087916955017</v>
      </c>
      <c r="E506" s="58">
        <f>+VLOOKUP(A506,[1]Base!$A$11:$R$1579,18,FALSE)</f>
        <v>13265.985784652961</v>
      </c>
      <c r="F506" t="e">
        <f>+VLOOKUP(A506,[1]Base!$A$11:$O$1264,15,FALSE)</f>
        <v>#N/A</v>
      </c>
      <c r="G506" t="e">
        <f t="shared" si="7"/>
        <v>#N/A</v>
      </c>
    </row>
    <row r="507" spans="1:7" x14ac:dyDescent="0.25">
      <c r="A507" s="36">
        <v>4018910</v>
      </c>
      <c r="B507" s="35" t="s">
        <v>153</v>
      </c>
      <c r="C507" s="63">
        <v>1</v>
      </c>
      <c r="D507" s="58">
        <f>+VLOOKUP(A507,[1]Base!$A$11:$O$1318,15,FALSE)</f>
        <v>8875.9766366782005</v>
      </c>
      <c r="E507" s="58">
        <f>+VLOOKUP(A507,[1]Base!$A$11:$R$1579,18,FALSE)</f>
        <v>10442.32545491553</v>
      </c>
      <c r="F507">
        <f>+VLOOKUP(A507,[1]Base!$A$11:$O$1264,15,FALSE)</f>
        <v>8875.9766366782005</v>
      </c>
      <c r="G507">
        <f t="shared" si="7"/>
        <v>1</v>
      </c>
    </row>
    <row r="508" spans="1:7" x14ac:dyDescent="0.25">
      <c r="A508" s="163">
        <v>8584199</v>
      </c>
      <c r="B508" s="260" t="s">
        <v>1916</v>
      </c>
      <c r="C508" s="327">
        <v>1</v>
      </c>
      <c r="D508" s="58">
        <f>+VLOOKUP(A508,[1]Base!$A$11:$O$1318,15,FALSE)</f>
        <v>408.06929779411752</v>
      </c>
      <c r="E508" s="58">
        <f>+VLOOKUP(A508,[1]Base!$A$11:$R$1579,18,FALSE)</f>
        <v>510.08662224264685</v>
      </c>
      <c r="F508">
        <f>+VLOOKUP(A508,[1]Base!$A$11:$O$1264,15,FALSE)</f>
        <v>408.06929779411752</v>
      </c>
      <c r="G508">
        <f t="shared" si="7"/>
        <v>1</v>
      </c>
    </row>
    <row r="509" spans="1:7" x14ac:dyDescent="0.25">
      <c r="A509" s="44" t="s">
        <v>474</v>
      </c>
      <c r="B509" s="35" t="s">
        <v>475</v>
      </c>
      <c r="C509" s="63">
        <v>1</v>
      </c>
      <c r="D509" s="58">
        <f>+VLOOKUP(A509,[1]Base!$A$11:$O$1318,15,FALSE)</f>
        <v>6358.0202205882342</v>
      </c>
      <c r="E509" s="58">
        <f>+VLOOKUP(A509,[1]Base!$A$11:$R$1579,18,FALSE)</f>
        <v>7947.5252757352928</v>
      </c>
      <c r="F509">
        <f>+VLOOKUP(A509,[1]Base!$A$11:$O$1264,15,FALSE)</f>
        <v>6358.0202205882342</v>
      </c>
      <c r="G509">
        <f t="shared" si="7"/>
        <v>1</v>
      </c>
    </row>
    <row r="510" spans="1:7" x14ac:dyDescent="0.25">
      <c r="A510" s="38">
        <v>1413018</v>
      </c>
      <c r="B510" s="37" t="s">
        <v>1591</v>
      </c>
      <c r="C510" s="63"/>
      <c r="D510" s="58">
        <f>+VLOOKUP(A510,[1]Base!$A$11:$O$1318,15,FALSE)</f>
        <v>1192.7480790441175</v>
      </c>
      <c r="E510" s="58">
        <f>+VLOOKUP(A510,[1]Base!$A$11:$R$1579,18,FALSE)</f>
        <v>1490.9350988051467</v>
      </c>
      <c r="F510">
        <f>+VLOOKUP(A510,[1]Base!$A$11:$O$1264,15,FALSE)</f>
        <v>1192.7480790441175</v>
      </c>
      <c r="G510">
        <f t="shared" si="7"/>
        <v>1</v>
      </c>
    </row>
    <row r="511" spans="1:7" x14ac:dyDescent="0.25">
      <c r="A511" s="36">
        <v>8512000</v>
      </c>
      <c r="B511" s="35" t="s">
        <v>355</v>
      </c>
      <c r="C511" s="63">
        <v>20</v>
      </c>
      <c r="D511" s="58">
        <f>+VLOOKUP(A511,[1]Base!$A$11:$O$1318,15,FALSE)</f>
        <v>30.193715073529408</v>
      </c>
      <c r="E511" s="58">
        <f>+VLOOKUP(A511,[1]Base!$A$11:$R$1579,18,FALSE)</f>
        <v>37.742143841911755</v>
      </c>
      <c r="F511">
        <f>+VLOOKUP(A511,[1]Base!$A$11:$O$1264,15,FALSE)</f>
        <v>30.193715073529408</v>
      </c>
      <c r="G511">
        <f t="shared" si="7"/>
        <v>1</v>
      </c>
    </row>
    <row r="512" spans="1:7" x14ac:dyDescent="0.25">
      <c r="A512" s="38">
        <v>8584198</v>
      </c>
      <c r="B512" s="37" t="s">
        <v>1725</v>
      </c>
      <c r="C512" s="63">
        <v>1</v>
      </c>
      <c r="D512" s="58">
        <f>+VLOOKUP(A512,[1]Base!$A$11:$O$1318,15,FALSE)</f>
        <v>278.37669485294123</v>
      </c>
      <c r="E512" s="58">
        <f>+VLOOKUP(A512,[1]Base!$A$11:$R$1579,18,FALSE)</f>
        <v>347.97086856617653</v>
      </c>
      <c r="F512">
        <f>+VLOOKUP(A512,[1]Base!$A$11:$O$1264,15,FALSE)</f>
        <v>278.37669485294123</v>
      </c>
      <c r="G512">
        <f t="shared" si="7"/>
        <v>1</v>
      </c>
    </row>
    <row r="513" spans="1:7" x14ac:dyDescent="0.25">
      <c r="A513" s="38">
        <v>321720</v>
      </c>
      <c r="B513" s="37" t="s">
        <v>1587</v>
      </c>
      <c r="C513" s="63"/>
      <c r="D513" s="58">
        <f>+VLOOKUP(A513,[1]Base!$A$11:$O$1318,15,FALSE)</f>
        <v>47.726437499999996</v>
      </c>
      <c r="E513" s="58">
        <f>+VLOOKUP(A513,[1]Base!$A$11:$R$1579,18,FALSE)</f>
        <v>59.658046874999989</v>
      </c>
      <c r="F513">
        <f>+VLOOKUP(A513,[1]Base!$A$11:$O$1264,15,FALSE)</f>
        <v>47.726437499999996</v>
      </c>
      <c r="G513">
        <f t="shared" si="7"/>
        <v>1</v>
      </c>
    </row>
    <row r="514" spans="1:7" x14ac:dyDescent="0.25">
      <c r="A514" s="38">
        <v>4024058</v>
      </c>
      <c r="B514" s="37" t="s">
        <v>1629</v>
      </c>
      <c r="C514" s="63"/>
      <c r="D514" s="58">
        <f>+VLOOKUP(A514,[1]Base!$A$11:$O$1318,15,FALSE)</f>
        <v>842.12115441176456</v>
      </c>
      <c r="E514" s="58">
        <f>+VLOOKUP(A514,[1]Base!$A$11:$R$1579,18,FALSE)</f>
        <v>1052.6514430147056</v>
      </c>
      <c r="F514">
        <f>+VLOOKUP(A514,[1]Base!$A$11:$O$1264,15,FALSE)</f>
        <v>842.12115441176456</v>
      </c>
      <c r="G514">
        <f t="shared" si="7"/>
        <v>1</v>
      </c>
    </row>
    <row r="515" spans="1:7" x14ac:dyDescent="0.25">
      <c r="A515" s="40">
        <v>8507259</v>
      </c>
      <c r="B515" s="35" t="s">
        <v>308</v>
      </c>
      <c r="C515" s="63">
        <v>1</v>
      </c>
      <c r="D515" s="58">
        <f>+VLOOKUP(A515,[1]Base!$A$11:$O$1318,15,FALSE)</f>
        <v>5.4497316176470587</v>
      </c>
      <c r="E515" s="58">
        <f>+VLOOKUP(A515,[1]Base!$A$11:$R$1579,18,FALSE)</f>
        <v>6.8121645220588229</v>
      </c>
      <c r="F515">
        <f>+VLOOKUP(A515,[1]Base!$A$11:$O$1264,15,FALSE)</f>
        <v>5.4497316176470587</v>
      </c>
      <c r="G515">
        <f t="shared" si="7"/>
        <v>1</v>
      </c>
    </row>
    <row r="516" spans="1:7" x14ac:dyDescent="0.25">
      <c r="A516" s="36">
        <v>8507933</v>
      </c>
      <c r="B516" s="35" t="s">
        <v>319</v>
      </c>
      <c r="C516" s="63">
        <v>1</v>
      </c>
      <c r="D516" s="58">
        <f>+VLOOKUP(A516,[1]Base!$A$11:$O$1318,15,FALSE)</f>
        <v>10.321461397058822</v>
      </c>
      <c r="E516" s="58">
        <f>+VLOOKUP(A516,[1]Base!$A$11:$R$1579,18,FALSE)</f>
        <v>12.901826746323527</v>
      </c>
      <c r="F516">
        <f>+VLOOKUP(A516,[1]Base!$A$11:$O$1264,15,FALSE)</f>
        <v>10.321461397058822</v>
      </c>
      <c r="G516">
        <f t="shared" ref="G516:G579" si="8">+F516/D516</f>
        <v>1</v>
      </c>
    </row>
    <row r="517" spans="1:7" x14ac:dyDescent="0.25">
      <c r="A517" s="38">
        <v>8580136</v>
      </c>
      <c r="B517" s="37" t="s">
        <v>456</v>
      </c>
      <c r="C517" s="63">
        <v>1</v>
      </c>
      <c r="D517" s="58">
        <f>+VLOOKUP(A517,[1]Base!$A$11:$O$1318,15,FALSE)</f>
        <v>55.708367647058814</v>
      </c>
      <c r="E517" s="58">
        <f>+VLOOKUP(A517,[1]Base!$A$11:$R$1579,18,FALSE)</f>
        <v>69.635459558823513</v>
      </c>
      <c r="F517">
        <f>+VLOOKUP(A517,[1]Base!$A$11:$O$1264,15,FALSE)</f>
        <v>55.708367647058814</v>
      </c>
      <c r="G517">
        <f t="shared" si="8"/>
        <v>1</v>
      </c>
    </row>
    <row r="518" spans="1:7" x14ac:dyDescent="0.25">
      <c r="A518" s="44" t="s">
        <v>476</v>
      </c>
      <c r="B518" s="35" t="s">
        <v>477</v>
      </c>
      <c r="C518" s="63">
        <v>1</v>
      </c>
      <c r="D518" s="58">
        <f>+VLOOKUP(A518,[1]Base!$A$11:$O$1318,15,FALSE)</f>
        <v>6023.3875773993805</v>
      </c>
      <c r="E518" s="58">
        <f>+VLOOKUP(A518,[1]Base!$A$11:$R$1579,18,FALSE)</f>
        <v>7529.2344717492251</v>
      </c>
      <c r="F518">
        <f>+VLOOKUP(A518,[1]Base!$A$11:$O$1264,15,FALSE)</f>
        <v>6023.3875773993805</v>
      </c>
      <c r="G518">
        <f t="shared" si="8"/>
        <v>1</v>
      </c>
    </row>
    <row r="519" spans="1:7" x14ac:dyDescent="0.25">
      <c r="A519" s="36">
        <v>8500325</v>
      </c>
      <c r="B519" s="35" t="s">
        <v>226</v>
      </c>
      <c r="C519" s="63">
        <v>1</v>
      </c>
      <c r="D519" s="58">
        <f>+VLOOKUP(A519,[1]Base!$A$11:$O$1318,15,FALSE)</f>
        <v>24.909126838235292</v>
      </c>
      <c r="E519" s="58">
        <f>+VLOOKUP(A519,[1]Base!$A$11:$R$1579,18,FALSE)</f>
        <v>31.136408547794112</v>
      </c>
      <c r="F519">
        <f>+VLOOKUP(A519,[1]Base!$A$11:$O$1264,15,FALSE)</f>
        <v>24.909126838235292</v>
      </c>
      <c r="G519">
        <f t="shared" si="8"/>
        <v>1</v>
      </c>
    </row>
    <row r="520" spans="1:7" x14ac:dyDescent="0.25">
      <c r="A520" s="36">
        <v>8512722</v>
      </c>
      <c r="B520" s="35" t="s">
        <v>370</v>
      </c>
      <c r="C520" s="63">
        <v>1</v>
      </c>
      <c r="D520" s="58">
        <f>+VLOOKUP(A520,[1]Base!$A$11:$O$1318,15,FALSE)</f>
        <v>11608.710603715172</v>
      </c>
      <c r="E520" s="58">
        <f>+VLOOKUP(A520,[1]Base!$A$11:$R$1579,18,FALSE)</f>
        <v>14510.888254643964</v>
      </c>
      <c r="F520">
        <f>+VLOOKUP(A520,[1]Base!$A$11:$O$1264,15,FALSE)</f>
        <v>11608.710603715172</v>
      </c>
      <c r="G520">
        <f t="shared" si="8"/>
        <v>1</v>
      </c>
    </row>
    <row r="521" spans="1:7" x14ac:dyDescent="0.25">
      <c r="A521" s="36">
        <v>8553819</v>
      </c>
      <c r="B521" s="35" t="s">
        <v>453</v>
      </c>
      <c r="C521" s="63">
        <v>1</v>
      </c>
      <c r="D521" s="58">
        <f>+VLOOKUP(A521,[1]Base!$A$11:$O$1318,15,FALSE)</f>
        <v>71.039178308823523</v>
      </c>
      <c r="E521" s="58">
        <f>+VLOOKUP(A521,[1]Base!$A$11:$R$1579,18,FALSE)</f>
        <v>88.798972886029404</v>
      </c>
      <c r="F521">
        <f>+VLOOKUP(A521,[1]Base!$A$11:$O$1264,15,FALSE)</f>
        <v>71.039178308823523</v>
      </c>
      <c r="G521">
        <f t="shared" si="8"/>
        <v>1</v>
      </c>
    </row>
    <row r="522" spans="1:7" x14ac:dyDescent="0.25">
      <c r="A522" s="36">
        <v>8511624</v>
      </c>
      <c r="B522" s="35" t="s">
        <v>348</v>
      </c>
      <c r="C522" s="63">
        <v>1</v>
      </c>
      <c r="D522" s="58">
        <f>+VLOOKUP(A522,[1]Base!$A$11:$O$1318,15,FALSE)</f>
        <v>123.30705882352939</v>
      </c>
      <c r="E522" s="58">
        <f>+VLOOKUP(A522,[1]Base!$A$11:$R$1579,18,FALSE)</f>
        <v>154.13382352941173</v>
      </c>
      <c r="F522">
        <f>+VLOOKUP(A522,[1]Base!$A$11:$O$1264,15,FALSE)</f>
        <v>123.30705882352939</v>
      </c>
      <c r="G522">
        <f t="shared" si="8"/>
        <v>1</v>
      </c>
    </row>
    <row r="523" spans="1:7" x14ac:dyDescent="0.25">
      <c r="A523" s="36">
        <v>8516253</v>
      </c>
      <c r="B523" s="35" t="s">
        <v>404</v>
      </c>
      <c r="C523" s="63">
        <v>1</v>
      </c>
      <c r="D523" s="58">
        <f>+VLOOKUP(A523,[1]Base!$A$11:$O$1318,15,FALSE)</f>
        <v>3202.8387320723687</v>
      </c>
      <c r="E523" s="58">
        <f>+VLOOKUP(A523,[1]Base!$A$11:$R$1579,18,FALSE)</f>
        <v>4003.5484150904608</v>
      </c>
      <c r="F523">
        <f>+VLOOKUP(A523,[1]Base!$A$11:$O$1264,15,FALSE)</f>
        <v>3202.8387320723687</v>
      </c>
      <c r="G523">
        <f t="shared" si="8"/>
        <v>1</v>
      </c>
    </row>
    <row r="524" spans="1:7" x14ac:dyDescent="0.25">
      <c r="A524" s="36">
        <v>8511499</v>
      </c>
      <c r="B524" s="35" t="s">
        <v>346</v>
      </c>
      <c r="C524" s="63">
        <v>1</v>
      </c>
      <c r="D524" s="58">
        <f>+VLOOKUP(A524,[1]Base!$A$11:$O$1318,15,FALSE)</f>
        <v>7041.0257261029419</v>
      </c>
      <c r="E524" s="58">
        <f>+VLOOKUP(A524,[1]Base!$A$11:$R$1579,18,FALSE)</f>
        <v>8801.2821576286769</v>
      </c>
      <c r="F524">
        <f>+VLOOKUP(A524,[1]Base!$A$11:$O$1264,15,FALSE)</f>
        <v>7041.0257261029419</v>
      </c>
      <c r="G524">
        <f t="shared" si="8"/>
        <v>1</v>
      </c>
    </row>
    <row r="525" spans="1:7" x14ac:dyDescent="0.25">
      <c r="A525" s="36">
        <v>8511498</v>
      </c>
      <c r="B525" s="35" t="s">
        <v>345</v>
      </c>
      <c r="C525" s="63">
        <v>1</v>
      </c>
      <c r="D525" s="58">
        <f>+VLOOKUP(A525,[1]Base!$A$11:$O$1318,15,FALSE)</f>
        <v>6970.729693014704</v>
      </c>
      <c r="E525" s="58">
        <f>+VLOOKUP(A525,[1]Base!$A$11:$R$1579,18,FALSE)</f>
        <v>8713.4121162683787</v>
      </c>
      <c r="F525">
        <f>+VLOOKUP(A525,[1]Base!$A$11:$O$1264,15,FALSE)</f>
        <v>6970.729693014704</v>
      </c>
      <c r="G525">
        <f t="shared" si="8"/>
        <v>1</v>
      </c>
    </row>
    <row r="526" spans="1:7" x14ac:dyDescent="0.25">
      <c r="A526" s="36">
        <v>14975430</v>
      </c>
      <c r="B526" s="37" t="s">
        <v>55</v>
      </c>
      <c r="C526" s="63">
        <v>1</v>
      </c>
      <c r="D526" s="58">
        <f>+VLOOKUP(A526,[1]Base!$A$11:$O$1318,15,FALSE)</f>
        <v>4192.4602807662541</v>
      </c>
      <c r="E526" s="58">
        <f>+VLOOKUP(A526,[1]Base!$A$11:$R$1579,18,FALSE)</f>
        <v>5240.5753509578171</v>
      </c>
      <c r="F526">
        <f>+VLOOKUP(A526,[1]Base!$A$11:$O$1264,15,FALSE)</f>
        <v>4192.4602807662541</v>
      </c>
      <c r="G526">
        <f t="shared" si="8"/>
        <v>1</v>
      </c>
    </row>
    <row r="527" spans="1:7" x14ac:dyDescent="0.25">
      <c r="A527" s="36">
        <v>8500433</v>
      </c>
      <c r="B527" s="35" t="s">
        <v>235</v>
      </c>
      <c r="C527" s="63">
        <v>1</v>
      </c>
      <c r="D527" s="58">
        <f>+VLOOKUP(A527,[1]Base!$A$11:$O$1318,15,FALSE)</f>
        <v>11.670132352941176</v>
      </c>
      <c r="E527" s="58">
        <f>+VLOOKUP(A527,[1]Base!$A$11:$R$1579,18,FALSE)</f>
        <v>14.587665441176469</v>
      </c>
      <c r="F527">
        <f>+VLOOKUP(A527,[1]Base!$A$11:$O$1264,15,FALSE)</f>
        <v>11.670132352941176</v>
      </c>
      <c r="G527">
        <f t="shared" si="8"/>
        <v>1</v>
      </c>
    </row>
    <row r="528" spans="1:7" x14ac:dyDescent="0.25">
      <c r="A528" s="36">
        <v>8510722</v>
      </c>
      <c r="B528" s="35" t="s">
        <v>342</v>
      </c>
      <c r="C528" s="63">
        <v>1</v>
      </c>
      <c r="D528" s="58">
        <f>+VLOOKUP(A528,[1]Base!$A$11:$O$1318,15,FALSE)</f>
        <v>7412.7359558823518</v>
      </c>
      <c r="E528" s="58">
        <f>+VLOOKUP(A528,[1]Base!$A$11:$R$1579,18,FALSE)</f>
        <v>9265.9199448529398</v>
      </c>
      <c r="F528">
        <f>+VLOOKUP(A528,[1]Base!$A$11:$O$1264,15,FALSE)</f>
        <v>7412.7359558823518</v>
      </c>
      <c r="G528">
        <f t="shared" si="8"/>
        <v>1</v>
      </c>
    </row>
    <row r="529" spans="1:7" x14ac:dyDescent="0.25">
      <c r="A529" s="38">
        <v>8510202</v>
      </c>
      <c r="B529" s="37" t="s">
        <v>1667</v>
      </c>
      <c r="C529" s="63"/>
      <c r="D529" s="58">
        <f>+VLOOKUP(A529,[1]Base!$A$11:$O$1318,15,FALSE)</f>
        <v>21.275972426470588</v>
      </c>
      <c r="E529" s="58">
        <f>+VLOOKUP(A529,[1]Base!$A$11:$R$1579,18,FALSE)</f>
        <v>26.594965533088235</v>
      </c>
      <c r="F529">
        <f>+VLOOKUP(A529,[1]Base!$A$11:$O$1264,15,FALSE)</f>
        <v>21.275972426470588</v>
      </c>
      <c r="G529">
        <f t="shared" si="8"/>
        <v>1</v>
      </c>
    </row>
    <row r="530" spans="1:7" x14ac:dyDescent="0.25">
      <c r="A530" s="38">
        <v>8583328</v>
      </c>
      <c r="B530" s="37" t="s">
        <v>1723</v>
      </c>
      <c r="C530" s="63">
        <v>1</v>
      </c>
      <c r="D530" s="58">
        <f>+VLOOKUP(A530,[1]Base!$A$11:$O$1318,15,FALSE)</f>
        <v>721.84172426470582</v>
      </c>
      <c r="E530" s="58">
        <f>+VLOOKUP(A530,[1]Base!$A$11:$R$1579,18,FALSE)</f>
        <v>902.30215533088221</v>
      </c>
      <c r="F530">
        <f>+VLOOKUP(A530,[1]Base!$A$11:$O$1264,15,FALSE)</f>
        <v>721.84172426470582</v>
      </c>
      <c r="G530">
        <f t="shared" si="8"/>
        <v>1</v>
      </c>
    </row>
    <row r="531" spans="1:7" x14ac:dyDescent="0.25">
      <c r="A531" s="36">
        <v>8500866</v>
      </c>
      <c r="B531" s="35" t="s">
        <v>258</v>
      </c>
      <c r="C531" s="63">
        <v>1</v>
      </c>
      <c r="D531" s="58">
        <f>+VLOOKUP(A531,[1]Base!$A$11:$O$1318,15,FALSE)</f>
        <v>19.074060661764705</v>
      </c>
      <c r="E531" s="58">
        <f>+VLOOKUP(A531,[1]Base!$A$11:$R$1579,18,FALSE)</f>
        <v>23.842575827205881</v>
      </c>
      <c r="F531">
        <f>+VLOOKUP(A531,[1]Base!$A$11:$O$1264,15,FALSE)</f>
        <v>19.074060661764705</v>
      </c>
      <c r="G531">
        <f t="shared" si="8"/>
        <v>1</v>
      </c>
    </row>
    <row r="532" spans="1:7" x14ac:dyDescent="0.25">
      <c r="A532" s="36">
        <v>8507966</v>
      </c>
      <c r="B532" s="35" t="s">
        <v>327</v>
      </c>
      <c r="C532" s="63">
        <v>1</v>
      </c>
      <c r="D532" s="58">
        <f>+VLOOKUP(A532,[1]Base!$A$11:$O$1318,15,FALSE)</f>
        <v>13.266518382352942</v>
      </c>
      <c r="E532" s="58">
        <f>+VLOOKUP(A532,[1]Base!$A$11:$R$1579,18,FALSE)</f>
        <v>16.583147977941177</v>
      </c>
      <c r="F532">
        <f>+VLOOKUP(A532,[1]Base!$A$11:$O$1264,15,FALSE)</f>
        <v>13.266518382352942</v>
      </c>
      <c r="G532">
        <f t="shared" si="8"/>
        <v>1</v>
      </c>
    </row>
    <row r="533" spans="1:7" x14ac:dyDescent="0.25">
      <c r="A533" s="38">
        <v>321715</v>
      </c>
      <c r="B533" s="37" t="s">
        <v>1586</v>
      </c>
      <c r="C533" s="63"/>
      <c r="D533" s="58">
        <f>+VLOOKUP(A533,[1]Base!$A$11:$O$1318,15,FALSE)</f>
        <v>35.588398897058816</v>
      </c>
      <c r="E533" s="58">
        <f>+VLOOKUP(A533,[1]Base!$A$11:$R$1579,18,FALSE)</f>
        <v>44.485498621323515</v>
      </c>
      <c r="F533">
        <f>+VLOOKUP(A533,[1]Base!$A$11:$O$1264,15,FALSE)</f>
        <v>35.588398897058816</v>
      </c>
      <c r="G533">
        <f t="shared" si="8"/>
        <v>1</v>
      </c>
    </row>
    <row r="534" spans="1:7" x14ac:dyDescent="0.25">
      <c r="A534" s="38">
        <v>3557976</v>
      </c>
      <c r="B534" s="37" t="s">
        <v>1599</v>
      </c>
      <c r="C534" s="63">
        <v>1</v>
      </c>
      <c r="D534" s="58">
        <f>+VLOOKUP(A534,[1]Base!$A$11:$O$1318,15,FALSE)</f>
        <v>809.92398935758513</v>
      </c>
      <c r="E534" s="58">
        <f>+VLOOKUP(A534,[1]Base!$A$11:$R$1579,18,FALSE)</f>
        <v>1012.4049866969814</v>
      </c>
      <c r="F534">
        <f>+VLOOKUP(A534,[1]Base!$A$11:$O$1264,15,FALSE)</f>
        <v>809.92398935758513</v>
      </c>
      <c r="G534">
        <f t="shared" si="8"/>
        <v>1</v>
      </c>
    </row>
    <row r="535" spans="1:7" x14ac:dyDescent="0.25">
      <c r="A535" s="36">
        <v>3559257</v>
      </c>
      <c r="B535" s="35" t="s">
        <v>144</v>
      </c>
      <c r="C535" s="63">
        <v>1</v>
      </c>
      <c r="D535" s="58">
        <f>+VLOOKUP(A535,[1]Base!$A$11:$O$1318,15,FALSE)</f>
        <v>538.40219349845199</v>
      </c>
      <c r="E535" s="58">
        <f>+VLOOKUP(A535,[1]Base!$A$11:$R$1579,18,FALSE)</f>
        <v>673.00274187306491</v>
      </c>
      <c r="F535">
        <f>+VLOOKUP(A535,[1]Base!$A$11:$O$1264,15,FALSE)</f>
        <v>538.40219349845199</v>
      </c>
      <c r="G535">
        <f t="shared" si="8"/>
        <v>1</v>
      </c>
    </row>
    <row r="536" spans="1:7" x14ac:dyDescent="0.25">
      <c r="A536" s="38">
        <v>4012887</v>
      </c>
      <c r="B536" s="37" t="s">
        <v>1620</v>
      </c>
      <c r="C536" s="63">
        <v>1</v>
      </c>
      <c r="D536" s="58">
        <f>+VLOOKUP(A536,[1]Base!$A$11:$O$1318,15,FALSE)</f>
        <v>101.37051286764704</v>
      </c>
      <c r="E536" s="58">
        <f>+VLOOKUP(A536,[1]Base!$A$11:$R$1579,18,FALSE)</f>
        <v>126.71314108455879</v>
      </c>
      <c r="F536">
        <f>+VLOOKUP(A536,[1]Base!$A$11:$O$1264,15,FALSE)</f>
        <v>101.37051286764704</v>
      </c>
      <c r="G536">
        <f t="shared" si="8"/>
        <v>1</v>
      </c>
    </row>
    <row r="537" spans="1:7" x14ac:dyDescent="0.25">
      <c r="A537" s="36">
        <v>8500858</v>
      </c>
      <c r="B537" s="35" t="s">
        <v>253</v>
      </c>
      <c r="C537" s="63">
        <v>20</v>
      </c>
      <c r="D537" s="58">
        <f>+VLOOKUP(A537,[1]Base!$A$11:$O$1318,15,FALSE)</f>
        <v>90.33343014705882</v>
      </c>
      <c r="E537" s="58">
        <f>+VLOOKUP(A537,[1]Base!$A$11:$R$1579,18,FALSE)</f>
        <v>112.91678768382351</v>
      </c>
      <c r="F537">
        <f>+VLOOKUP(A537,[1]Base!$A$11:$O$1264,15,FALSE)</f>
        <v>90.33343014705882</v>
      </c>
      <c r="G537">
        <f t="shared" si="8"/>
        <v>1</v>
      </c>
    </row>
    <row r="538" spans="1:7" x14ac:dyDescent="0.25">
      <c r="A538" s="36">
        <v>3555509</v>
      </c>
      <c r="B538" s="41" t="s">
        <v>102</v>
      </c>
      <c r="C538" s="63">
        <v>1</v>
      </c>
      <c r="D538" s="58">
        <f>+VLOOKUP(A538,[1]Base!$A$11:$O$1318,15,FALSE)</f>
        <v>475.83211764705879</v>
      </c>
      <c r="E538" s="58">
        <f>+VLOOKUP(A538,[1]Base!$A$11:$R$1579,18,FALSE)</f>
        <v>528.7023529411764</v>
      </c>
      <c r="F538">
        <f>+VLOOKUP(A538,[1]Base!$A$11:$O$1264,15,FALSE)</f>
        <v>475.83211764705879</v>
      </c>
      <c r="G538">
        <f t="shared" si="8"/>
        <v>1</v>
      </c>
    </row>
    <row r="539" spans="1:7" x14ac:dyDescent="0.25">
      <c r="A539" s="36" t="s">
        <v>554</v>
      </c>
      <c r="B539" s="35" t="s">
        <v>1780</v>
      </c>
      <c r="C539" s="63">
        <v>30</v>
      </c>
      <c r="D539" s="58">
        <f>+VLOOKUP(A539,[1]Base!$A$11:$O$1318,15,FALSE)</f>
        <v>42.105800653594777</v>
      </c>
      <c r="E539" s="58">
        <f>+VLOOKUP(A539,[1]Base!$A$11:$R$1579,18,FALSE)</f>
        <v>56.141067538126372</v>
      </c>
      <c r="F539">
        <f>+VLOOKUP(A539,[1]Base!$A$11:$O$1264,15,FALSE)</f>
        <v>42.105800653594777</v>
      </c>
      <c r="G539">
        <f t="shared" si="8"/>
        <v>1</v>
      </c>
    </row>
    <row r="540" spans="1:7" x14ac:dyDescent="0.25">
      <c r="A540" s="36">
        <v>8582767</v>
      </c>
      <c r="B540" s="35" t="s">
        <v>461</v>
      </c>
      <c r="C540" s="63">
        <v>1</v>
      </c>
      <c r="D540" s="58">
        <f>+VLOOKUP(A540,[1]Base!$A$11:$O$1318,15,FALSE)</f>
        <v>6602.8838876644741</v>
      </c>
      <c r="E540" s="58">
        <f>+VLOOKUP(A540,[1]Base!$A$11:$R$1579,18,FALSE)</f>
        <v>8253.6048595805914</v>
      </c>
      <c r="F540">
        <f>+VLOOKUP(A540,[1]Base!$A$11:$O$1264,15,FALSE)</f>
        <v>6602.8838876644741</v>
      </c>
      <c r="G540">
        <f t="shared" si="8"/>
        <v>1</v>
      </c>
    </row>
    <row r="541" spans="1:7" x14ac:dyDescent="0.25">
      <c r="A541" s="36">
        <v>3554142</v>
      </c>
      <c r="B541" s="41" t="s">
        <v>94</v>
      </c>
      <c r="C541" s="63">
        <v>1</v>
      </c>
      <c r="D541" s="58">
        <f>+VLOOKUP(A541,[1]Base!$A$11:$O$1318,15,FALSE)</f>
        <v>2337.1265305727552</v>
      </c>
      <c r="E541" s="58">
        <f>+VLOOKUP(A541,[1]Base!$A$11:$R$1579,18,FALSE)</f>
        <v>2921.4081632159437</v>
      </c>
      <c r="F541">
        <f>+VLOOKUP(A541,[1]Base!$A$11:$O$1264,15,FALSE)</f>
        <v>2337.1265305727552</v>
      </c>
      <c r="G541">
        <f t="shared" si="8"/>
        <v>1</v>
      </c>
    </row>
    <row r="542" spans="1:7" x14ac:dyDescent="0.25">
      <c r="A542" s="36">
        <v>3556099</v>
      </c>
      <c r="B542" s="41" t="s">
        <v>105</v>
      </c>
      <c r="C542" s="63">
        <v>1</v>
      </c>
      <c r="D542" s="58">
        <f>+VLOOKUP(A542,[1]Base!$A$11:$O$1318,15,FALSE)</f>
        <v>796.15624632352933</v>
      </c>
      <c r="E542" s="58">
        <f>+VLOOKUP(A542,[1]Base!$A$11:$R$1579,18,FALSE)</f>
        <v>995.19530790441161</v>
      </c>
      <c r="F542">
        <f>+VLOOKUP(A542,[1]Base!$A$11:$O$1264,15,FALSE)</f>
        <v>796.15624632352933</v>
      </c>
      <c r="G542">
        <f t="shared" si="8"/>
        <v>1</v>
      </c>
    </row>
    <row r="543" spans="1:7" x14ac:dyDescent="0.25">
      <c r="A543" s="38">
        <v>8508612</v>
      </c>
      <c r="B543" s="37" t="s">
        <v>1665</v>
      </c>
      <c r="C543" s="63">
        <v>1</v>
      </c>
      <c r="D543" s="58">
        <f>+VLOOKUP(A543,[1]Base!$A$11:$O$1318,15,FALSE)</f>
        <v>36.826974264705882</v>
      </c>
      <c r="E543" s="58">
        <f>+VLOOKUP(A543,[1]Base!$A$11:$R$1579,18,FALSE)</f>
        <v>46.033717830882352</v>
      </c>
      <c r="F543">
        <f>+VLOOKUP(A543,[1]Base!$A$11:$O$1264,15,FALSE)</f>
        <v>36.826974264705882</v>
      </c>
      <c r="G543">
        <f t="shared" si="8"/>
        <v>1</v>
      </c>
    </row>
    <row r="544" spans="1:7" x14ac:dyDescent="0.25">
      <c r="A544" s="36">
        <v>8510210</v>
      </c>
      <c r="B544" s="35" t="s">
        <v>338</v>
      </c>
      <c r="C544" s="63">
        <v>1</v>
      </c>
      <c r="D544" s="58">
        <f>+VLOOKUP(A544,[1]Base!$A$11:$O$1318,15,FALSE)</f>
        <v>77.578532439446377</v>
      </c>
      <c r="E544" s="58">
        <f>+VLOOKUP(A544,[1]Base!$A$11:$R$1579,18,FALSE)</f>
        <v>96.973165549307964</v>
      </c>
      <c r="F544">
        <f>+VLOOKUP(A544,[1]Base!$A$11:$O$1264,15,FALSE)</f>
        <v>77.578532439446377</v>
      </c>
      <c r="G544">
        <f t="shared" si="8"/>
        <v>1</v>
      </c>
    </row>
    <row r="545" spans="1:7" x14ac:dyDescent="0.25">
      <c r="A545" s="157">
        <v>8582622</v>
      </c>
      <c r="B545" s="397" t="s">
        <v>2080</v>
      </c>
      <c r="C545" s="300">
        <v>1</v>
      </c>
      <c r="D545" s="58">
        <f>+VLOOKUP(A545,[1]Base!$A$11:$O$1318,15,FALSE)</f>
        <v>6915.1618421052617</v>
      </c>
      <c r="E545" s="58">
        <f>+VLOOKUP(A545,[1]Base!$A$11:$R$1579,18,FALSE)</f>
        <v>8643.9523026315765</v>
      </c>
      <c r="F545">
        <f>+VLOOKUP(A545,[1]Base!$A$11:$O$1264,15,FALSE)</f>
        <v>6915.1618421052617</v>
      </c>
      <c r="G545">
        <f t="shared" si="8"/>
        <v>1</v>
      </c>
    </row>
    <row r="546" spans="1:7" x14ac:dyDescent="0.25">
      <c r="A546" s="36" t="s">
        <v>559</v>
      </c>
      <c r="B546" s="35" t="s">
        <v>560</v>
      </c>
      <c r="C546" s="63">
        <v>30</v>
      </c>
      <c r="D546" s="58">
        <f>+VLOOKUP(A546,[1]Base!$A$11:$O$1318,15,FALSE)</f>
        <v>50.214100346020757</v>
      </c>
      <c r="E546" s="58">
        <f>+VLOOKUP(A546,[1]Base!$A$11:$R$1579,18,FALSE)</f>
        <v>66.952133794694348</v>
      </c>
      <c r="F546">
        <f>+VLOOKUP(A546,[1]Base!$A$11:$O$1264,15,FALSE)</f>
        <v>50.214100346020757</v>
      </c>
      <c r="G546">
        <f t="shared" si="8"/>
        <v>1</v>
      </c>
    </row>
    <row r="547" spans="1:7" x14ac:dyDescent="0.25">
      <c r="A547" s="36">
        <v>8502464</v>
      </c>
      <c r="B547" s="35" t="s">
        <v>274</v>
      </c>
      <c r="C547" s="63">
        <v>1</v>
      </c>
      <c r="D547" s="58">
        <f>+VLOOKUP(A547,[1]Base!$A$11:$O$1318,15,FALSE)</f>
        <v>294.53322242647056</v>
      </c>
      <c r="E547" s="58">
        <f>+VLOOKUP(A547,[1]Base!$A$11:$R$1579,18,FALSE)</f>
        <v>368.16652803308818</v>
      </c>
      <c r="F547">
        <f>+VLOOKUP(A547,[1]Base!$A$11:$O$1264,15,FALSE)</f>
        <v>294.53322242647056</v>
      </c>
      <c r="G547">
        <f t="shared" si="8"/>
        <v>1</v>
      </c>
    </row>
    <row r="548" spans="1:7" x14ac:dyDescent="0.25">
      <c r="A548" s="43">
        <v>8507400</v>
      </c>
      <c r="B548" s="37" t="s">
        <v>1661</v>
      </c>
      <c r="C548" s="63"/>
      <c r="D548" s="58">
        <f>+VLOOKUP(A548,[1]Base!$A$11:$O$1318,15,FALSE)</f>
        <v>2.9450569852941175</v>
      </c>
      <c r="E548" s="58">
        <f>+VLOOKUP(A548,[1]Base!$A$11:$R$1579,18,FALSE)</f>
        <v>3.6813212316176469</v>
      </c>
      <c r="F548">
        <f>+VLOOKUP(A548,[1]Base!$A$11:$O$1264,15,FALSE)</f>
        <v>2.9450569852941175</v>
      </c>
      <c r="G548">
        <f t="shared" si="8"/>
        <v>1</v>
      </c>
    </row>
    <row r="549" spans="1:7" x14ac:dyDescent="0.25">
      <c r="A549" s="36">
        <v>8507950</v>
      </c>
      <c r="B549" s="35" t="s">
        <v>321</v>
      </c>
      <c r="C549" s="63">
        <v>1</v>
      </c>
      <c r="D549" s="58">
        <f>+VLOOKUP(A549,[1]Base!$A$11:$O$1318,15,FALSE)</f>
        <v>19.652062499999992</v>
      </c>
      <c r="E549" s="58">
        <f>+VLOOKUP(A549,[1]Base!$A$11:$R$1579,18,FALSE)</f>
        <v>24.565078124999989</v>
      </c>
      <c r="F549">
        <f>+VLOOKUP(A549,[1]Base!$A$11:$O$1264,15,FALSE)</f>
        <v>19.652062499999992</v>
      </c>
      <c r="G549">
        <f t="shared" si="8"/>
        <v>1</v>
      </c>
    </row>
    <row r="550" spans="1:7" x14ac:dyDescent="0.25">
      <c r="A550" s="36">
        <v>8500575</v>
      </c>
      <c r="B550" s="35" t="s">
        <v>248</v>
      </c>
      <c r="C550" s="63">
        <v>20</v>
      </c>
      <c r="D550" s="58">
        <f>+VLOOKUP(A550,[1]Base!$A$11:$O$1318,15,FALSE)</f>
        <v>58.48828125</v>
      </c>
      <c r="E550" s="58">
        <f>+VLOOKUP(A550,[1]Base!$A$11:$R$1579,18,FALSE)</f>
        <v>73.1103515625</v>
      </c>
      <c r="F550">
        <f>+VLOOKUP(A550,[1]Base!$A$11:$O$1264,15,FALSE)</f>
        <v>58.48828125</v>
      </c>
      <c r="G550">
        <f t="shared" si="8"/>
        <v>1</v>
      </c>
    </row>
    <row r="551" spans="1:7" x14ac:dyDescent="0.25">
      <c r="A551" s="38">
        <v>8584848</v>
      </c>
      <c r="B551" s="37" t="s">
        <v>1728</v>
      </c>
      <c r="C551" s="63">
        <v>1</v>
      </c>
      <c r="D551" s="58">
        <f>+VLOOKUP(A551,[1]Base!$A$11:$O$1318,15,FALSE)</f>
        <v>428.93241176470576</v>
      </c>
      <c r="E551" s="58">
        <f>+VLOOKUP(A551,[1]Base!$A$11:$R$1579,18,FALSE)</f>
        <v>536.16551470588217</v>
      </c>
      <c r="F551">
        <f>+VLOOKUP(A551,[1]Base!$A$11:$O$1264,15,FALSE)</f>
        <v>428.93241176470576</v>
      </c>
      <c r="G551">
        <f t="shared" si="8"/>
        <v>1</v>
      </c>
    </row>
    <row r="552" spans="1:7" x14ac:dyDescent="0.25">
      <c r="A552" s="38">
        <v>3559405</v>
      </c>
      <c r="B552" s="37" t="s">
        <v>1615</v>
      </c>
      <c r="C552" s="63">
        <v>1</v>
      </c>
      <c r="D552" s="58">
        <f>+VLOOKUP(A552,[1]Base!$A$11:$O$1318,15,FALSE)</f>
        <v>682.51007536764689</v>
      </c>
      <c r="E552" s="58">
        <f>+VLOOKUP(A552,[1]Base!$A$11:$R$1579,18,FALSE)</f>
        <v>853.13759420955853</v>
      </c>
      <c r="F552">
        <f>+VLOOKUP(A552,[1]Base!$A$11:$O$1264,15,FALSE)</f>
        <v>682.51007536764689</v>
      </c>
      <c r="G552">
        <f t="shared" si="8"/>
        <v>1</v>
      </c>
    </row>
    <row r="553" spans="1:7" x14ac:dyDescent="0.25">
      <c r="A553" s="40">
        <v>8510273</v>
      </c>
      <c r="B553" s="35" t="s">
        <v>341</v>
      </c>
      <c r="C553" s="63">
        <v>1</v>
      </c>
      <c r="D553" s="58">
        <f>+VLOOKUP(A553,[1]Base!$A$11:$O$1318,15,FALSE)</f>
        <v>864.69074999999987</v>
      </c>
      <c r="E553" s="58">
        <f>+VLOOKUP(A553,[1]Base!$A$11:$R$1579,18,FALSE)</f>
        <v>1080.8634374999997</v>
      </c>
      <c r="F553">
        <f>+VLOOKUP(A553,[1]Base!$A$11:$O$1264,15,FALSE)</f>
        <v>864.69074999999987</v>
      </c>
      <c r="G553">
        <f t="shared" si="8"/>
        <v>1</v>
      </c>
    </row>
    <row r="554" spans="1:7" x14ac:dyDescent="0.25">
      <c r="A554" s="36">
        <v>241</v>
      </c>
      <c r="B554" s="35" t="s">
        <v>68</v>
      </c>
      <c r="C554" s="63">
        <v>1</v>
      </c>
      <c r="D554" s="58">
        <f>+VLOOKUP(A554,[1]Base!$A$11:$O$1318,15,FALSE)</f>
        <v>624.26950919117644</v>
      </c>
      <c r="E554" s="58">
        <f>+VLOOKUP(A554,[1]Base!$A$11:$R$1579,18,FALSE)</f>
        <v>780.33688648897055</v>
      </c>
      <c r="F554">
        <f>+VLOOKUP(A554,[1]Base!$A$11:$O$1264,15,FALSE)</f>
        <v>624.26950919117644</v>
      </c>
      <c r="G554">
        <f t="shared" si="8"/>
        <v>1</v>
      </c>
    </row>
    <row r="555" spans="1:7" x14ac:dyDescent="0.25">
      <c r="A555" s="40">
        <v>8582628</v>
      </c>
      <c r="B555" s="35" t="s">
        <v>34</v>
      </c>
      <c r="C555" s="63">
        <v>1</v>
      </c>
      <c r="D555" s="58">
        <f>+VLOOKUP(A555,[1]Base!$A$11:$O$1318,15,FALSE)</f>
        <v>11556.926564338235</v>
      </c>
      <c r="E555" s="58">
        <f>+VLOOKUP(A555,[1]Base!$A$11:$R$1579,18,FALSE)</f>
        <v>14446.158205422793</v>
      </c>
      <c r="F555">
        <f>+VLOOKUP(A555,[1]Base!$A$11:$O$1264,15,FALSE)</f>
        <v>11556.926564338235</v>
      </c>
      <c r="G555">
        <f t="shared" si="8"/>
        <v>1</v>
      </c>
    </row>
    <row r="556" spans="1:7" x14ac:dyDescent="0.25">
      <c r="A556" s="40">
        <v>8582627</v>
      </c>
      <c r="B556" s="35" t="s">
        <v>33</v>
      </c>
      <c r="C556" s="63">
        <v>1</v>
      </c>
      <c r="D556" s="58">
        <f>+VLOOKUP(A556,[1]Base!$A$11:$O$1318,15,FALSE)</f>
        <v>9220.5785758513939</v>
      </c>
      <c r="E556" s="58">
        <f>+VLOOKUP(A556,[1]Base!$A$11:$R$1579,18,FALSE)</f>
        <v>11525.723219814241</v>
      </c>
      <c r="F556">
        <f>+VLOOKUP(A556,[1]Base!$A$11:$O$1264,15,FALSE)</f>
        <v>9220.5785758513939</v>
      </c>
      <c r="G556">
        <f t="shared" si="8"/>
        <v>1</v>
      </c>
    </row>
    <row r="557" spans="1:7" x14ac:dyDescent="0.25">
      <c r="A557" s="38">
        <v>8518662</v>
      </c>
      <c r="B557" s="37" t="s">
        <v>1697</v>
      </c>
      <c r="C557" s="63"/>
      <c r="D557" s="58">
        <f>+VLOOKUP(A557,[1]Base!$A$11:$O$1318,15,FALSE)</f>
        <v>55.873511029411759</v>
      </c>
      <c r="E557" s="58">
        <f>+VLOOKUP(A557,[1]Base!$A$11:$R$1579,18,FALSE)</f>
        <v>69.841888786764699</v>
      </c>
      <c r="F557">
        <f>+VLOOKUP(A557,[1]Base!$A$11:$O$1264,15,FALSE)</f>
        <v>55.873511029411759</v>
      </c>
      <c r="G557">
        <f t="shared" si="8"/>
        <v>1</v>
      </c>
    </row>
    <row r="558" spans="1:7" x14ac:dyDescent="0.25">
      <c r="A558" s="36">
        <v>8500867</v>
      </c>
      <c r="B558" s="35" t="s">
        <v>259</v>
      </c>
      <c r="C558" s="63" t="s">
        <v>243</v>
      </c>
      <c r="D558" s="58">
        <f>+VLOOKUP(A558,[1]Base!$A$11:$O$1318,15,FALSE)</f>
        <v>121.93086397058822</v>
      </c>
      <c r="E558" s="58">
        <f>+VLOOKUP(A558,[1]Base!$A$11:$R$1579,18,FALSE)</f>
        <v>152.41357996323526</v>
      </c>
      <c r="F558">
        <f>+VLOOKUP(A558,[1]Base!$A$11:$O$1264,15,FALSE)</f>
        <v>121.93086397058822</v>
      </c>
      <c r="G558">
        <f t="shared" si="8"/>
        <v>1</v>
      </c>
    </row>
    <row r="559" spans="1:7" x14ac:dyDescent="0.25">
      <c r="A559" s="36">
        <v>4020738</v>
      </c>
      <c r="B559" s="35" t="s">
        <v>169</v>
      </c>
      <c r="C559" s="63">
        <v>1</v>
      </c>
      <c r="D559" s="58">
        <f>+VLOOKUP(A559,[1]Base!$A$11:$O$1318,15,FALSE)</f>
        <v>747.57633436532512</v>
      </c>
      <c r="E559" s="58">
        <f>+VLOOKUP(A559,[1]Base!$A$11:$R$1579,18,FALSE)</f>
        <v>830.64037151702792</v>
      </c>
      <c r="F559">
        <f>+VLOOKUP(A559,[1]Base!$A$11:$O$1264,15,FALSE)</f>
        <v>747.57633436532512</v>
      </c>
      <c r="G559">
        <f t="shared" si="8"/>
        <v>1</v>
      </c>
    </row>
    <row r="560" spans="1:7" x14ac:dyDescent="0.25">
      <c r="A560" s="43">
        <v>8516815</v>
      </c>
      <c r="B560" s="35" t="s">
        <v>1818</v>
      </c>
      <c r="C560" s="63">
        <v>1</v>
      </c>
      <c r="D560" s="58">
        <f>+VLOOKUP(A560,[1]Base!$A$11:$O$1318,15,FALSE)</f>
        <v>414.64895781733753</v>
      </c>
      <c r="E560" s="58">
        <f>+VLOOKUP(A560,[1]Base!$A$11:$R$1579,18,FALSE)</f>
        <v>518.31119727167186</v>
      </c>
      <c r="F560">
        <f>+VLOOKUP(A560,[1]Base!$A$11:$O$1264,15,FALSE)</f>
        <v>414.64895781733753</v>
      </c>
      <c r="G560">
        <f t="shared" si="8"/>
        <v>1</v>
      </c>
    </row>
    <row r="561" spans="1:7" x14ac:dyDescent="0.25">
      <c r="A561" s="36" t="s">
        <v>614</v>
      </c>
      <c r="B561" s="35" t="s">
        <v>615</v>
      </c>
      <c r="C561" s="63">
        <v>1</v>
      </c>
      <c r="D561" s="58">
        <f>+VLOOKUP(A561,[1]Base!$A$11:$O$1318,15,FALSE)</f>
        <v>135.10301470588237</v>
      </c>
      <c r="E561" s="58">
        <f>+VLOOKUP(A561,[1]Base!$A$11:$R$1579,18,FALSE)</f>
        <v>168.87876838235294</v>
      </c>
      <c r="F561">
        <f>+VLOOKUP(A561,[1]Base!$A$11:$O$1264,15,FALSE)</f>
        <v>135.10301470588237</v>
      </c>
      <c r="G561">
        <f t="shared" si="8"/>
        <v>1</v>
      </c>
    </row>
    <row r="562" spans="1:7" x14ac:dyDescent="0.25">
      <c r="A562" s="168" t="s">
        <v>614</v>
      </c>
      <c r="B562" s="260" t="s">
        <v>615</v>
      </c>
      <c r="C562" s="327">
        <v>1</v>
      </c>
      <c r="D562" s="58">
        <f>+VLOOKUP(A562,[1]Base!$A$11:$O$1318,15,FALSE)</f>
        <v>135.10301470588237</v>
      </c>
      <c r="E562" s="58">
        <f>+VLOOKUP(A562,[1]Base!$A$11:$R$1579,18,FALSE)</f>
        <v>168.87876838235294</v>
      </c>
      <c r="F562">
        <f>+VLOOKUP(A562,[1]Base!$A$11:$O$1264,15,FALSE)</f>
        <v>135.10301470588237</v>
      </c>
      <c r="G562">
        <f t="shared" si="8"/>
        <v>1</v>
      </c>
    </row>
    <row r="563" spans="1:7" x14ac:dyDescent="0.25">
      <c r="A563" s="392">
        <v>8582621</v>
      </c>
      <c r="B563" s="397" t="s">
        <v>2079</v>
      </c>
      <c r="C563" s="300">
        <v>1</v>
      </c>
      <c r="D563" s="58">
        <f>+VLOOKUP(A563,[1]Base!$A$11:$O$1318,15,FALSE)</f>
        <v>4907.1052302631579</v>
      </c>
      <c r="E563" s="58">
        <f>+VLOOKUP(A563,[1]Base!$A$11:$R$1579,18,FALSE)</f>
        <v>6133.8815378289473</v>
      </c>
      <c r="F563">
        <f>+VLOOKUP(A563,[1]Base!$A$11:$O$1264,15,FALSE)</f>
        <v>4907.1052302631579</v>
      </c>
      <c r="G563">
        <f t="shared" si="8"/>
        <v>1</v>
      </c>
    </row>
    <row r="564" spans="1:7" x14ac:dyDescent="0.25">
      <c r="A564" s="36">
        <v>4016547</v>
      </c>
      <c r="B564" s="35" t="s">
        <v>149</v>
      </c>
      <c r="C564" s="63">
        <v>1</v>
      </c>
      <c r="D564" s="58">
        <f>+VLOOKUP(A564,[1]Base!$A$11:$O$1318,15,FALSE)</f>
        <v>10081.344083044984</v>
      </c>
      <c r="E564" s="58">
        <f>+VLOOKUP(A564,[1]Base!$A$11:$R$1579,18,FALSE)</f>
        <v>11860.404803582334</v>
      </c>
      <c r="F564" t="e">
        <f>+VLOOKUP(A564,[1]Base!$A$11:$O$1264,15,FALSE)</f>
        <v>#N/A</v>
      </c>
      <c r="G564" t="e">
        <f t="shared" si="8"/>
        <v>#N/A</v>
      </c>
    </row>
    <row r="565" spans="1:7" x14ac:dyDescent="0.25">
      <c r="A565" s="38">
        <v>3558092</v>
      </c>
      <c r="B565" s="37" t="s">
        <v>1601</v>
      </c>
      <c r="C565" s="63">
        <v>1</v>
      </c>
      <c r="D565" s="58">
        <f>+VLOOKUP(A565,[1]Base!$A$11:$O$1318,15,FALSE)</f>
        <v>509.19209558823525</v>
      </c>
      <c r="E565" s="58">
        <f>+VLOOKUP(A565,[1]Base!$A$11:$R$1579,18,FALSE)</f>
        <v>636.49011948529403</v>
      </c>
      <c r="F565">
        <f>+VLOOKUP(A565,[1]Base!$A$11:$O$1264,15,FALSE)</f>
        <v>509.19209558823525</v>
      </c>
      <c r="G565">
        <f t="shared" si="8"/>
        <v>1</v>
      </c>
    </row>
    <row r="566" spans="1:7" x14ac:dyDescent="0.25">
      <c r="A566" s="157">
        <v>8582623</v>
      </c>
      <c r="B566" s="397" t="s">
        <v>2081</v>
      </c>
      <c r="C566" s="300">
        <v>1</v>
      </c>
      <c r="D566" s="58">
        <f>+VLOOKUP(A566,[1]Base!$A$11:$O$1318,15,FALSE)</f>
        <v>7181.1296052631578</v>
      </c>
      <c r="E566" s="58">
        <f>+VLOOKUP(A566,[1]Base!$A$11:$R$1579,18,FALSE)</f>
        <v>8976.4120065789466</v>
      </c>
      <c r="F566">
        <f>+VLOOKUP(A566,[1]Base!$A$11:$O$1264,15,FALSE)</f>
        <v>7181.1296052631578</v>
      </c>
      <c r="G566">
        <f t="shared" si="8"/>
        <v>1</v>
      </c>
    </row>
    <row r="567" spans="1:7" x14ac:dyDescent="0.25">
      <c r="A567" s="36">
        <v>8500478</v>
      </c>
      <c r="B567" s="35" t="s">
        <v>239</v>
      </c>
      <c r="C567" s="63">
        <v>1</v>
      </c>
      <c r="D567" s="58">
        <f>+VLOOKUP(A567,[1]Base!$A$11:$O$1318,15,FALSE)</f>
        <v>864.08522426470574</v>
      </c>
      <c r="E567" s="58">
        <f>+VLOOKUP(A567,[1]Base!$A$11:$R$1579,18,FALSE)</f>
        <v>1080.1065303308822</v>
      </c>
      <c r="F567">
        <f>+VLOOKUP(A567,[1]Base!$A$11:$O$1264,15,FALSE)</f>
        <v>864.08522426470574</v>
      </c>
      <c r="G567">
        <f t="shared" si="8"/>
        <v>1</v>
      </c>
    </row>
    <row r="568" spans="1:7" x14ac:dyDescent="0.25">
      <c r="A568" s="38">
        <v>8510472</v>
      </c>
      <c r="B568" s="37" t="s">
        <v>1669</v>
      </c>
      <c r="C568" s="63"/>
      <c r="D568" s="58">
        <f>+VLOOKUP(A568,[1]Base!$A$11:$O$1318,15,FALSE)</f>
        <v>111.05892463235294</v>
      </c>
      <c r="E568" s="58">
        <f>+VLOOKUP(A568,[1]Base!$A$11:$R$1579,18,FALSE)</f>
        <v>138.82365579044117</v>
      </c>
      <c r="F568">
        <f>+VLOOKUP(A568,[1]Base!$A$11:$O$1264,15,FALSE)</f>
        <v>111.05892463235294</v>
      </c>
      <c r="G568">
        <f t="shared" si="8"/>
        <v>1</v>
      </c>
    </row>
    <row r="569" spans="1:7" x14ac:dyDescent="0.25">
      <c r="A569" s="36">
        <v>8507139</v>
      </c>
      <c r="B569" s="35" t="s">
        <v>306</v>
      </c>
      <c r="C569" s="63">
        <v>1</v>
      </c>
      <c r="D569" s="58">
        <f>+VLOOKUP(A569,[1]Base!$A$11:$O$1318,15,FALSE)</f>
        <v>1429.1141743421053</v>
      </c>
      <c r="E569" s="58">
        <f>+VLOOKUP(A569,[1]Base!$A$11:$R$1579,18,FALSE)</f>
        <v>1786.3927179276316</v>
      </c>
      <c r="F569">
        <f>+VLOOKUP(A569,[1]Base!$A$11:$O$1264,15,FALSE)</f>
        <v>1429.1141743421053</v>
      </c>
      <c r="G569">
        <f t="shared" si="8"/>
        <v>1</v>
      </c>
    </row>
    <row r="570" spans="1:7" x14ac:dyDescent="0.25">
      <c r="A570" s="36">
        <v>4022872</v>
      </c>
      <c r="B570" s="35" t="s">
        <v>177</v>
      </c>
      <c r="C570" s="63">
        <v>1</v>
      </c>
      <c r="D570" s="58">
        <f>+VLOOKUP(A570,[1]Base!$A$11:$O$1318,15,FALSE)</f>
        <v>1973.1419442724459</v>
      </c>
      <c r="E570" s="58">
        <f>+VLOOKUP(A570,[1]Base!$A$11:$R$1579,18,FALSE)</f>
        <v>2192.3799380804953</v>
      </c>
      <c r="F570">
        <f>+VLOOKUP(A570,[1]Base!$A$11:$O$1264,15,FALSE)</f>
        <v>1973.1419442724459</v>
      </c>
      <c r="G570">
        <f t="shared" si="8"/>
        <v>1</v>
      </c>
    </row>
    <row r="571" spans="1:7" x14ac:dyDescent="0.25">
      <c r="A571" s="40">
        <v>8504117</v>
      </c>
      <c r="B571" s="35" t="s">
        <v>29</v>
      </c>
      <c r="C571" s="63">
        <v>1</v>
      </c>
      <c r="D571" s="58">
        <f>+VLOOKUP(A571,[1]Base!$A$11:$O$1318,15,FALSE)</f>
        <v>814.82614028637761</v>
      </c>
      <c r="E571" s="58">
        <f>+VLOOKUP(A571,[1]Base!$A$11:$R$1579,18,FALSE)</f>
        <v>1018.5326753579719</v>
      </c>
      <c r="F571">
        <f>+VLOOKUP(A571,[1]Base!$A$11:$O$1264,15,FALSE)</f>
        <v>814.82614028637761</v>
      </c>
      <c r="G571">
        <f t="shared" si="8"/>
        <v>1</v>
      </c>
    </row>
    <row r="572" spans="1:7" x14ac:dyDescent="0.25">
      <c r="A572" s="36">
        <v>14975360</v>
      </c>
      <c r="B572" s="37" t="s">
        <v>42</v>
      </c>
      <c r="C572" s="63">
        <v>1</v>
      </c>
      <c r="D572" s="58">
        <f>+VLOOKUP(A572,[1]Base!$A$11:$O$1318,15,FALSE)</f>
        <v>3330.8551044891642</v>
      </c>
      <c r="E572" s="58">
        <f>+VLOOKUP(A572,[1]Base!$A$11:$R$1579,18,FALSE)</f>
        <v>4163.5688806114549</v>
      </c>
      <c r="F572">
        <f>+VLOOKUP(A572,[1]Base!$A$11:$O$1264,15,FALSE)</f>
        <v>3330.8551044891642</v>
      </c>
      <c r="G572">
        <f t="shared" si="8"/>
        <v>1</v>
      </c>
    </row>
    <row r="573" spans="1:7" x14ac:dyDescent="0.25">
      <c r="A573" s="40">
        <v>8582626</v>
      </c>
      <c r="B573" s="35" t="s">
        <v>458</v>
      </c>
      <c r="C573" s="63">
        <v>1</v>
      </c>
      <c r="D573" s="58">
        <f>+VLOOKUP(A573,[1]Base!$A$11:$O$1318,15,FALSE)</f>
        <v>8374.8613014705879</v>
      </c>
      <c r="E573" s="58">
        <f>+VLOOKUP(A573,[1]Base!$A$11:$R$1579,18,FALSE)</f>
        <v>10468.576626838234</v>
      </c>
      <c r="F573">
        <f>+VLOOKUP(A573,[1]Base!$A$11:$O$1264,15,FALSE)</f>
        <v>8374.8613014705879</v>
      </c>
      <c r="G573">
        <f t="shared" si="8"/>
        <v>1</v>
      </c>
    </row>
    <row r="574" spans="1:7" x14ac:dyDescent="0.25">
      <c r="A574" s="36" t="s">
        <v>975</v>
      </c>
      <c r="B574" s="37" t="s">
        <v>976</v>
      </c>
      <c r="C574" s="63">
        <v>100</v>
      </c>
      <c r="D574" s="58">
        <f>+VLOOKUP(A574,[1]Base!$A$11:$O$1318,15,FALSE)</f>
        <v>7407.1207430340564</v>
      </c>
      <c r="E574" s="58">
        <f>+VLOOKUP(A574,[1]Base!$A$11:$R$1579,18,FALSE)</f>
        <v>9258.9009287925692</v>
      </c>
      <c r="F574">
        <f>+VLOOKUP(A574,[1]Base!$A$11:$O$1264,15,FALSE)</f>
        <v>7407.1207430340564</v>
      </c>
      <c r="G574">
        <f t="shared" si="8"/>
        <v>1</v>
      </c>
    </row>
    <row r="575" spans="1:7" x14ac:dyDescent="0.25">
      <c r="A575" s="38">
        <v>2510</v>
      </c>
      <c r="B575" s="37" t="s">
        <v>1579</v>
      </c>
      <c r="C575" s="63"/>
      <c r="D575" s="58">
        <f>+VLOOKUP(A575,[1]Base!$A$11:$O$1318,15,FALSE)</f>
        <v>192.77737500000001</v>
      </c>
      <c r="E575" s="58">
        <f>+VLOOKUP(A575,[1]Base!$A$11:$R$1579,18,FALSE)</f>
        <v>240.97171875000001</v>
      </c>
      <c r="F575">
        <f>+VLOOKUP(A575,[1]Base!$A$11:$O$1264,15,FALSE)</f>
        <v>192.77737500000001</v>
      </c>
      <c r="G575">
        <f t="shared" si="8"/>
        <v>1</v>
      </c>
    </row>
    <row r="576" spans="1:7" x14ac:dyDescent="0.25">
      <c r="A576" s="36">
        <v>3556776</v>
      </c>
      <c r="B576" s="41" t="s">
        <v>115</v>
      </c>
      <c r="C576" s="63">
        <v>1</v>
      </c>
      <c r="D576" s="58">
        <f>+VLOOKUP(A576,[1]Base!$A$11:$O$1318,15,FALSE)</f>
        <v>971.89632904411746</v>
      </c>
      <c r="E576" s="58">
        <f>+VLOOKUP(A576,[1]Base!$A$11:$R$1579,18,FALSE)</f>
        <v>1214.8704113051467</v>
      </c>
      <c r="F576">
        <f>+VLOOKUP(A576,[1]Base!$A$11:$O$1264,15,FALSE)</f>
        <v>971.89632904411746</v>
      </c>
      <c r="G576">
        <f t="shared" si="8"/>
        <v>1</v>
      </c>
    </row>
    <row r="577" spans="1:7" x14ac:dyDescent="0.25">
      <c r="A577" s="36" t="s">
        <v>497</v>
      </c>
      <c r="B577" s="35" t="s">
        <v>498</v>
      </c>
      <c r="C577" s="63">
        <v>10</v>
      </c>
      <c r="D577" s="58">
        <f>+VLOOKUP(A577,[1]Base!$A$11:$O$1318,15,FALSE)</f>
        <v>43.961907378771379</v>
      </c>
      <c r="E577" s="58">
        <f>+VLOOKUP(A577,[1]Base!$A$11:$R$1579,18,FALSE)</f>
        <v>54.952384223464222</v>
      </c>
      <c r="F577">
        <f>+VLOOKUP(A577,[1]Base!$A$11:$O$1264,15,FALSE)</f>
        <v>43.961907378771379</v>
      </c>
      <c r="G577">
        <f t="shared" si="8"/>
        <v>1</v>
      </c>
    </row>
    <row r="578" spans="1:7" x14ac:dyDescent="0.25">
      <c r="A578" s="388">
        <v>7405</v>
      </c>
      <c r="B578" s="35" t="s">
        <v>69</v>
      </c>
      <c r="C578" s="63">
        <v>2</v>
      </c>
      <c r="D578" s="58">
        <f>+VLOOKUP(A578,[1]Base!$A$11:$O$1318,15,FALSE)</f>
        <v>324.78198529411765</v>
      </c>
      <c r="E578" s="58">
        <f>+VLOOKUP(A578,[1]Base!$A$11:$R$1579,18,FALSE)</f>
        <v>405.97748161764702</v>
      </c>
      <c r="F578">
        <f>+VLOOKUP(A578,[1]Base!$A$11:$O$1264,15,FALSE)</f>
        <v>324.78198529411765</v>
      </c>
      <c r="G578">
        <f t="shared" si="8"/>
        <v>1</v>
      </c>
    </row>
    <row r="579" spans="1:7" x14ac:dyDescent="0.25">
      <c r="A579" s="36">
        <v>14033</v>
      </c>
      <c r="B579" s="35" t="s">
        <v>72</v>
      </c>
      <c r="C579" s="63">
        <v>1</v>
      </c>
      <c r="D579" s="58">
        <f>+VLOOKUP(A579,[1]Base!$A$11:$O$1318,15,FALSE)</f>
        <v>2983.5904411764704</v>
      </c>
      <c r="E579" s="58">
        <f>+VLOOKUP(A579,[1]Base!$A$11:$R$1579,18,FALSE)</f>
        <v>3729.4880514705878</v>
      </c>
      <c r="F579">
        <f>+VLOOKUP(A579,[1]Base!$A$11:$O$1264,15,FALSE)</f>
        <v>2983.5904411764704</v>
      </c>
      <c r="G579">
        <f t="shared" si="8"/>
        <v>1</v>
      </c>
    </row>
    <row r="580" spans="1:7" x14ac:dyDescent="0.25">
      <c r="A580" s="39">
        <v>14121</v>
      </c>
      <c r="B580" s="35" t="s">
        <v>73</v>
      </c>
      <c r="C580" s="63">
        <v>1</v>
      </c>
      <c r="D580" s="58">
        <f>+VLOOKUP(A580,[1]Base!$A$11:$O$1318,15,FALSE)</f>
        <v>49.280505537683815</v>
      </c>
      <c r="E580" s="58">
        <f>+VLOOKUP(A580,[1]Base!$A$11:$R$1579,18,FALSE)</f>
        <v>61.600631922104768</v>
      </c>
      <c r="F580">
        <f>+VLOOKUP(A580,[1]Base!$A$11:$O$1264,15,FALSE)</f>
        <v>49.280505537683815</v>
      </c>
      <c r="G580">
        <f t="shared" ref="G580:G643" si="9">+F580/D580</f>
        <v>1</v>
      </c>
    </row>
    <row r="581" spans="1:7" x14ac:dyDescent="0.25">
      <c r="A581" s="38">
        <v>14122</v>
      </c>
      <c r="B581" s="37" t="s">
        <v>1580</v>
      </c>
      <c r="C581" s="63"/>
      <c r="D581" s="58">
        <f>+VLOOKUP(A581,[1]Base!$A$11:$O$1318,15,FALSE)</f>
        <v>92.949576562499985</v>
      </c>
      <c r="E581" s="58">
        <f>+VLOOKUP(A581,[1]Base!$A$11:$R$1579,18,FALSE)</f>
        <v>116.18697070312497</v>
      </c>
      <c r="F581">
        <f>+VLOOKUP(A581,[1]Base!$A$11:$O$1264,15,FALSE)</f>
        <v>92.949576562499985</v>
      </c>
      <c r="G581">
        <f t="shared" si="9"/>
        <v>1</v>
      </c>
    </row>
    <row r="582" spans="1:7" x14ac:dyDescent="0.25">
      <c r="A582" s="38">
        <v>14266</v>
      </c>
      <c r="B582" s="37" t="s">
        <v>1582</v>
      </c>
      <c r="C582" s="63"/>
      <c r="D582" s="58">
        <f>+VLOOKUP(A582,[1]Base!$A$11:$O$1318,15,FALSE)</f>
        <v>116.6462757352941</v>
      </c>
      <c r="E582" s="58">
        <f>+VLOOKUP(A582,[1]Base!$A$11:$R$1579,18,FALSE)</f>
        <v>145.8078446691176</v>
      </c>
      <c r="F582">
        <f>+VLOOKUP(A582,[1]Base!$A$11:$O$1264,15,FALSE)</f>
        <v>116.6462757352941</v>
      </c>
      <c r="G582">
        <f t="shared" si="9"/>
        <v>1</v>
      </c>
    </row>
    <row r="583" spans="1:7" x14ac:dyDescent="0.25">
      <c r="A583" s="36">
        <v>24025</v>
      </c>
      <c r="B583" s="35" t="s">
        <v>74</v>
      </c>
      <c r="C583" s="63">
        <v>1</v>
      </c>
      <c r="D583" s="58">
        <f>+VLOOKUP(A583,[1]Base!$A$11:$O$1318,15,FALSE)</f>
        <v>1998.2349264705888</v>
      </c>
      <c r="E583" s="58">
        <f>+VLOOKUP(A583,[1]Base!$A$11:$R$1579,18,FALSE)</f>
        <v>2497.793658088236</v>
      </c>
      <c r="F583">
        <f>+VLOOKUP(A583,[1]Base!$A$11:$O$1264,15,FALSE)</f>
        <v>1998.2349264705888</v>
      </c>
      <c r="G583">
        <f t="shared" si="9"/>
        <v>1</v>
      </c>
    </row>
    <row r="584" spans="1:7" x14ac:dyDescent="0.25">
      <c r="A584" s="36">
        <v>24030</v>
      </c>
      <c r="B584" s="35" t="s">
        <v>75</v>
      </c>
      <c r="C584" s="63">
        <v>1</v>
      </c>
      <c r="D584" s="58">
        <f>+VLOOKUP(A584,[1]Base!$A$11:$O$1318,15,FALSE)</f>
        <v>787.18345588235286</v>
      </c>
      <c r="E584" s="58">
        <f>+VLOOKUP(A584,[1]Base!$A$11:$R$1579,18,FALSE)</f>
        <v>983.97931985294099</v>
      </c>
      <c r="F584">
        <f>+VLOOKUP(A584,[1]Base!$A$11:$O$1264,15,FALSE)</f>
        <v>787.18345588235286</v>
      </c>
      <c r="G584">
        <f t="shared" si="9"/>
        <v>1</v>
      </c>
    </row>
    <row r="585" spans="1:7" x14ac:dyDescent="0.25">
      <c r="A585" s="36">
        <v>43115</v>
      </c>
      <c r="B585" s="37" t="s">
        <v>76</v>
      </c>
      <c r="C585" s="63">
        <v>1</v>
      </c>
      <c r="D585" s="58">
        <f>+VLOOKUP(A585,[1]Base!$A$11:$O$1318,15,FALSE)</f>
        <v>77.066911764705878</v>
      </c>
      <c r="E585" s="58">
        <f>+VLOOKUP(A585,[1]Base!$A$11:$R$1579,18,FALSE)</f>
        <v>96.333639705882348</v>
      </c>
      <c r="F585">
        <f>+VLOOKUP(A585,[1]Base!$A$11:$O$1264,15,FALSE)</f>
        <v>77.066911764705878</v>
      </c>
      <c r="G585">
        <f t="shared" si="9"/>
        <v>1</v>
      </c>
    </row>
    <row r="586" spans="1:7" x14ac:dyDescent="0.25">
      <c r="A586" s="36">
        <v>91043</v>
      </c>
      <c r="B586" s="35" t="s">
        <v>77</v>
      </c>
      <c r="C586" s="63">
        <v>1</v>
      </c>
      <c r="D586" s="58">
        <f>+VLOOKUP(A586,[1]Base!$A$11:$O$1318,15,FALSE)</f>
        <v>293.01458823529407</v>
      </c>
      <c r="E586" s="58">
        <f>+VLOOKUP(A586,[1]Base!$A$11:$R$1579,18,FALSE)</f>
        <v>325.57176470588229</v>
      </c>
      <c r="F586">
        <f>+VLOOKUP(A586,[1]Base!$A$11:$O$1264,15,FALSE)</f>
        <v>293.01458823529407</v>
      </c>
      <c r="G586">
        <f t="shared" si="9"/>
        <v>1</v>
      </c>
    </row>
    <row r="587" spans="1:7" x14ac:dyDescent="0.25">
      <c r="A587" s="38">
        <v>140010</v>
      </c>
      <c r="B587" s="37" t="s">
        <v>1585</v>
      </c>
      <c r="C587" s="63"/>
      <c r="D587" s="58">
        <f>+VLOOKUP(A587,[1]Base!$A$11:$O$1318,15,FALSE)</f>
        <v>1327.8353658088236</v>
      </c>
      <c r="E587" s="58">
        <f>+VLOOKUP(A587,[1]Base!$A$11:$R$1579,18,FALSE)</f>
        <v>1659.7942072610294</v>
      </c>
      <c r="F587">
        <f>+VLOOKUP(A587,[1]Base!$A$11:$O$1264,15,FALSE)</f>
        <v>1327.8353658088236</v>
      </c>
      <c r="G587">
        <f t="shared" si="9"/>
        <v>1</v>
      </c>
    </row>
    <row r="588" spans="1:7" x14ac:dyDescent="0.25">
      <c r="A588" s="36">
        <v>240280</v>
      </c>
      <c r="B588" s="35" t="s">
        <v>78</v>
      </c>
      <c r="C588" s="63">
        <v>1</v>
      </c>
      <c r="D588" s="58">
        <f>+VLOOKUP(A588,[1]Base!$A$11:$O$1318,15,FALSE)</f>
        <v>787.18345588235286</v>
      </c>
      <c r="E588" s="58">
        <f>+VLOOKUP(A588,[1]Base!$A$11:$R$1579,18,FALSE)</f>
        <v>983.97931985294099</v>
      </c>
      <c r="F588">
        <f>+VLOOKUP(A588,[1]Base!$A$11:$O$1264,15,FALSE)</f>
        <v>787.18345588235286</v>
      </c>
      <c r="G588">
        <f t="shared" si="9"/>
        <v>1</v>
      </c>
    </row>
    <row r="589" spans="1:7" x14ac:dyDescent="0.25">
      <c r="A589" s="36">
        <v>240288</v>
      </c>
      <c r="B589" s="35" t="s">
        <v>79</v>
      </c>
      <c r="C589" s="63">
        <v>1</v>
      </c>
      <c r="D589" s="58">
        <f>+VLOOKUP(A589,[1]Base!$A$11:$O$1318,15,FALSE)</f>
        <v>3421.2204044117639</v>
      </c>
      <c r="E589" s="58">
        <f>+VLOOKUP(A589,[1]Base!$A$11:$R$1579,18,FALSE)</f>
        <v>4276.5255055147045</v>
      </c>
      <c r="F589">
        <f>+VLOOKUP(A589,[1]Base!$A$11:$O$1264,15,FALSE)</f>
        <v>3421.2204044117639</v>
      </c>
      <c r="G589">
        <f t="shared" si="9"/>
        <v>1</v>
      </c>
    </row>
    <row r="590" spans="1:7" x14ac:dyDescent="0.25">
      <c r="A590" s="38">
        <v>329840</v>
      </c>
      <c r="B590" s="37" t="s">
        <v>1589</v>
      </c>
      <c r="C590" s="63"/>
      <c r="D590" s="58">
        <f>+VLOOKUP(A590,[1]Base!$A$11:$O$1318,15,FALSE)</f>
        <v>49.864012155330876</v>
      </c>
      <c r="E590" s="58">
        <f>+VLOOKUP(A590,[1]Base!$A$11:$R$1579,18,FALSE)</f>
        <v>62.330015194163593</v>
      </c>
      <c r="F590">
        <f>+VLOOKUP(A590,[1]Base!$A$11:$O$1264,15,FALSE)</f>
        <v>49.864012155330876</v>
      </c>
      <c r="G590">
        <f t="shared" si="9"/>
        <v>1</v>
      </c>
    </row>
    <row r="591" spans="1:7" x14ac:dyDescent="0.25">
      <c r="A591" s="38">
        <v>761001</v>
      </c>
      <c r="B591" s="37" t="s">
        <v>81</v>
      </c>
      <c r="C591" s="63"/>
      <c r="D591" s="58">
        <f>+VLOOKUP(A591,[1]Base!$A$11:$O$1318,15,FALSE)</f>
        <v>165.14338235294116</v>
      </c>
      <c r="E591" s="58">
        <f>+VLOOKUP(A591,[1]Base!$A$11:$R$1579,18,FALSE)</f>
        <v>206.42922794117644</v>
      </c>
      <c r="F591">
        <f>+VLOOKUP(A591,[1]Base!$A$11:$O$1264,15,FALSE)</f>
        <v>165.14338235294116</v>
      </c>
      <c r="G591">
        <f t="shared" si="9"/>
        <v>1</v>
      </c>
    </row>
    <row r="592" spans="1:7" x14ac:dyDescent="0.25">
      <c r="A592" s="36">
        <v>1996546</v>
      </c>
      <c r="B592" s="35" t="s">
        <v>84</v>
      </c>
      <c r="C592" s="63">
        <v>1</v>
      </c>
      <c r="D592" s="58">
        <f>+VLOOKUP(A592,[1]Base!$A$11:$O$1318,15,FALSE)</f>
        <v>0.16514338235294115</v>
      </c>
      <c r="E592" s="58">
        <f>+VLOOKUP(A592,[1]Base!$A$11:$R$1579,18,FALSE)</f>
        <v>0.20642922794117644</v>
      </c>
      <c r="F592">
        <f>+VLOOKUP(A592,[1]Base!$A$11:$O$1264,15,FALSE)</f>
        <v>0.16514338235294115</v>
      </c>
      <c r="G592">
        <f t="shared" si="9"/>
        <v>1</v>
      </c>
    </row>
    <row r="593" spans="1:7" x14ac:dyDescent="0.25">
      <c r="A593" s="36">
        <v>1996551</v>
      </c>
      <c r="B593" s="35" t="s">
        <v>86</v>
      </c>
      <c r="C593" s="63">
        <v>1</v>
      </c>
      <c r="D593" s="58">
        <f>+VLOOKUP(A593,[1]Base!$A$11:$O$1318,15,FALSE)</f>
        <v>0.16514338235294115</v>
      </c>
      <c r="E593" s="58">
        <f>+VLOOKUP(A593,[1]Base!$A$11:$R$1579,18,FALSE)</f>
        <v>0.20642922794117644</v>
      </c>
      <c r="F593">
        <f>+VLOOKUP(A593,[1]Base!$A$11:$O$1264,15,FALSE)</f>
        <v>0.16514338235294115</v>
      </c>
      <c r="G593">
        <f t="shared" si="9"/>
        <v>1</v>
      </c>
    </row>
    <row r="594" spans="1:7" x14ac:dyDescent="0.25">
      <c r="A594" s="36">
        <v>1997019</v>
      </c>
      <c r="B594" s="35" t="s">
        <v>87</v>
      </c>
      <c r="C594" s="63">
        <v>1</v>
      </c>
      <c r="D594" s="58">
        <f>+VLOOKUP(A594,[1]Base!$A$11:$O$1318,15,FALSE)</f>
        <v>0.60552573529411757</v>
      </c>
      <c r="E594" s="58">
        <f>+VLOOKUP(A594,[1]Base!$A$11:$R$1579,18,FALSE)</f>
        <v>0.75690716911764688</v>
      </c>
      <c r="F594">
        <f>+VLOOKUP(A594,[1]Base!$A$11:$O$1264,15,FALSE)</f>
        <v>0.60552573529411757</v>
      </c>
      <c r="G594">
        <f t="shared" si="9"/>
        <v>1</v>
      </c>
    </row>
    <row r="595" spans="1:7" x14ac:dyDescent="0.25">
      <c r="A595" s="36">
        <v>1997020</v>
      </c>
      <c r="B595" s="35" t="s">
        <v>88</v>
      </c>
      <c r="C595" s="63">
        <v>1</v>
      </c>
      <c r="D595" s="58">
        <f>+VLOOKUP(A595,[1]Base!$A$11:$O$1318,15,FALSE)</f>
        <v>5.5047794117647049E-2</v>
      </c>
      <c r="E595" s="58">
        <f>+VLOOKUP(A595,[1]Base!$A$11:$R$1579,18,FALSE)</f>
        <v>6.8809742647058803E-2</v>
      </c>
      <c r="F595">
        <f>+VLOOKUP(A595,[1]Base!$A$11:$O$1264,15,FALSE)</f>
        <v>5.5047794117647049E-2</v>
      </c>
      <c r="G595">
        <f t="shared" si="9"/>
        <v>1</v>
      </c>
    </row>
    <row r="596" spans="1:7" x14ac:dyDescent="0.25">
      <c r="A596" s="40">
        <v>3554530</v>
      </c>
      <c r="B596" s="41" t="s">
        <v>101</v>
      </c>
      <c r="C596" s="63">
        <v>1</v>
      </c>
      <c r="D596" s="58">
        <f>+VLOOKUP(A596,[1]Base!$A$11:$O$1318,15,FALSE)</f>
        <v>143.5371231617647</v>
      </c>
      <c r="E596" s="58">
        <f>+VLOOKUP(A596,[1]Base!$A$11:$R$1579,18,FALSE)</f>
        <v>179.42140395220585</v>
      </c>
      <c r="F596">
        <f>+VLOOKUP(A596,[1]Base!$A$11:$O$1264,15,FALSE)</f>
        <v>143.5371231617647</v>
      </c>
      <c r="G596">
        <f t="shared" si="9"/>
        <v>1</v>
      </c>
    </row>
    <row r="597" spans="1:7" x14ac:dyDescent="0.25">
      <c r="A597" s="36">
        <v>3556780</v>
      </c>
      <c r="B597" s="41" t="s">
        <v>116</v>
      </c>
      <c r="C597" s="63">
        <v>1</v>
      </c>
      <c r="D597" s="58">
        <f>+VLOOKUP(A597,[1]Base!$A$11:$O$1318,15,FALSE)</f>
        <v>162.55613602941176</v>
      </c>
      <c r="E597" s="58">
        <f>+VLOOKUP(A597,[1]Base!$A$11:$R$1579,18,FALSE)</f>
        <v>203.19517003676469</v>
      </c>
      <c r="F597">
        <f>+VLOOKUP(A597,[1]Base!$A$11:$O$1264,15,FALSE)</f>
        <v>162.55613602941176</v>
      </c>
      <c r="G597">
        <f t="shared" si="9"/>
        <v>1</v>
      </c>
    </row>
    <row r="598" spans="1:7" x14ac:dyDescent="0.25">
      <c r="A598" s="36">
        <v>3556784</v>
      </c>
      <c r="B598" s="35" t="s">
        <v>117</v>
      </c>
      <c r="C598" s="63">
        <v>1</v>
      </c>
      <c r="D598" s="58">
        <f>+VLOOKUP(A598,[1]Base!$A$11:$O$1318,15,FALSE)</f>
        <v>2045.2509721874999</v>
      </c>
      <c r="E598" s="58">
        <f>+VLOOKUP(A598,[1]Base!$A$11:$R$1579,18,FALSE)</f>
        <v>2556.5637152343747</v>
      </c>
      <c r="F598">
        <f>+VLOOKUP(A598,[1]Base!$A$11:$O$1264,15,FALSE)</f>
        <v>2045.2509721874999</v>
      </c>
      <c r="G598">
        <f t="shared" si="9"/>
        <v>1</v>
      </c>
    </row>
    <row r="599" spans="1:7" x14ac:dyDescent="0.25">
      <c r="A599" s="36">
        <v>3557096</v>
      </c>
      <c r="B599" s="35" t="s">
        <v>119</v>
      </c>
      <c r="C599" s="63">
        <v>1</v>
      </c>
      <c r="D599" s="58">
        <f>+VLOOKUP(A599,[1]Base!$A$11:$O$1318,15,FALSE)</f>
        <v>26.310093198529412</v>
      </c>
      <c r="E599" s="58">
        <f>+VLOOKUP(A599,[1]Base!$A$11:$R$1579,18,FALSE)</f>
        <v>32.887616498161762</v>
      </c>
      <c r="F599">
        <f>+VLOOKUP(A599,[1]Base!$A$11:$O$1264,15,FALSE)</f>
        <v>26.310093198529412</v>
      </c>
      <c r="G599">
        <f t="shared" si="9"/>
        <v>1</v>
      </c>
    </row>
    <row r="600" spans="1:7" x14ac:dyDescent="0.25">
      <c r="A600" s="36">
        <v>3557558</v>
      </c>
      <c r="B600" s="35" t="s">
        <v>128</v>
      </c>
      <c r="C600" s="63">
        <v>1</v>
      </c>
      <c r="D600" s="58">
        <f>+VLOOKUP(A600,[1]Base!$A$11:$O$1318,15,FALSE)</f>
        <v>3517.1687095588231</v>
      </c>
      <c r="E600" s="58">
        <f>+VLOOKUP(A600,[1]Base!$A$11:$R$1579,18,FALSE)</f>
        <v>4396.4608869485282</v>
      </c>
      <c r="F600" t="e">
        <f>+VLOOKUP(A600,[1]Base!$A$11:$O$1264,15,FALSE)</f>
        <v>#N/A</v>
      </c>
      <c r="G600" t="e">
        <f t="shared" si="9"/>
        <v>#N/A</v>
      </c>
    </row>
    <row r="601" spans="1:7" x14ac:dyDescent="0.25">
      <c r="A601" s="36">
        <v>3557559</v>
      </c>
      <c r="B601" s="35" t="s">
        <v>129</v>
      </c>
      <c r="C601" s="63">
        <v>1</v>
      </c>
      <c r="D601" s="58">
        <f>+VLOOKUP(A601,[1]Base!$A$11:$O$1318,15,FALSE)</f>
        <v>3896.9984889705879</v>
      </c>
      <c r="E601" s="58">
        <f>+VLOOKUP(A601,[1]Base!$A$11:$R$1579,18,FALSE)</f>
        <v>4871.2481112132346</v>
      </c>
      <c r="F601">
        <f>+VLOOKUP(A601,[1]Base!$A$11:$O$1264,15,FALSE)</f>
        <v>3896.9984889705879</v>
      </c>
      <c r="G601">
        <f t="shared" si="9"/>
        <v>1</v>
      </c>
    </row>
    <row r="602" spans="1:7" x14ac:dyDescent="0.25">
      <c r="A602" s="38">
        <v>3558245</v>
      </c>
      <c r="B602" s="37" t="s">
        <v>1602</v>
      </c>
      <c r="C602" s="63">
        <v>1</v>
      </c>
      <c r="D602" s="58">
        <f>+VLOOKUP(A602,[1]Base!$A$11:$O$1318,15,FALSE)</f>
        <v>756.4392628676469</v>
      </c>
      <c r="E602" s="58">
        <f>+VLOOKUP(A602,[1]Base!$A$11:$R$1579,18,FALSE)</f>
        <v>945.54907858455863</v>
      </c>
      <c r="F602">
        <f>+VLOOKUP(A602,[1]Base!$A$11:$O$1264,15,FALSE)</f>
        <v>756.4392628676469</v>
      </c>
      <c r="G602">
        <f t="shared" si="9"/>
        <v>1</v>
      </c>
    </row>
    <row r="603" spans="1:7" x14ac:dyDescent="0.25">
      <c r="A603" s="38">
        <v>3558254</v>
      </c>
      <c r="B603" s="37" t="s">
        <v>1603</v>
      </c>
      <c r="C603" s="63">
        <v>1</v>
      </c>
      <c r="D603" s="58">
        <f>+VLOOKUP(A603,[1]Base!$A$11:$O$1318,15,FALSE)</f>
        <v>44.038235294117634</v>
      </c>
      <c r="E603" s="58">
        <f>+VLOOKUP(A603,[1]Base!$A$11:$R$1579,18,FALSE)</f>
        <v>55.047794117647037</v>
      </c>
      <c r="F603">
        <f>+VLOOKUP(A603,[1]Base!$A$11:$O$1264,15,FALSE)</f>
        <v>44.038235294117634</v>
      </c>
      <c r="G603">
        <f t="shared" si="9"/>
        <v>1</v>
      </c>
    </row>
    <row r="604" spans="1:7" x14ac:dyDescent="0.25">
      <c r="A604" s="36">
        <v>3558256</v>
      </c>
      <c r="B604" s="35" t="s">
        <v>137</v>
      </c>
      <c r="C604" s="63">
        <v>1</v>
      </c>
      <c r="D604" s="58">
        <f>+VLOOKUP(A604,[1]Base!$A$11:$O$1318,15,FALSE)</f>
        <v>1320.3692552220396</v>
      </c>
      <c r="E604" s="58">
        <f>+VLOOKUP(A604,[1]Base!$A$11:$R$1579,18,FALSE)</f>
        <v>1650.4615690275493</v>
      </c>
      <c r="F604">
        <f>+VLOOKUP(A604,[1]Base!$A$11:$O$1264,15,FALSE)</f>
        <v>1320.3692552220396</v>
      </c>
      <c r="G604">
        <f t="shared" si="9"/>
        <v>1</v>
      </c>
    </row>
    <row r="605" spans="1:7" x14ac:dyDescent="0.25">
      <c r="A605" s="36">
        <v>3558258</v>
      </c>
      <c r="B605" s="41" t="s">
        <v>138</v>
      </c>
      <c r="C605" s="63">
        <v>1</v>
      </c>
      <c r="D605" s="58">
        <f>+VLOOKUP(A605,[1]Base!$A$11:$O$1318,15,FALSE)</f>
        <v>3100.7321470588226</v>
      </c>
      <c r="E605" s="58">
        <f>+VLOOKUP(A605,[1]Base!$A$11:$R$1579,18,FALSE)</f>
        <v>3875.915183823528</v>
      </c>
      <c r="F605">
        <f>+VLOOKUP(A605,[1]Base!$A$11:$O$1264,15,FALSE)</f>
        <v>3100.7321470588226</v>
      </c>
      <c r="G605">
        <f t="shared" si="9"/>
        <v>1</v>
      </c>
    </row>
    <row r="606" spans="1:7" x14ac:dyDescent="0.25">
      <c r="A606" s="36">
        <v>3558281</v>
      </c>
      <c r="B606" s="35" t="s">
        <v>139</v>
      </c>
      <c r="C606" s="63">
        <v>1</v>
      </c>
      <c r="D606" s="58">
        <f>+VLOOKUP(A606,[1]Base!$A$11:$O$1318,15,FALSE)</f>
        <v>4341.371806985293</v>
      </c>
      <c r="E606" s="58">
        <f>+VLOOKUP(A606,[1]Base!$A$11:$R$1579,18,FALSE)</f>
        <v>5426.7147587316158</v>
      </c>
      <c r="F606">
        <f>+VLOOKUP(A606,[1]Base!$A$11:$O$1264,15,FALSE)</f>
        <v>4341.371806985293</v>
      </c>
      <c r="G606">
        <f t="shared" si="9"/>
        <v>1</v>
      </c>
    </row>
    <row r="607" spans="1:7" x14ac:dyDescent="0.25">
      <c r="A607" s="36">
        <v>3558321</v>
      </c>
      <c r="B607" s="35" t="s">
        <v>140</v>
      </c>
      <c r="C607" s="63">
        <v>1</v>
      </c>
      <c r="D607" s="58">
        <f>+VLOOKUP(A607,[1]Base!$A$11:$O$1318,15,FALSE)</f>
        <v>623.69150735294102</v>
      </c>
      <c r="E607" s="58">
        <f>+VLOOKUP(A607,[1]Base!$A$11:$R$1579,18,FALSE)</f>
        <v>779.61438419117621</v>
      </c>
      <c r="F607">
        <f>+VLOOKUP(A607,[1]Base!$A$11:$O$1264,15,FALSE)</f>
        <v>623.69150735294102</v>
      </c>
      <c r="G607">
        <f t="shared" si="9"/>
        <v>1</v>
      </c>
    </row>
    <row r="608" spans="1:7" x14ac:dyDescent="0.25">
      <c r="A608" s="38">
        <v>3558334</v>
      </c>
      <c r="B608" s="37" t="s">
        <v>1604</v>
      </c>
      <c r="C608" s="63">
        <v>1</v>
      </c>
      <c r="D608" s="58">
        <f>+VLOOKUP(A608,[1]Base!$A$11:$O$1318,15,FALSE)</f>
        <v>77.507294117647049</v>
      </c>
      <c r="E608" s="58">
        <f>+VLOOKUP(A608,[1]Base!$A$11:$R$1579,18,FALSE)</f>
        <v>96.884117647058801</v>
      </c>
      <c r="F608">
        <f>+VLOOKUP(A608,[1]Base!$A$11:$O$1264,15,FALSE)</f>
        <v>77.507294117647049</v>
      </c>
      <c r="G608">
        <f t="shared" si="9"/>
        <v>1</v>
      </c>
    </row>
    <row r="609" spans="1:7" x14ac:dyDescent="0.25">
      <c r="A609" s="36">
        <v>3558444</v>
      </c>
      <c r="B609" s="35" t="s">
        <v>142</v>
      </c>
      <c r="C609" s="63">
        <v>1</v>
      </c>
      <c r="D609" s="58">
        <f>+VLOOKUP(A609,[1]Base!$A$11:$O$1318,15,FALSE)</f>
        <v>3168.3033143382349</v>
      </c>
      <c r="E609" s="58">
        <f>+VLOOKUP(A609,[1]Base!$A$11:$R$1579,18,FALSE)</f>
        <v>3960.3791429227936</v>
      </c>
      <c r="F609">
        <f>+VLOOKUP(A609,[1]Base!$A$11:$O$1264,15,FALSE)</f>
        <v>3168.3033143382349</v>
      </c>
      <c r="G609">
        <f t="shared" si="9"/>
        <v>1</v>
      </c>
    </row>
    <row r="610" spans="1:7" x14ac:dyDescent="0.25">
      <c r="A610" s="38">
        <v>3559085</v>
      </c>
      <c r="B610" s="37" t="s">
        <v>1610</v>
      </c>
      <c r="C610" s="63">
        <v>1</v>
      </c>
      <c r="D610" s="58">
        <f>+VLOOKUP(A610,[1]Base!$A$11:$O$1318,15,FALSE)</f>
        <v>1708.5734338235291</v>
      </c>
      <c r="E610" s="58">
        <f>+VLOOKUP(A610,[1]Base!$A$11:$R$1579,18,FALSE)</f>
        <v>2135.716792279411</v>
      </c>
      <c r="F610">
        <f>+VLOOKUP(A610,[1]Base!$A$11:$O$1264,15,FALSE)</f>
        <v>1708.5734338235291</v>
      </c>
      <c r="G610">
        <f t="shared" si="9"/>
        <v>1</v>
      </c>
    </row>
    <row r="611" spans="1:7" x14ac:dyDescent="0.25">
      <c r="A611" s="38">
        <v>3559261</v>
      </c>
      <c r="B611" s="37" t="s">
        <v>1613</v>
      </c>
      <c r="C611" s="63">
        <v>1</v>
      </c>
      <c r="D611" s="58">
        <f>+VLOOKUP(A611,[1]Base!$A$11:$O$1318,15,FALSE)</f>
        <v>123.74537688419116</v>
      </c>
      <c r="E611" s="58">
        <f>+VLOOKUP(A611,[1]Base!$A$11:$R$1579,18,FALSE)</f>
        <v>154.68172110523895</v>
      </c>
      <c r="F611">
        <f>+VLOOKUP(A611,[1]Base!$A$11:$O$1264,15,FALSE)</f>
        <v>123.74537688419116</v>
      </c>
      <c r="G611">
        <f t="shared" si="9"/>
        <v>1</v>
      </c>
    </row>
    <row r="612" spans="1:7" x14ac:dyDescent="0.25">
      <c r="A612" s="38">
        <v>3562269</v>
      </c>
      <c r="B612" s="37" t="s">
        <v>146</v>
      </c>
      <c r="C612" s="63">
        <v>1</v>
      </c>
      <c r="D612" s="58">
        <f>+VLOOKUP(A612,[1]Base!$A$11:$O$1318,15,FALSE)</f>
        <v>12385.753676470586</v>
      </c>
      <c r="E612" s="58">
        <f>+VLOOKUP(A612,[1]Base!$A$11:$R$1579,18,FALSE)</f>
        <v>15482.192095588231</v>
      </c>
      <c r="F612">
        <f>+VLOOKUP(A612,[1]Base!$A$11:$O$1264,15,FALSE)</f>
        <v>12385.753676470586</v>
      </c>
      <c r="G612">
        <f t="shared" si="9"/>
        <v>1</v>
      </c>
    </row>
    <row r="613" spans="1:7" x14ac:dyDescent="0.25">
      <c r="A613" s="36">
        <v>4012574</v>
      </c>
      <c r="B613" s="35" t="s">
        <v>147</v>
      </c>
      <c r="C613" s="63">
        <v>1</v>
      </c>
      <c r="D613" s="58">
        <f>+VLOOKUP(A613,[1]Base!$A$11:$O$1318,15,FALSE)</f>
        <v>464.34432388235291</v>
      </c>
      <c r="E613" s="58">
        <f>+VLOOKUP(A613,[1]Base!$A$11:$R$1579,18,FALSE)</f>
        <v>515.93813764705874</v>
      </c>
      <c r="F613">
        <f>+VLOOKUP(A613,[1]Base!$A$11:$O$1264,15,FALSE)</f>
        <v>464.34432388235291</v>
      </c>
      <c r="G613">
        <f t="shared" si="9"/>
        <v>1</v>
      </c>
    </row>
    <row r="614" spans="1:7" x14ac:dyDescent="0.25">
      <c r="A614" s="36">
        <v>4013926</v>
      </c>
      <c r="B614" s="35" t="s">
        <v>147</v>
      </c>
      <c r="C614" s="63">
        <v>1</v>
      </c>
      <c r="D614" s="58">
        <f>+VLOOKUP(A614,[1]Base!$A$11:$O$1318,15,FALSE)</f>
        <v>401.82352941176475</v>
      </c>
      <c r="E614" s="58">
        <f>+VLOOKUP(A614,[1]Base!$A$11:$R$1579,18,FALSE)</f>
        <v>446.47058823529414</v>
      </c>
      <c r="F614">
        <f>+VLOOKUP(A614,[1]Base!$A$11:$O$1264,15,FALSE)</f>
        <v>401.82352941176475</v>
      </c>
      <c r="G614">
        <f t="shared" si="9"/>
        <v>1</v>
      </c>
    </row>
    <row r="615" spans="1:7" x14ac:dyDescent="0.25">
      <c r="A615" s="36">
        <v>4015856</v>
      </c>
      <c r="B615" s="35" t="s">
        <v>148</v>
      </c>
      <c r="C615" s="63">
        <v>1</v>
      </c>
      <c r="D615" s="58">
        <f>+VLOOKUP(A615,[1]Base!$A$11:$O$1318,15,FALSE)</f>
        <v>2282.8447058823531</v>
      </c>
      <c r="E615" s="58">
        <f>+VLOOKUP(A615,[1]Base!$A$11:$R$1579,18,FALSE)</f>
        <v>2536.4941176470588</v>
      </c>
      <c r="F615">
        <f>+VLOOKUP(A615,[1]Base!$A$11:$O$1264,15,FALSE)</f>
        <v>2282.8447058823531</v>
      </c>
      <c r="G615">
        <f t="shared" si="9"/>
        <v>1</v>
      </c>
    </row>
    <row r="616" spans="1:7" x14ac:dyDescent="0.25">
      <c r="A616" s="38">
        <v>4016152</v>
      </c>
      <c r="B616" s="37" t="s">
        <v>1622</v>
      </c>
      <c r="C616" s="63">
        <v>1</v>
      </c>
      <c r="D616" s="58">
        <f>+VLOOKUP(A616,[1]Base!$A$11:$O$1318,15,FALSE)</f>
        <v>1895.5432665441176</v>
      </c>
      <c r="E616" s="58">
        <f>+VLOOKUP(A616,[1]Base!$A$11:$R$1579,18,FALSE)</f>
        <v>2369.4290831801468</v>
      </c>
      <c r="F616">
        <f>+VLOOKUP(A616,[1]Base!$A$11:$O$1264,15,FALSE)</f>
        <v>1895.5432665441176</v>
      </c>
      <c r="G616">
        <f t="shared" si="9"/>
        <v>1</v>
      </c>
    </row>
    <row r="617" spans="1:7" x14ac:dyDescent="0.25">
      <c r="A617" s="36">
        <v>4017219</v>
      </c>
      <c r="B617" s="35" t="s">
        <v>151</v>
      </c>
      <c r="C617" s="63">
        <v>1</v>
      </c>
      <c r="D617" s="58">
        <f>+VLOOKUP(A617,[1]Base!$A$11:$O$1318,15,FALSE)</f>
        <v>101.79529411764706</v>
      </c>
      <c r="E617" s="58">
        <f>+VLOOKUP(A617,[1]Base!$A$11:$R$1579,18,FALSE)</f>
        <v>113.10588235294118</v>
      </c>
      <c r="F617">
        <f>+VLOOKUP(A617,[1]Base!$A$11:$O$1264,15,FALSE)</f>
        <v>101.79529411764706</v>
      </c>
      <c r="G617">
        <f t="shared" si="9"/>
        <v>1</v>
      </c>
    </row>
    <row r="618" spans="1:7" x14ac:dyDescent="0.25">
      <c r="A618" s="36">
        <v>4019499</v>
      </c>
      <c r="B618" s="35" t="s">
        <v>155</v>
      </c>
      <c r="C618" s="63">
        <v>1</v>
      </c>
      <c r="D618" s="58">
        <f>+VLOOKUP(A618,[1]Base!$A$11:$O$1318,15,FALSE)</f>
        <v>3817.7541919504647</v>
      </c>
      <c r="E618" s="58">
        <f>+VLOOKUP(A618,[1]Base!$A$11:$R$1579,18,FALSE)</f>
        <v>4241.9491021671829</v>
      </c>
      <c r="F618">
        <f>+VLOOKUP(A618,[1]Base!$A$11:$O$1264,15,FALSE)</f>
        <v>3817.7541919504647</v>
      </c>
      <c r="G618">
        <f t="shared" si="9"/>
        <v>1</v>
      </c>
    </row>
    <row r="619" spans="1:7" x14ac:dyDescent="0.25">
      <c r="A619" s="36">
        <v>4019690</v>
      </c>
      <c r="B619" s="35" t="s">
        <v>156</v>
      </c>
      <c r="C619" s="63">
        <v>1</v>
      </c>
      <c r="D619" s="58">
        <f>+VLOOKUP(A619,[1]Base!$A$11:$O$1318,15,FALSE)</f>
        <v>9842.6997220588237</v>
      </c>
      <c r="E619" s="58">
        <f>+VLOOKUP(A619,[1]Base!$A$11:$R$1579,18,FALSE)</f>
        <v>12303.37465257353</v>
      </c>
      <c r="F619">
        <f>+VLOOKUP(A619,[1]Base!$A$11:$O$1264,15,FALSE)</f>
        <v>9842.6997220588237</v>
      </c>
      <c r="G619">
        <f t="shared" si="9"/>
        <v>1</v>
      </c>
    </row>
    <row r="620" spans="1:7" x14ac:dyDescent="0.25">
      <c r="A620" s="36">
        <v>4019691</v>
      </c>
      <c r="B620" s="35" t="s">
        <v>157</v>
      </c>
      <c r="C620" s="63">
        <v>1</v>
      </c>
      <c r="D620" s="58">
        <f>+VLOOKUP(A620,[1]Base!$A$11:$O$1318,15,FALSE)</f>
        <v>12953.921226286762</v>
      </c>
      <c r="E620" s="58">
        <f>+VLOOKUP(A620,[1]Base!$A$11:$R$1579,18,FALSE)</f>
        <v>16192.401532858452</v>
      </c>
      <c r="F620">
        <f>+VLOOKUP(A620,[1]Base!$A$11:$O$1264,15,FALSE)</f>
        <v>12953.921226286762</v>
      </c>
      <c r="G620">
        <f t="shared" si="9"/>
        <v>1</v>
      </c>
    </row>
    <row r="621" spans="1:7" x14ac:dyDescent="0.25">
      <c r="A621" s="36">
        <v>4019855</v>
      </c>
      <c r="B621" s="35" t="s">
        <v>158</v>
      </c>
      <c r="C621" s="63">
        <v>1</v>
      </c>
      <c r="D621" s="58">
        <f>+VLOOKUP(A621,[1]Base!$A$11:$O$1318,15,FALSE)</f>
        <v>195.22855727554182</v>
      </c>
      <c r="E621" s="58">
        <f>+VLOOKUP(A621,[1]Base!$A$11:$R$1579,18,FALSE)</f>
        <v>216.92061919504647</v>
      </c>
      <c r="F621">
        <f>+VLOOKUP(A621,[1]Base!$A$11:$O$1264,15,FALSE)</f>
        <v>195.22855727554182</v>
      </c>
      <c r="G621">
        <f t="shared" si="9"/>
        <v>1</v>
      </c>
    </row>
    <row r="622" spans="1:7" x14ac:dyDescent="0.25">
      <c r="A622" s="36">
        <v>4019878</v>
      </c>
      <c r="B622" s="35" t="s">
        <v>159</v>
      </c>
      <c r="C622" s="63">
        <v>1</v>
      </c>
      <c r="D622" s="58">
        <f>+VLOOKUP(A622,[1]Base!$A$11:$O$1318,15,FALSE)</f>
        <v>51642.45228482972</v>
      </c>
      <c r="E622" s="58">
        <f>+VLOOKUP(A622,[1]Base!$A$11:$R$1579,18,FALSE)</f>
        <v>57380.502538699686</v>
      </c>
      <c r="F622">
        <f>+VLOOKUP(A622,[1]Base!$A$11:$O$1264,15,FALSE)</f>
        <v>51642.45228482972</v>
      </c>
      <c r="G622">
        <f t="shared" si="9"/>
        <v>1</v>
      </c>
    </row>
    <row r="623" spans="1:7" x14ac:dyDescent="0.25">
      <c r="A623" s="36">
        <v>4019880</v>
      </c>
      <c r="B623" s="35" t="s">
        <v>161</v>
      </c>
      <c r="C623" s="63">
        <v>1</v>
      </c>
      <c r="D623" s="58">
        <f>+VLOOKUP(A623,[1]Base!$A$11:$O$1318,15,FALSE)</f>
        <v>65343.219603715159</v>
      </c>
      <c r="E623" s="58">
        <f>+VLOOKUP(A623,[1]Base!$A$11:$R$1579,18,FALSE)</f>
        <v>72603.577337461291</v>
      </c>
      <c r="F623">
        <f>+VLOOKUP(A623,[1]Base!$A$11:$O$1264,15,FALSE)</f>
        <v>65343.219603715159</v>
      </c>
      <c r="G623">
        <f t="shared" si="9"/>
        <v>1</v>
      </c>
    </row>
    <row r="624" spans="1:7" x14ac:dyDescent="0.25">
      <c r="A624" s="36">
        <v>4020054</v>
      </c>
      <c r="B624" s="35" t="s">
        <v>162</v>
      </c>
      <c r="C624" s="63">
        <v>1</v>
      </c>
      <c r="D624" s="58">
        <f>+VLOOKUP(A624,[1]Base!$A$11:$O$1318,15,FALSE)</f>
        <v>11445.859382536762</v>
      </c>
      <c r="E624" s="58">
        <f>+VLOOKUP(A624,[1]Base!$A$11:$R$1579,18,FALSE)</f>
        <v>14307.324228170952</v>
      </c>
      <c r="F624">
        <f>+VLOOKUP(A624,[1]Base!$A$11:$O$1264,15,FALSE)</f>
        <v>11445.859382536762</v>
      </c>
      <c r="G624">
        <f t="shared" si="9"/>
        <v>1</v>
      </c>
    </row>
    <row r="625" spans="1:7" x14ac:dyDescent="0.25">
      <c r="A625" s="36">
        <v>4020435</v>
      </c>
      <c r="B625" s="35" t="s">
        <v>163</v>
      </c>
      <c r="C625" s="63">
        <v>1</v>
      </c>
      <c r="D625" s="58">
        <f>+VLOOKUP(A625,[1]Base!$A$11:$O$1318,15,FALSE)</f>
        <v>13815.702700367647</v>
      </c>
      <c r="E625" s="58">
        <f>+VLOOKUP(A625,[1]Base!$A$11:$R$1579,18,FALSE)</f>
        <v>17269.628375459557</v>
      </c>
      <c r="F625">
        <f>+VLOOKUP(A625,[1]Base!$A$11:$O$1264,15,FALSE)</f>
        <v>13815.702700367647</v>
      </c>
      <c r="G625">
        <f t="shared" si="9"/>
        <v>1</v>
      </c>
    </row>
    <row r="626" spans="1:7" x14ac:dyDescent="0.25">
      <c r="A626" s="36">
        <v>4020436</v>
      </c>
      <c r="B626" s="35" t="s">
        <v>164</v>
      </c>
      <c r="C626" s="63">
        <v>1</v>
      </c>
      <c r="D626" s="58">
        <f>+VLOOKUP(A626,[1]Base!$A$11:$O$1318,15,FALSE)</f>
        <v>17689.00311397059</v>
      </c>
      <c r="E626" s="58">
        <f>+VLOOKUP(A626,[1]Base!$A$11:$R$1579,18,FALSE)</f>
        <v>22111.253892463235</v>
      </c>
      <c r="F626">
        <f>+VLOOKUP(A626,[1]Base!$A$11:$O$1264,15,FALSE)</f>
        <v>17689.00311397059</v>
      </c>
      <c r="G626">
        <f t="shared" si="9"/>
        <v>1</v>
      </c>
    </row>
    <row r="627" spans="1:7" x14ac:dyDescent="0.25">
      <c r="A627" s="36">
        <v>4020437</v>
      </c>
      <c r="B627" s="35" t="s">
        <v>165</v>
      </c>
      <c r="C627" s="63">
        <v>1</v>
      </c>
      <c r="D627" s="58">
        <f>+VLOOKUP(A627,[1]Base!$A$11:$O$1318,15,FALSE)</f>
        <v>21424.794137867644</v>
      </c>
      <c r="E627" s="58">
        <f>+VLOOKUP(A627,[1]Base!$A$11:$R$1579,18,FALSE)</f>
        <v>26780.992672334552</v>
      </c>
      <c r="F627">
        <f>+VLOOKUP(A627,[1]Base!$A$11:$O$1264,15,FALSE)</f>
        <v>21424.794137867644</v>
      </c>
      <c r="G627">
        <f t="shared" si="9"/>
        <v>1</v>
      </c>
    </row>
    <row r="628" spans="1:7" x14ac:dyDescent="0.25">
      <c r="A628" s="36">
        <v>4020438</v>
      </c>
      <c r="B628" s="35" t="s">
        <v>166</v>
      </c>
      <c r="C628" s="63">
        <v>1</v>
      </c>
      <c r="D628" s="58">
        <f>+VLOOKUP(A628,[1]Base!$A$11:$O$1318,15,FALSE)</f>
        <v>13538.435218566177</v>
      </c>
      <c r="E628" s="58">
        <f>+VLOOKUP(A628,[1]Base!$A$11:$R$1579,18,FALSE)</f>
        <v>16923.04402320772</v>
      </c>
      <c r="F628">
        <f>+VLOOKUP(A628,[1]Base!$A$11:$O$1264,15,FALSE)</f>
        <v>13538.435218566177</v>
      </c>
      <c r="G628">
        <f t="shared" si="9"/>
        <v>1</v>
      </c>
    </row>
    <row r="629" spans="1:7" x14ac:dyDescent="0.25">
      <c r="A629" s="36">
        <v>4020439</v>
      </c>
      <c r="B629" s="35" t="s">
        <v>167</v>
      </c>
      <c r="C629" s="63">
        <v>1</v>
      </c>
      <c r="D629" s="58">
        <f>+VLOOKUP(A629,[1]Base!$A$11:$O$1318,15,FALSE)</f>
        <v>17548.044979963237</v>
      </c>
      <c r="E629" s="58">
        <f>+VLOOKUP(A629,[1]Base!$A$11:$R$1579,18,FALSE)</f>
        <v>21935.056224954045</v>
      </c>
      <c r="F629">
        <f>+VLOOKUP(A629,[1]Base!$A$11:$O$1264,15,FALSE)</f>
        <v>17548.044979963237</v>
      </c>
      <c r="G629">
        <f t="shared" si="9"/>
        <v>1</v>
      </c>
    </row>
    <row r="630" spans="1:7" x14ac:dyDescent="0.25">
      <c r="A630" s="36">
        <v>4020440</v>
      </c>
      <c r="B630" s="35" t="s">
        <v>168</v>
      </c>
      <c r="C630" s="63">
        <v>1</v>
      </c>
      <c r="D630" s="58">
        <f>+VLOOKUP(A630,[1]Base!$A$11:$O$1318,15,FALSE)</f>
        <v>21342.390342463237</v>
      </c>
      <c r="E630" s="58">
        <f>+VLOOKUP(A630,[1]Base!$A$11:$R$1579,18,FALSE)</f>
        <v>26677.987928079045</v>
      </c>
      <c r="F630">
        <f>+VLOOKUP(A630,[1]Base!$A$11:$O$1264,15,FALSE)</f>
        <v>21342.390342463237</v>
      </c>
      <c r="G630">
        <f t="shared" si="9"/>
        <v>1</v>
      </c>
    </row>
    <row r="631" spans="1:7" x14ac:dyDescent="0.25">
      <c r="A631" s="36">
        <v>4020797</v>
      </c>
      <c r="B631" s="35" t="s">
        <v>170</v>
      </c>
      <c r="C631" s="63">
        <v>1</v>
      </c>
      <c r="D631" s="58">
        <f>+VLOOKUP(A631,[1]Base!$A$11:$O$1318,15,FALSE)</f>
        <v>2052.1608297213625</v>
      </c>
      <c r="E631" s="58">
        <f>+VLOOKUP(A631,[1]Base!$A$11:$R$1579,18,FALSE)</f>
        <v>2414.3068584957205</v>
      </c>
      <c r="F631">
        <f>+VLOOKUP(A631,[1]Base!$A$11:$O$1264,15,FALSE)</f>
        <v>2052.1608297213625</v>
      </c>
      <c r="G631">
        <f t="shared" si="9"/>
        <v>1</v>
      </c>
    </row>
    <row r="632" spans="1:7" x14ac:dyDescent="0.25">
      <c r="A632" s="36">
        <v>4020817</v>
      </c>
      <c r="B632" s="35" t="s">
        <v>171</v>
      </c>
      <c r="C632" s="63">
        <v>1</v>
      </c>
      <c r="D632" s="58">
        <f>+VLOOKUP(A632,[1]Base!$A$11:$O$1318,15,FALSE)</f>
        <v>2998.5919723183392</v>
      </c>
      <c r="E632" s="58">
        <f>+VLOOKUP(A632,[1]Base!$A$11:$R$1579,18,FALSE)</f>
        <v>3527.7552615509876</v>
      </c>
      <c r="F632">
        <f>+VLOOKUP(A632,[1]Base!$A$11:$O$1264,15,FALSE)</f>
        <v>2998.5919723183392</v>
      </c>
      <c r="G632">
        <f t="shared" si="9"/>
        <v>1</v>
      </c>
    </row>
    <row r="633" spans="1:7" x14ac:dyDescent="0.25">
      <c r="A633" s="36">
        <v>4021773</v>
      </c>
      <c r="B633" s="35" t="s">
        <v>173</v>
      </c>
      <c r="C633" s="63">
        <v>1</v>
      </c>
      <c r="D633" s="58">
        <f>+VLOOKUP(A633,[1]Base!$A$11:$O$1318,15,FALSE)</f>
        <v>558.32321981424161</v>
      </c>
      <c r="E633" s="58">
        <f>+VLOOKUP(A633,[1]Base!$A$11:$R$1579,18,FALSE)</f>
        <v>620.35913312693515</v>
      </c>
      <c r="F633">
        <f>+VLOOKUP(A633,[1]Base!$A$11:$O$1264,15,FALSE)</f>
        <v>558.32321981424161</v>
      </c>
      <c r="G633">
        <f t="shared" si="9"/>
        <v>1</v>
      </c>
    </row>
    <row r="634" spans="1:7" x14ac:dyDescent="0.25">
      <c r="A634" s="36">
        <v>4021935</v>
      </c>
      <c r="B634" s="35" t="s">
        <v>175</v>
      </c>
      <c r="C634" s="63">
        <v>1</v>
      </c>
      <c r="D634" s="58">
        <f>+VLOOKUP(A634,[1]Base!$A$11:$O$1318,15,FALSE)</f>
        <v>2664.724458204334</v>
      </c>
      <c r="E634" s="58">
        <f>+VLOOKUP(A634,[1]Base!$A$11:$R$1579,18,FALSE)</f>
        <v>2960.8049535603709</v>
      </c>
      <c r="F634">
        <f>+VLOOKUP(A634,[1]Base!$A$11:$O$1264,15,FALSE)</f>
        <v>2664.724458204334</v>
      </c>
      <c r="G634">
        <f t="shared" si="9"/>
        <v>1</v>
      </c>
    </row>
    <row r="635" spans="1:7" x14ac:dyDescent="0.25">
      <c r="A635" s="36">
        <v>4023739</v>
      </c>
      <c r="B635" s="35" t="s">
        <v>179</v>
      </c>
      <c r="C635" s="63">
        <v>1</v>
      </c>
      <c r="D635" s="58">
        <f>+VLOOKUP(A635,[1]Base!$A$11:$O$1318,15,FALSE)</f>
        <v>844.79840247678021</v>
      </c>
      <c r="E635" s="58">
        <f>+VLOOKUP(A635,[1]Base!$A$11:$R$1579,18,FALSE)</f>
        <v>938.66489164086693</v>
      </c>
      <c r="F635">
        <f>+VLOOKUP(A635,[1]Base!$A$11:$O$1264,15,FALSE)</f>
        <v>844.79840247678021</v>
      </c>
      <c r="G635">
        <f t="shared" si="9"/>
        <v>1</v>
      </c>
    </row>
    <row r="636" spans="1:7" x14ac:dyDescent="0.25">
      <c r="A636" s="36">
        <v>4023893</v>
      </c>
      <c r="B636" s="35" t="s">
        <v>180</v>
      </c>
      <c r="C636" s="63">
        <v>1</v>
      </c>
      <c r="D636" s="58">
        <f>+VLOOKUP(A636,[1]Base!$A$11:$O$1318,15,FALSE)</f>
        <v>2180.5374257832818</v>
      </c>
      <c r="E636" s="58">
        <f>+VLOOKUP(A636,[1]Base!$A$11:$R$1579,18,FALSE)</f>
        <v>2422.8193619814242</v>
      </c>
      <c r="F636">
        <f>+VLOOKUP(A636,[1]Base!$A$11:$O$1264,15,FALSE)</f>
        <v>2180.5374257832818</v>
      </c>
      <c r="G636">
        <f t="shared" si="9"/>
        <v>1</v>
      </c>
    </row>
    <row r="637" spans="1:7" x14ac:dyDescent="0.25">
      <c r="A637" s="36">
        <v>4023894</v>
      </c>
      <c r="B637" s="35" t="s">
        <v>181</v>
      </c>
      <c r="C637" s="63">
        <v>1</v>
      </c>
      <c r="D637" s="58">
        <f>+VLOOKUP(A637,[1]Base!$A$11:$O$1318,15,FALSE)</f>
        <v>3499.6714551083601</v>
      </c>
      <c r="E637" s="58">
        <f>+VLOOKUP(A637,[1]Base!$A$11:$R$1579,18,FALSE)</f>
        <v>3888.5238390092891</v>
      </c>
      <c r="F637">
        <f>+VLOOKUP(A637,[1]Base!$A$11:$O$1264,15,FALSE)</f>
        <v>3499.6714551083601</v>
      </c>
      <c r="G637">
        <f t="shared" si="9"/>
        <v>1</v>
      </c>
    </row>
    <row r="638" spans="1:7" x14ac:dyDescent="0.25">
      <c r="A638" s="36">
        <v>4023895</v>
      </c>
      <c r="B638" s="35" t="s">
        <v>182</v>
      </c>
      <c r="C638" s="63">
        <v>1</v>
      </c>
      <c r="D638" s="58">
        <f>+VLOOKUP(A638,[1]Base!$A$11:$O$1318,15,FALSE)</f>
        <v>3252.5065875789483</v>
      </c>
      <c r="E638" s="58">
        <f>+VLOOKUP(A638,[1]Base!$A$11:$R$1579,18,FALSE)</f>
        <v>3613.8962084210534</v>
      </c>
      <c r="F638">
        <f>+VLOOKUP(A638,[1]Base!$A$11:$O$1264,15,FALSE)</f>
        <v>3252.5065875789483</v>
      </c>
      <c r="G638">
        <f t="shared" si="9"/>
        <v>1</v>
      </c>
    </row>
    <row r="639" spans="1:7" x14ac:dyDescent="0.25">
      <c r="A639" s="38">
        <v>4024162</v>
      </c>
      <c r="B639" s="37" t="s">
        <v>1630</v>
      </c>
      <c r="C639" s="63"/>
      <c r="D639" s="58">
        <f>+VLOOKUP(A639,[1]Base!$A$11:$O$1318,15,FALSE)</f>
        <v>299.51504779411761</v>
      </c>
      <c r="E639" s="58">
        <f>+VLOOKUP(A639,[1]Base!$A$11:$R$1579,18,FALSE)</f>
        <v>374.39380974264697</v>
      </c>
      <c r="F639">
        <f>+VLOOKUP(A639,[1]Base!$A$11:$O$1264,15,FALSE)</f>
        <v>299.51504779411761</v>
      </c>
      <c r="G639">
        <f t="shared" si="9"/>
        <v>1</v>
      </c>
    </row>
    <row r="640" spans="1:7" x14ac:dyDescent="0.25">
      <c r="A640" s="36">
        <v>4024300</v>
      </c>
      <c r="B640" s="35" t="s">
        <v>183</v>
      </c>
      <c r="C640" s="63">
        <v>1</v>
      </c>
      <c r="D640" s="58">
        <f>+VLOOKUP(A640,[1]Base!$A$11:$O$1318,15,FALSE)</f>
        <v>2790.993176470588</v>
      </c>
      <c r="E640" s="58">
        <f>+VLOOKUP(A640,[1]Base!$A$11:$R$1579,18,FALSE)</f>
        <v>3101.1035294117642</v>
      </c>
      <c r="F640">
        <f>+VLOOKUP(A640,[1]Base!$A$11:$O$1264,15,FALSE)</f>
        <v>2790.993176470588</v>
      </c>
      <c r="G640">
        <f t="shared" si="9"/>
        <v>1</v>
      </c>
    </row>
    <row r="641" spans="1:7" x14ac:dyDescent="0.25">
      <c r="A641" s="38">
        <v>4024314</v>
      </c>
      <c r="B641" s="37" t="s">
        <v>1631</v>
      </c>
      <c r="C641" s="63"/>
      <c r="D641" s="58">
        <f>+VLOOKUP(A641,[1]Base!$A$11:$O$1318,15,FALSE)</f>
        <v>40.350033088235286</v>
      </c>
      <c r="E641" s="58">
        <f>+VLOOKUP(A641,[1]Base!$A$11:$R$1579,18,FALSE)</f>
        <v>50.437541360294105</v>
      </c>
      <c r="F641">
        <f>+VLOOKUP(A641,[1]Base!$A$11:$O$1264,15,FALSE)</f>
        <v>40.350033088235286</v>
      </c>
      <c r="G641">
        <f t="shared" si="9"/>
        <v>1</v>
      </c>
    </row>
    <row r="642" spans="1:7" x14ac:dyDescent="0.25">
      <c r="A642" s="36">
        <v>4024552</v>
      </c>
      <c r="B642" s="35" t="s">
        <v>184</v>
      </c>
      <c r="C642" s="63">
        <v>1</v>
      </c>
      <c r="D642" s="58">
        <f>+VLOOKUP(A642,[1]Base!$A$11:$O$1318,15,FALSE)</f>
        <v>2646.1474632352933</v>
      </c>
      <c r="E642" s="58">
        <f>+VLOOKUP(A642,[1]Base!$A$11:$R$1579,18,FALSE)</f>
        <v>3307.6843290441166</v>
      </c>
      <c r="F642">
        <f>+VLOOKUP(A642,[1]Base!$A$11:$O$1264,15,FALSE)</f>
        <v>2646.1474632352933</v>
      </c>
      <c r="G642">
        <f t="shared" si="9"/>
        <v>1</v>
      </c>
    </row>
    <row r="643" spans="1:7" x14ac:dyDescent="0.25">
      <c r="A643" s="36">
        <v>4024553</v>
      </c>
      <c r="B643" s="35" t="s">
        <v>185</v>
      </c>
      <c r="C643" s="63">
        <v>1</v>
      </c>
      <c r="D643" s="58">
        <f>+VLOOKUP(A643,[1]Base!$A$11:$O$1318,15,FALSE)</f>
        <v>3512.0492647058827</v>
      </c>
      <c r="E643" s="58">
        <f>+VLOOKUP(A643,[1]Base!$A$11:$R$1579,18,FALSE)</f>
        <v>4390.0615808823532</v>
      </c>
      <c r="F643">
        <f>+VLOOKUP(A643,[1]Base!$A$11:$O$1264,15,FALSE)</f>
        <v>3512.0492647058827</v>
      </c>
      <c r="G643">
        <f t="shared" si="9"/>
        <v>1</v>
      </c>
    </row>
    <row r="644" spans="1:7" x14ac:dyDescent="0.25">
      <c r="A644" s="36">
        <v>4024554</v>
      </c>
      <c r="B644" s="35" t="s">
        <v>186</v>
      </c>
      <c r="C644" s="63">
        <v>1</v>
      </c>
      <c r="D644" s="58">
        <f>+VLOOKUP(A644,[1]Base!$A$11:$O$1318,15,FALSE)</f>
        <v>3096.3833713235294</v>
      </c>
      <c r="E644" s="58">
        <f>+VLOOKUP(A644,[1]Base!$A$11:$R$1579,18,FALSE)</f>
        <v>3870.4792141544117</v>
      </c>
      <c r="F644">
        <f>+VLOOKUP(A644,[1]Base!$A$11:$O$1264,15,FALSE)</f>
        <v>3096.3833713235294</v>
      </c>
      <c r="G644">
        <f t="shared" ref="G644:G707" si="10">+F644/D644</f>
        <v>1</v>
      </c>
    </row>
    <row r="645" spans="1:7" x14ac:dyDescent="0.25">
      <c r="A645" s="36">
        <v>4024555</v>
      </c>
      <c r="B645" s="35" t="s">
        <v>187</v>
      </c>
      <c r="C645" s="63">
        <v>1</v>
      </c>
      <c r="D645" s="58">
        <f>+VLOOKUP(A645,[1]Base!$A$11:$O$1318,15,FALSE)</f>
        <v>4286.1313455882355</v>
      </c>
      <c r="E645" s="58">
        <f>+VLOOKUP(A645,[1]Base!$A$11:$R$1579,18,FALSE)</f>
        <v>5357.6641819852939</v>
      </c>
      <c r="F645">
        <f>+VLOOKUP(A645,[1]Base!$A$11:$O$1264,15,FALSE)</f>
        <v>4286.1313455882355</v>
      </c>
      <c r="G645">
        <f t="shared" si="10"/>
        <v>1</v>
      </c>
    </row>
    <row r="646" spans="1:7" x14ac:dyDescent="0.25">
      <c r="A646" s="36">
        <v>4024854</v>
      </c>
      <c r="B646" s="35" t="s">
        <v>188</v>
      </c>
      <c r="C646" s="63">
        <v>1</v>
      </c>
      <c r="D646" s="58">
        <f>+VLOOKUP(A646,[1]Base!$A$11:$O$1318,15,FALSE)</f>
        <v>1418.2006920415222</v>
      </c>
      <c r="E646" s="58">
        <f>+VLOOKUP(A646,[1]Base!$A$11:$R$1579,18,FALSE)</f>
        <v>1668.4714024017908</v>
      </c>
      <c r="F646">
        <f>+VLOOKUP(A646,[1]Base!$A$11:$O$1264,15,FALSE)</f>
        <v>1418.2006920415222</v>
      </c>
      <c r="G646">
        <f t="shared" si="10"/>
        <v>1</v>
      </c>
    </row>
    <row r="647" spans="1:7" x14ac:dyDescent="0.25">
      <c r="A647" s="38">
        <v>4025967</v>
      </c>
      <c r="B647" s="37" t="s">
        <v>1633</v>
      </c>
      <c r="C647" s="63"/>
      <c r="D647" s="58">
        <f>+VLOOKUP(A647,[1]Base!$A$11:$O$1318,15,FALSE)</f>
        <v>2991.324656249999</v>
      </c>
      <c r="E647" s="58">
        <f>+VLOOKUP(A647,[1]Base!$A$11:$R$1579,18,FALSE)</f>
        <v>3739.1558203124987</v>
      </c>
      <c r="F647">
        <f>+VLOOKUP(A647,[1]Base!$A$11:$O$1264,15,FALSE)</f>
        <v>2991.324656249999</v>
      </c>
      <c r="G647">
        <f t="shared" si="10"/>
        <v>1</v>
      </c>
    </row>
    <row r="648" spans="1:7" x14ac:dyDescent="0.25">
      <c r="A648" s="36">
        <v>4025970</v>
      </c>
      <c r="B648" s="35" t="s">
        <v>191</v>
      </c>
      <c r="C648" s="63">
        <v>1</v>
      </c>
      <c r="D648" s="58">
        <f>+VLOOKUP(A648,[1]Base!$A$11:$O$1318,15,FALSE)</f>
        <v>12864.274551083592</v>
      </c>
      <c r="E648" s="58">
        <f>+VLOOKUP(A648,[1]Base!$A$11:$R$1579,18,FALSE)</f>
        <v>14293.638390092879</v>
      </c>
      <c r="F648">
        <f>+VLOOKUP(A648,[1]Base!$A$11:$O$1264,15,FALSE)</f>
        <v>12864.274551083592</v>
      </c>
      <c r="G648">
        <f t="shared" si="10"/>
        <v>1</v>
      </c>
    </row>
    <row r="649" spans="1:7" x14ac:dyDescent="0.25">
      <c r="A649" s="36">
        <v>4025972</v>
      </c>
      <c r="B649" s="35" t="s">
        <v>192</v>
      </c>
      <c r="C649" s="63">
        <v>1</v>
      </c>
      <c r="D649" s="58">
        <f>+VLOOKUP(A649,[1]Base!$A$11:$O$1318,15,FALSE)</f>
        <v>14095.123467492258</v>
      </c>
      <c r="E649" s="58">
        <f>+VLOOKUP(A649,[1]Base!$A$11:$R$1579,18,FALSE)</f>
        <v>15661.24829721362</v>
      </c>
      <c r="F649">
        <f>+VLOOKUP(A649,[1]Base!$A$11:$O$1264,15,FALSE)</f>
        <v>14095.123467492258</v>
      </c>
      <c r="G649">
        <f t="shared" si="10"/>
        <v>1</v>
      </c>
    </row>
    <row r="650" spans="1:7" x14ac:dyDescent="0.25">
      <c r="A650" s="38">
        <v>4027130</v>
      </c>
      <c r="B650" s="37" t="s">
        <v>1635</v>
      </c>
      <c r="C650" s="63"/>
      <c r="D650" s="58">
        <f>+VLOOKUP(A650,[1]Base!$A$11:$O$1318,15,FALSE)</f>
        <v>0.68809742647058803</v>
      </c>
      <c r="E650" s="58">
        <f>+VLOOKUP(A650,[1]Base!$A$11:$R$1579,18,FALSE)</f>
        <v>0.86012178308823495</v>
      </c>
      <c r="F650">
        <f>+VLOOKUP(A650,[1]Base!$A$11:$O$1264,15,FALSE)</f>
        <v>0.68809742647058803</v>
      </c>
      <c r="G650">
        <f t="shared" si="10"/>
        <v>1</v>
      </c>
    </row>
    <row r="651" spans="1:7" x14ac:dyDescent="0.25">
      <c r="A651" s="38">
        <v>4040153</v>
      </c>
      <c r="B651" s="37" t="s">
        <v>1638</v>
      </c>
      <c r="C651" s="63"/>
      <c r="D651" s="58">
        <f>+VLOOKUP(A651,[1]Base!$A$11:$O$1318,15,FALSE)</f>
        <v>10618.939676470589</v>
      </c>
      <c r="E651" s="58">
        <f>+VLOOKUP(A651,[1]Base!$A$11:$R$1579,18,FALSE)</f>
        <v>13273.674595588236</v>
      </c>
      <c r="F651">
        <f>+VLOOKUP(A651,[1]Base!$A$11:$O$1264,15,FALSE)</f>
        <v>10618.939676470589</v>
      </c>
      <c r="G651">
        <f t="shared" si="10"/>
        <v>1</v>
      </c>
    </row>
    <row r="652" spans="1:7" x14ac:dyDescent="0.25">
      <c r="A652" s="42">
        <v>4791501</v>
      </c>
      <c r="B652" s="35" t="s">
        <v>195</v>
      </c>
      <c r="C652" s="63">
        <v>1</v>
      </c>
      <c r="D652" s="58">
        <f>+VLOOKUP(A652,[1]Base!$A$11:$O$1318,15,FALSE)</f>
        <v>20178.078018575852</v>
      </c>
      <c r="E652" s="58">
        <f>+VLOOKUP(A652,[1]Base!$A$11:$R$1579,18,FALSE)</f>
        <v>22420.086687306502</v>
      </c>
      <c r="F652">
        <f>+VLOOKUP(A652,[1]Base!$A$11:$O$1264,15,FALSE)</f>
        <v>20178.078018575852</v>
      </c>
      <c r="G652">
        <f t="shared" si="10"/>
        <v>1</v>
      </c>
    </row>
    <row r="653" spans="1:7" x14ac:dyDescent="0.25">
      <c r="A653" s="42">
        <v>4791511</v>
      </c>
      <c r="B653" s="35" t="s">
        <v>196</v>
      </c>
      <c r="C653" s="63">
        <v>1</v>
      </c>
      <c r="D653" s="58">
        <f>+VLOOKUP(A653,[1]Base!$A$11:$O$1318,15,FALSE)</f>
        <v>21563.296383900928</v>
      </c>
      <c r="E653" s="58">
        <f>+VLOOKUP(A653,[1]Base!$A$11:$R$1579,18,FALSE)</f>
        <v>23959.218204334364</v>
      </c>
      <c r="F653">
        <f>+VLOOKUP(A653,[1]Base!$A$11:$O$1264,15,FALSE)</f>
        <v>21563.296383900928</v>
      </c>
      <c r="G653">
        <f t="shared" si="10"/>
        <v>1</v>
      </c>
    </row>
    <row r="654" spans="1:7" x14ac:dyDescent="0.25">
      <c r="A654" s="42">
        <v>4791520</v>
      </c>
      <c r="B654" s="35" t="s">
        <v>197</v>
      </c>
      <c r="C654" s="63">
        <v>1</v>
      </c>
      <c r="D654" s="58">
        <f>+VLOOKUP(A654,[1]Base!$A$11:$O$1318,15,FALSE)</f>
        <v>24698.604260061915</v>
      </c>
      <c r="E654" s="58">
        <f>+VLOOKUP(A654,[1]Base!$A$11:$R$1579,18,FALSE)</f>
        <v>27442.893622291016</v>
      </c>
      <c r="F654">
        <f>+VLOOKUP(A654,[1]Base!$A$11:$O$1264,15,FALSE)</f>
        <v>24698.604260061915</v>
      </c>
      <c r="G654">
        <f t="shared" si="10"/>
        <v>1</v>
      </c>
    </row>
    <row r="655" spans="1:7" x14ac:dyDescent="0.25">
      <c r="A655" s="42">
        <v>4791531</v>
      </c>
      <c r="B655" s="35" t="s">
        <v>198</v>
      </c>
      <c r="C655" s="63">
        <v>1</v>
      </c>
      <c r="D655" s="58">
        <f>+VLOOKUP(A655,[1]Base!$A$11:$O$1318,15,FALSE)</f>
        <v>37080.958490247678</v>
      </c>
      <c r="E655" s="58">
        <f>+VLOOKUP(A655,[1]Base!$A$11:$R$1579,18,FALSE)</f>
        <v>41201.064989164086</v>
      </c>
      <c r="F655">
        <f>+VLOOKUP(A655,[1]Base!$A$11:$O$1264,15,FALSE)</f>
        <v>37080.958490247678</v>
      </c>
      <c r="G655">
        <f t="shared" si="10"/>
        <v>1</v>
      </c>
    </row>
    <row r="656" spans="1:7" x14ac:dyDescent="0.25">
      <c r="A656" s="42">
        <v>4791541</v>
      </c>
      <c r="B656" s="35" t="s">
        <v>199</v>
      </c>
      <c r="C656" s="63">
        <v>1</v>
      </c>
      <c r="D656" s="58">
        <f>+VLOOKUP(A656,[1]Base!$A$11:$O$1318,15,FALSE)</f>
        <v>61261.323157894753</v>
      </c>
      <c r="E656" s="58">
        <f>+VLOOKUP(A656,[1]Base!$A$11:$R$1579,18,FALSE)</f>
        <v>68068.136842105276</v>
      </c>
      <c r="F656">
        <f>+VLOOKUP(A656,[1]Base!$A$11:$O$1264,15,FALSE)</f>
        <v>61261.323157894753</v>
      </c>
      <c r="G656">
        <f t="shared" si="10"/>
        <v>1</v>
      </c>
    </row>
    <row r="657" spans="1:7" x14ac:dyDescent="0.25">
      <c r="A657" s="42">
        <v>4791551</v>
      </c>
      <c r="B657" s="35" t="s">
        <v>200</v>
      </c>
      <c r="C657" s="63">
        <v>1</v>
      </c>
      <c r="D657" s="58">
        <f>+VLOOKUP(A657,[1]Base!$A$11:$O$1318,15,FALSE)</f>
        <v>61866.688569659455</v>
      </c>
      <c r="E657" s="58">
        <f>+VLOOKUP(A657,[1]Base!$A$11:$R$1579,18,FALSE)</f>
        <v>68740.765077399396</v>
      </c>
      <c r="F657">
        <f>+VLOOKUP(A657,[1]Base!$A$11:$O$1264,15,FALSE)</f>
        <v>61866.688569659455</v>
      </c>
      <c r="G657">
        <f t="shared" si="10"/>
        <v>1</v>
      </c>
    </row>
    <row r="658" spans="1:7" x14ac:dyDescent="0.25">
      <c r="A658" s="42">
        <v>4791831</v>
      </c>
      <c r="B658" s="35" t="s">
        <v>201</v>
      </c>
      <c r="C658" s="63">
        <v>1</v>
      </c>
      <c r="D658" s="58">
        <f>+VLOOKUP(A658,[1]Base!$A$11:$O$1318,15,FALSE)</f>
        <v>72688.722910216718</v>
      </c>
      <c r="E658" s="58">
        <f>+VLOOKUP(A658,[1]Base!$A$11:$R$1579,18,FALSE)</f>
        <v>80765.247678018568</v>
      </c>
      <c r="F658">
        <f>+VLOOKUP(A658,[1]Base!$A$11:$O$1264,15,FALSE)</f>
        <v>72688.722910216718</v>
      </c>
      <c r="G658">
        <f t="shared" si="10"/>
        <v>1</v>
      </c>
    </row>
    <row r="659" spans="1:7" x14ac:dyDescent="0.25">
      <c r="A659" s="42">
        <v>4791836</v>
      </c>
      <c r="B659" s="35" t="s">
        <v>202</v>
      </c>
      <c r="C659" s="63">
        <v>1</v>
      </c>
      <c r="D659" s="58">
        <f>+VLOOKUP(A659,[1]Base!$A$11:$O$1318,15,FALSE)</f>
        <v>84303.184012383907</v>
      </c>
      <c r="E659" s="58">
        <f>+VLOOKUP(A659,[1]Base!$A$11:$R$1579,18,FALSE)</f>
        <v>93670.204458204345</v>
      </c>
      <c r="F659">
        <f>+VLOOKUP(A659,[1]Base!$A$11:$O$1264,15,FALSE)</f>
        <v>84303.184012383907</v>
      </c>
      <c r="G659">
        <f t="shared" si="10"/>
        <v>1</v>
      </c>
    </row>
    <row r="660" spans="1:7" x14ac:dyDescent="0.25">
      <c r="A660" s="42">
        <v>4791841</v>
      </c>
      <c r="B660" s="35" t="s">
        <v>203</v>
      </c>
      <c r="C660" s="63">
        <v>1</v>
      </c>
      <c r="D660" s="58">
        <f>+VLOOKUP(A660,[1]Base!$A$11:$O$1318,15,FALSE)</f>
        <v>103132.9345263158</v>
      </c>
      <c r="E660" s="58">
        <f>+VLOOKUP(A660,[1]Base!$A$11:$R$1579,18,FALSE)</f>
        <v>114592.14947368423</v>
      </c>
      <c r="F660">
        <f>+VLOOKUP(A660,[1]Base!$A$11:$O$1264,15,FALSE)</f>
        <v>103132.9345263158</v>
      </c>
      <c r="G660">
        <f t="shared" si="10"/>
        <v>1</v>
      </c>
    </row>
    <row r="661" spans="1:7" x14ac:dyDescent="0.25">
      <c r="A661" s="42">
        <v>4791846</v>
      </c>
      <c r="B661" s="35" t="s">
        <v>204</v>
      </c>
      <c r="C661" s="63">
        <v>1</v>
      </c>
      <c r="D661" s="58">
        <f>+VLOOKUP(A661,[1]Base!$A$11:$O$1318,15,FALSE)</f>
        <v>62675.841956656346</v>
      </c>
      <c r="E661" s="58">
        <f>+VLOOKUP(A661,[1]Base!$A$11:$R$1579,18,FALSE)</f>
        <v>69639.824396284821</v>
      </c>
      <c r="F661">
        <f>+VLOOKUP(A661,[1]Base!$A$11:$O$1264,15,FALSE)</f>
        <v>62675.841956656346</v>
      </c>
      <c r="G661">
        <f t="shared" si="10"/>
        <v>1</v>
      </c>
    </row>
    <row r="662" spans="1:7" x14ac:dyDescent="0.25">
      <c r="A662" s="42">
        <v>4791851</v>
      </c>
      <c r="B662" s="35" t="s">
        <v>205</v>
      </c>
      <c r="C662" s="63">
        <v>1</v>
      </c>
      <c r="D662" s="58">
        <f>+VLOOKUP(A662,[1]Base!$A$11:$O$1318,15,FALSE)</f>
        <v>68078.242030959766</v>
      </c>
      <c r="E662" s="58">
        <f>+VLOOKUP(A662,[1]Base!$A$11:$R$1579,18,FALSE)</f>
        <v>75642.491145510852</v>
      </c>
      <c r="F662">
        <f>+VLOOKUP(A662,[1]Base!$A$11:$O$1264,15,FALSE)</f>
        <v>68078.242030959766</v>
      </c>
      <c r="G662">
        <f t="shared" si="10"/>
        <v>1</v>
      </c>
    </row>
    <row r="663" spans="1:7" x14ac:dyDescent="0.25">
      <c r="A663" s="42">
        <v>4791856</v>
      </c>
      <c r="B663" s="35" t="s">
        <v>206</v>
      </c>
      <c r="C663" s="63">
        <v>1</v>
      </c>
      <c r="D663" s="58">
        <f>+VLOOKUP(A663,[1]Base!$A$11:$O$1318,15,FALSE)</f>
        <v>74270.231108359148</v>
      </c>
      <c r="E663" s="58">
        <f>+VLOOKUP(A663,[1]Base!$A$11:$R$1579,18,FALSE)</f>
        <v>82522.479009287941</v>
      </c>
      <c r="F663">
        <f>+VLOOKUP(A663,[1]Base!$A$11:$O$1264,15,FALSE)</f>
        <v>74270.231108359148</v>
      </c>
      <c r="G663">
        <f t="shared" si="10"/>
        <v>1</v>
      </c>
    </row>
    <row r="664" spans="1:7" x14ac:dyDescent="0.25">
      <c r="A664" s="42">
        <v>4791861</v>
      </c>
      <c r="B664" s="35" t="s">
        <v>207</v>
      </c>
      <c r="C664" s="63">
        <v>1</v>
      </c>
      <c r="D664" s="58">
        <f>+VLOOKUP(A664,[1]Base!$A$11:$O$1318,15,FALSE)</f>
        <v>80866.889164086708</v>
      </c>
      <c r="E664" s="58">
        <f>+VLOOKUP(A664,[1]Base!$A$11:$R$1579,18,FALSE)</f>
        <v>89852.099071207456</v>
      </c>
      <c r="F664">
        <f>+VLOOKUP(A664,[1]Base!$A$11:$O$1264,15,FALSE)</f>
        <v>80866.889164086708</v>
      </c>
      <c r="G664">
        <f t="shared" si="10"/>
        <v>1</v>
      </c>
    </row>
    <row r="665" spans="1:7" x14ac:dyDescent="0.25">
      <c r="A665" s="36">
        <v>4791881</v>
      </c>
      <c r="B665" s="35" t="s">
        <v>208</v>
      </c>
      <c r="C665" s="63">
        <v>1</v>
      </c>
      <c r="D665" s="58">
        <f>+VLOOKUP(A665,[1]Base!$A$11:$O$1318,15,FALSE)</f>
        <v>2981.9535603715176</v>
      </c>
      <c r="E665" s="58">
        <f>+VLOOKUP(A665,[1]Base!$A$11:$R$1579,18,FALSE)</f>
        <v>3313.2817337461306</v>
      </c>
      <c r="F665">
        <f>+VLOOKUP(A665,[1]Base!$A$11:$O$1264,15,FALSE)</f>
        <v>2981.9535603715176</v>
      </c>
      <c r="G665">
        <f t="shared" si="10"/>
        <v>1</v>
      </c>
    </row>
    <row r="666" spans="1:7" x14ac:dyDescent="0.25">
      <c r="A666" s="36">
        <v>4791882</v>
      </c>
      <c r="B666" s="35" t="s">
        <v>209</v>
      </c>
      <c r="C666" s="63">
        <v>1</v>
      </c>
      <c r="D666" s="58">
        <f>+VLOOKUP(A666,[1]Base!$A$11:$O$1318,15,FALSE)</f>
        <v>2854.8294540185761</v>
      </c>
      <c r="E666" s="58">
        <f>+VLOOKUP(A666,[1]Base!$A$11:$R$1579,18,FALSE)</f>
        <v>3172.0327266873069</v>
      </c>
      <c r="F666">
        <f>+VLOOKUP(A666,[1]Base!$A$11:$O$1264,15,FALSE)</f>
        <v>2854.8294540185761</v>
      </c>
      <c r="G666">
        <f t="shared" si="10"/>
        <v>1</v>
      </c>
    </row>
    <row r="667" spans="1:7" x14ac:dyDescent="0.25">
      <c r="A667" s="36">
        <v>4791883</v>
      </c>
      <c r="B667" s="35" t="s">
        <v>210</v>
      </c>
      <c r="C667" s="63">
        <v>1</v>
      </c>
      <c r="D667" s="58">
        <f>+VLOOKUP(A667,[1]Base!$A$11:$O$1318,15,FALSE)</f>
        <v>2715.4811145510839</v>
      </c>
      <c r="E667" s="58">
        <f>+VLOOKUP(A667,[1]Base!$A$11:$R$1579,18,FALSE)</f>
        <v>3017.2012383900933</v>
      </c>
      <c r="F667">
        <f>+VLOOKUP(A667,[1]Base!$A$11:$O$1264,15,FALSE)</f>
        <v>2715.4811145510839</v>
      </c>
      <c r="G667">
        <f t="shared" si="10"/>
        <v>1</v>
      </c>
    </row>
    <row r="668" spans="1:7" x14ac:dyDescent="0.25">
      <c r="A668" s="36">
        <v>4791885</v>
      </c>
      <c r="B668" s="35" t="s">
        <v>211</v>
      </c>
      <c r="C668" s="63">
        <v>1</v>
      </c>
      <c r="D668" s="58">
        <f>+VLOOKUP(A668,[1]Base!$A$11:$O$1318,15,FALSE)</f>
        <v>2880.4402476780187</v>
      </c>
      <c r="E668" s="58">
        <f>+VLOOKUP(A668,[1]Base!$A$11:$R$1579,18,FALSE)</f>
        <v>3200.4891640866872</v>
      </c>
      <c r="F668">
        <f>+VLOOKUP(A668,[1]Base!$A$11:$O$1264,15,FALSE)</f>
        <v>2880.4402476780187</v>
      </c>
      <c r="G668">
        <f t="shared" si="10"/>
        <v>1</v>
      </c>
    </row>
    <row r="669" spans="1:7" x14ac:dyDescent="0.25">
      <c r="A669" s="36">
        <v>4791886</v>
      </c>
      <c r="B669" s="35" t="s">
        <v>212</v>
      </c>
      <c r="C669" s="63">
        <v>1</v>
      </c>
      <c r="D669" s="58">
        <f>+VLOOKUP(A669,[1]Base!$A$11:$O$1318,15,FALSE)</f>
        <v>2911.0868629969045</v>
      </c>
      <c r="E669" s="58">
        <f>+VLOOKUP(A669,[1]Base!$A$11:$R$1579,18,FALSE)</f>
        <v>3234.5409588854495</v>
      </c>
      <c r="F669">
        <f>+VLOOKUP(A669,[1]Base!$A$11:$O$1264,15,FALSE)</f>
        <v>2911.0868629969045</v>
      </c>
      <c r="G669">
        <f t="shared" si="10"/>
        <v>1</v>
      </c>
    </row>
    <row r="670" spans="1:7" x14ac:dyDescent="0.25">
      <c r="A670" s="36">
        <v>4791887</v>
      </c>
      <c r="B670" s="35" t="s">
        <v>213</v>
      </c>
      <c r="C670" s="63">
        <v>1</v>
      </c>
      <c r="D670" s="58">
        <f>+VLOOKUP(A670,[1]Base!$A$11:$O$1318,15,FALSE)</f>
        <v>2911.0868629969045</v>
      </c>
      <c r="E670" s="58">
        <f>+VLOOKUP(A670,[1]Base!$A$11:$R$1579,18,FALSE)</f>
        <v>3234.5409588854495</v>
      </c>
      <c r="F670">
        <f>+VLOOKUP(A670,[1]Base!$A$11:$O$1264,15,FALSE)</f>
        <v>2911.0868629969045</v>
      </c>
      <c r="G670">
        <f t="shared" si="10"/>
        <v>1</v>
      </c>
    </row>
    <row r="671" spans="1:7" x14ac:dyDescent="0.25">
      <c r="A671" s="36">
        <v>4791898</v>
      </c>
      <c r="B671" s="35" t="s">
        <v>214</v>
      </c>
      <c r="C671" s="63">
        <v>1</v>
      </c>
      <c r="D671" s="58">
        <f>+VLOOKUP(A671,[1]Base!$A$11:$O$1318,15,FALSE)</f>
        <v>4837.1986815603723</v>
      </c>
      <c r="E671" s="58">
        <f>+VLOOKUP(A671,[1]Base!$A$11:$R$1579,18,FALSE)</f>
        <v>5374.6652017337465</v>
      </c>
      <c r="F671">
        <f>+VLOOKUP(A671,[1]Base!$A$11:$O$1264,15,FALSE)</f>
        <v>4837.1986815603723</v>
      </c>
      <c r="G671">
        <f t="shared" si="10"/>
        <v>1</v>
      </c>
    </row>
    <row r="672" spans="1:7" x14ac:dyDescent="0.25">
      <c r="A672" s="36">
        <v>4791899</v>
      </c>
      <c r="B672" s="35" t="s">
        <v>215</v>
      </c>
      <c r="C672" s="63">
        <v>1</v>
      </c>
      <c r="D672" s="58">
        <f>+VLOOKUP(A672,[1]Base!$A$11:$O$1318,15,FALSE)</f>
        <v>5321.8354179566577</v>
      </c>
      <c r="E672" s="58">
        <f>+VLOOKUP(A672,[1]Base!$A$11:$R$1579,18,FALSE)</f>
        <v>5913.1504643962862</v>
      </c>
      <c r="F672">
        <f>+VLOOKUP(A672,[1]Base!$A$11:$O$1264,15,FALSE)</f>
        <v>5321.8354179566577</v>
      </c>
      <c r="G672">
        <f t="shared" si="10"/>
        <v>1</v>
      </c>
    </row>
    <row r="673" spans="1:7" x14ac:dyDescent="0.25">
      <c r="A673" s="38">
        <v>5100353</v>
      </c>
      <c r="B673" s="37" t="s">
        <v>1640</v>
      </c>
      <c r="C673" s="63"/>
      <c r="D673" s="58">
        <f>+VLOOKUP(A673,[1]Base!$A$11:$O$1318,15,FALSE)</f>
        <v>695.5013547794116</v>
      </c>
      <c r="E673" s="58">
        <f>+VLOOKUP(A673,[1]Base!$A$11:$R$1579,18,FALSE)</f>
        <v>869.37669347426447</v>
      </c>
      <c r="F673">
        <f>+VLOOKUP(A673,[1]Base!$A$11:$O$1264,15,FALSE)</f>
        <v>695.5013547794116</v>
      </c>
      <c r="G673">
        <f t="shared" si="10"/>
        <v>1</v>
      </c>
    </row>
    <row r="674" spans="1:7" x14ac:dyDescent="0.25">
      <c r="A674" s="38">
        <v>5100356</v>
      </c>
      <c r="B674" s="37" t="s">
        <v>1642</v>
      </c>
      <c r="C674" s="63"/>
      <c r="D674" s="58">
        <f>+VLOOKUP(A674,[1]Base!$A$11:$O$1318,15,FALSE)</f>
        <v>555.51481433823528</v>
      </c>
      <c r="E674" s="58">
        <f>+VLOOKUP(A674,[1]Base!$A$11:$R$1579,18,FALSE)</f>
        <v>694.3935179227941</v>
      </c>
      <c r="F674">
        <f>+VLOOKUP(A674,[1]Base!$A$11:$O$1264,15,FALSE)</f>
        <v>555.51481433823528</v>
      </c>
      <c r="G674">
        <f t="shared" si="10"/>
        <v>1</v>
      </c>
    </row>
    <row r="675" spans="1:7" x14ac:dyDescent="0.25">
      <c r="A675" s="36">
        <v>5100544</v>
      </c>
      <c r="B675" s="35" t="s">
        <v>216</v>
      </c>
      <c r="C675" s="63">
        <v>1</v>
      </c>
      <c r="D675" s="58">
        <f>+VLOOKUP(A675,[1]Base!$A$11:$O$1318,15,FALSE)</f>
        <v>14.24985211880805</v>
      </c>
      <c r="E675" s="58">
        <f>+VLOOKUP(A675,[1]Base!$A$11:$R$1579,18,FALSE)</f>
        <v>17.812315148510063</v>
      </c>
      <c r="F675">
        <f>+VLOOKUP(A675,[1]Base!$A$11:$O$1264,15,FALSE)</f>
        <v>14.24985211880805</v>
      </c>
      <c r="G675">
        <f t="shared" si="10"/>
        <v>1</v>
      </c>
    </row>
    <row r="676" spans="1:7" x14ac:dyDescent="0.25">
      <c r="A676" s="38">
        <v>5100636</v>
      </c>
      <c r="B676" s="37" t="s">
        <v>1643</v>
      </c>
      <c r="C676" s="63"/>
      <c r="D676" s="58">
        <f>+VLOOKUP(A676,[1]Base!$A$11:$O$1318,15,FALSE)</f>
        <v>37.930338488051461</v>
      </c>
      <c r="E676" s="58">
        <f>+VLOOKUP(A676,[1]Base!$A$11:$R$1579,18,FALSE)</f>
        <v>47.412923110064327</v>
      </c>
      <c r="F676">
        <f>+VLOOKUP(A676,[1]Base!$A$11:$O$1264,15,FALSE)</f>
        <v>37.930338488051461</v>
      </c>
      <c r="G676">
        <f t="shared" si="10"/>
        <v>1</v>
      </c>
    </row>
    <row r="677" spans="1:7" x14ac:dyDescent="0.25">
      <c r="A677" s="36">
        <v>5100750</v>
      </c>
      <c r="B677" s="35" t="s">
        <v>218</v>
      </c>
      <c r="C677" s="63">
        <v>100</v>
      </c>
      <c r="D677" s="58">
        <f>+VLOOKUP(A677,[1]Base!$A$11:$O$1318,15,FALSE)</f>
        <v>593.05902897923886</v>
      </c>
      <c r="E677" s="58">
        <f>+VLOOKUP(A677,[1]Base!$A$11:$R$1579,18,FALSE)</f>
        <v>741.32378622404849</v>
      </c>
      <c r="F677">
        <f>+VLOOKUP(A677,[1]Base!$A$11:$O$1264,15,FALSE)</f>
        <v>593.05902897923886</v>
      </c>
      <c r="G677">
        <f t="shared" si="10"/>
        <v>1</v>
      </c>
    </row>
    <row r="678" spans="1:7" x14ac:dyDescent="0.25">
      <c r="A678" s="36">
        <v>5100751</v>
      </c>
      <c r="B678" s="35" t="s">
        <v>219</v>
      </c>
      <c r="C678" s="63">
        <v>100</v>
      </c>
      <c r="D678" s="58">
        <f>+VLOOKUP(A678,[1]Base!$A$11:$O$1318,15,FALSE)</f>
        <v>593.05902897923886</v>
      </c>
      <c r="E678" s="58">
        <f>+VLOOKUP(A678,[1]Base!$A$11:$R$1579,18,FALSE)</f>
        <v>741.32378622404849</v>
      </c>
      <c r="F678">
        <f>+VLOOKUP(A678,[1]Base!$A$11:$O$1264,15,FALSE)</f>
        <v>593.05902897923886</v>
      </c>
      <c r="G678">
        <f t="shared" si="10"/>
        <v>1</v>
      </c>
    </row>
    <row r="679" spans="1:7" x14ac:dyDescent="0.25">
      <c r="A679" s="36">
        <v>5100752</v>
      </c>
      <c r="B679" s="35" t="s">
        <v>220</v>
      </c>
      <c r="C679" s="63">
        <v>100</v>
      </c>
      <c r="D679" s="58">
        <f>+VLOOKUP(A679,[1]Base!$A$11:$O$1318,15,FALSE)</f>
        <v>596.93504130622841</v>
      </c>
      <c r="E679" s="58">
        <f>+VLOOKUP(A679,[1]Base!$A$11:$R$1579,18,FALSE)</f>
        <v>746.16880163278552</v>
      </c>
      <c r="F679">
        <f>+VLOOKUP(A679,[1]Base!$A$11:$O$1264,15,FALSE)</f>
        <v>596.93504130622841</v>
      </c>
      <c r="G679">
        <f t="shared" si="10"/>
        <v>1</v>
      </c>
    </row>
    <row r="680" spans="1:7" x14ac:dyDescent="0.25">
      <c r="A680" s="36">
        <v>5100753</v>
      </c>
      <c r="B680" s="35" t="s">
        <v>221</v>
      </c>
      <c r="C680" s="63">
        <v>100</v>
      </c>
      <c r="D680" s="58">
        <f>+VLOOKUP(A680,[1]Base!$A$11:$O$1318,15,FALSE)</f>
        <v>593.05902897923886</v>
      </c>
      <c r="E680" s="58">
        <f>+VLOOKUP(A680,[1]Base!$A$11:$R$1579,18,FALSE)</f>
        <v>741.32378622404849</v>
      </c>
      <c r="F680">
        <f>+VLOOKUP(A680,[1]Base!$A$11:$O$1264,15,FALSE)</f>
        <v>593.05902897923886</v>
      </c>
      <c r="G680">
        <f t="shared" si="10"/>
        <v>1</v>
      </c>
    </row>
    <row r="681" spans="1:7" x14ac:dyDescent="0.25">
      <c r="A681" s="36">
        <v>5100754</v>
      </c>
      <c r="B681" s="35" t="s">
        <v>71</v>
      </c>
      <c r="C681" s="63">
        <v>100</v>
      </c>
      <c r="D681" s="58">
        <f>+VLOOKUP(A681,[1]Base!$A$11:$O$1318,15,FALSE)</f>
        <v>664.4592560553632</v>
      </c>
      <c r="E681" s="58">
        <f>+VLOOKUP(A681,[1]Base!$A$11:$R$1579,18,FALSE)</f>
        <v>830.57407006920391</v>
      </c>
      <c r="F681">
        <f>+VLOOKUP(A681,[1]Base!$A$11:$O$1264,15,FALSE)</f>
        <v>664.4592560553632</v>
      </c>
      <c r="G681">
        <f t="shared" si="10"/>
        <v>1</v>
      </c>
    </row>
    <row r="682" spans="1:7" x14ac:dyDescent="0.25">
      <c r="A682" s="36">
        <v>8500329</v>
      </c>
      <c r="B682" s="35" t="s">
        <v>229</v>
      </c>
      <c r="C682" s="63">
        <v>1</v>
      </c>
      <c r="D682" s="58">
        <f>+VLOOKUP(A682,[1]Base!$A$11:$O$1318,15,FALSE)</f>
        <v>37.515071691176459</v>
      </c>
      <c r="E682" s="58">
        <f>+VLOOKUP(A682,[1]Base!$A$11:$R$1579,18,FALSE)</f>
        <v>46.89383961397057</v>
      </c>
      <c r="F682">
        <f>+VLOOKUP(A682,[1]Base!$A$11:$O$1264,15,FALSE)</f>
        <v>37.515071691176459</v>
      </c>
      <c r="G682">
        <f t="shared" si="10"/>
        <v>1</v>
      </c>
    </row>
    <row r="683" spans="1:7" x14ac:dyDescent="0.25">
      <c r="A683" s="36">
        <v>8500457</v>
      </c>
      <c r="B683" s="35" t="s">
        <v>236</v>
      </c>
      <c r="C683" s="63">
        <v>1</v>
      </c>
      <c r="D683" s="58">
        <f>+VLOOKUP(A683,[1]Base!$A$11:$O$1318,15,FALSE)</f>
        <v>1999.9873891868515</v>
      </c>
      <c r="E683" s="58">
        <f>+VLOOKUP(A683,[1]Base!$A$11:$R$1579,18,FALSE)</f>
        <v>2499.984236483564</v>
      </c>
      <c r="F683">
        <f>+VLOOKUP(A683,[1]Base!$A$11:$O$1264,15,FALSE)</f>
        <v>1999.9873891868515</v>
      </c>
      <c r="G683">
        <f t="shared" si="10"/>
        <v>1</v>
      </c>
    </row>
    <row r="684" spans="1:7" x14ac:dyDescent="0.25">
      <c r="A684" s="36">
        <v>8500479</v>
      </c>
      <c r="B684" s="35" t="s">
        <v>240</v>
      </c>
      <c r="C684" s="63">
        <v>1</v>
      </c>
      <c r="D684" s="58">
        <f>+VLOOKUP(A684,[1]Base!$A$11:$O$1318,15,FALSE)</f>
        <v>514.69687500000009</v>
      </c>
      <c r="E684" s="58">
        <f>+VLOOKUP(A684,[1]Base!$A$11:$R$1579,18,FALSE)</f>
        <v>643.37109375000011</v>
      </c>
      <c r="F684">
        <f>+VLOOKUP(A684,[1]Base!$A$11:$O$1264,15,FALSE)</f>
        <v>514.69687500000009</v>
      </c>
      <c r="G684">
        <f t="shared" si="10"/>
        <v>1</v>
      </c>
    </row>
    <row r="685" spans="1:7" x14ac:dyDescent="0.25">
      <c r="A685" s="36">
        <v>8500529</v>
      </c>
      <c r="B685" s="35" t="s">
        <v>241</v>
      </c>
      <c r="C685" s="63">
        <v>1</v>
      </c>
      <c r="D685" s="58">
        <f>+VLOOKUP(A685,[1]Base!$A$11:$O$1318,15,FALSE)</f>
        <v>1824.3824036377709</v>
      </c>
      <c r="E685" s="58">
        <f>+VLOOKUP(A685,[1]Base!$A$11:$R$1579,18,FALSE)</f>
        <v>2280.4780045472135</v>
      </c>
      <c r="F685">
        <f>+VLOOKUP(A685,[1]Base!$A$11:$O$1264,15,FALSE)</f>
        <v>1824.3824036377709</v>
      </c>
      <c r="G685">
        <f t="shared" si="10"/>
        <v>1</v>
      </c>
    </row>
    <row r="686" spans="1:7" x14ac:dyDescent="0.25">
      <c r="A686" s="36">
        <v>8500543</v>
      </c>
      <c r="B686" s="35" t="s">
        <v>242</v>
      </c>
      <c r="C686" s="63" t="s">
        <v>243</v>
      </c>
      <c r="D686" s="58">
        <f>+VLOOKUP(A686,[1]Base!$A$11:$O$1318,15,FALSE)</f>
        <v>18.165772058823528</v>
      </c>
      <c r="E686" s="58">
        <f>+VLOOKUP(A686,[1]Base!$A$11:$R$1579,18,FALSE)</f>
        <v>22.707215073529408</v>
      </c>
      <c r="F686">
        <f>+VLOOKUP(A686,[1]Base!$A$11:$O$1264,15,FALSE)</f>
        <v>18.165772058823528</v>
      </c>
      <c r="G686">
        <f t="shared" si="10"/>
        <v>1</v>
      </c>
    </row>
    <row r="687" spans="1:7" x14ac:dyDescent="0.25">
      <c r="A687" s="36">
        <v>8500823</v>
      </c>
      <c r="B687" s="35" t="s">
        <v>250</v>
      </c>
      <c r="C687" s="63">
        <v>1</v>
      </c>
      <c r="D687" s="58">
        <f>+VLOOKUP(A687,[1]Base!$A$11:$O$1318,15,FALSE)</f>
        <v>9.0828860294117639</v>
      </c>
      <c r="E687" s="58">
        <f>+VLOOKUP(A687,[1]Base!$A$11:$R$1579,18,FALSE)</f>
        <v>11.353607536764704</v>
      </c>
      <c r="F687">
        <f>+VLOOKUP(A687,[1]Base!$A$11:$O$1264,15,FALSE)</f>
        <v>9.0828860294117639</v>
      </c>
      <c r="G687">
        <f t="shared" si="10"/>
        <v>1</v>
      </c>
    </row>
    <row r="688" spans="1:7" x14ac:dyDescent="0.25">
      <c r="A688" s="36">
        <v>8500834</v>
      </c>
      <c r="B688" s="35" t="s">
        <v>251</v>
      </c>
      <c r="C688" s="63">
        <v>1</v>
      </c>
      <c r="D688" s="58">
        <f>+VLOOKUP(A688,[1]Base!$A$11:$O$1318,15,FALSE)</f>
        <v>15.13814338235294</v>
      </c>
      <c r="E688" s="58">
        <f>+VLOOKUP(A688,[1]Base!$A$11:$R$1579,18,FALSE)</f>
        <v>18.922679227941174</v>
      </c>
      <c r="F688">
        <f>+VLOOKUP(A688,[1]Base!$A$11:$O$1264,15,FALSE)</f>
        <v>15.13814338235294</v>
      </c>
      <c r="G688">
        <f t="shared" si="10"/>
        <v>1</v>
      </c>
    </row>
    <row r="689" spans="1:7" x14ac:dyDescent="0.25">
      <c r="A689" s="36">
        <v>8500835</v>
      </c>
      <c r="B689" s="35" t="s">
        <v>252</v>
      </c>
      <c r="C689" s="63">
        <v>1</v>
      </c>
      <c r="D689" s="58">
        <f>+VLOOKUP(A689,[1]Base!$A$11:$O$1318,15,FALSE)</f>
        <v>6.0552573529411777</v>
      </c>
      <c r="E689" s="58">
        <f>+VLOOKUP(A689,[1]Base!$A$11:$R$1579,18,FALSE)</f>
        <v>7.5690716911764717</v>
      </c>
      <c r="F689">
        <f>+VLOOKUP(A689,[1]Base!$A$11:$O$1264,15,FALSE)</f>
        <v>6.0552573529411777</v>
      </c>
      <c r="G689">
        <f t="shared" si="10"/>
        <v>1</v>
      </c>
    </row>
    <row r="690" spans="1:7" x14ac:dyDescent="0.25">
      <c r="A690" s="36">
        <v>8500939</v>
      </c>
      <c r="B690" s="35" t="s">
        <v>261</v>
      </c>
      <c r="C690" s="63">
        <v>1</v>
      </c>
      <c r="D690" s="58">
        <f>+VLOOKUP(A690,[1]Base!$A$11:$O$1318,15,FALSE)</f>
        <v>51.552259191176461</v>
      </c>
      <c r="E690" s="58">
        <f>+VLOOKUP(A690,[1]Base!$A$11:$R$1579,18,FALSE)</f>
        <v>64.440323988970576</v>
      </c>
      <c r="F690">
        <f>+VLOOKUP(A690,[1]Base!$A$11:$O$1264,15,FALSE)</f>
        <v>51.552259191176461</v>
      </c>
      <c r="G690">
        <f t="shared" si="10"/>
        <v>1</v>
      </c>
    </row>
    <row r="691" spans="1:7" x14ac:dyDescent="0.25">
      <c r="A691" s="36">
        <v>8501475</v>
      </c>
      <c r="B691" s="35" t="s">
        <v>263</v>
      </c>
      <c r="C691" s="63">
        <v>1</v>
      </c>
      <c r="D691" s="58">
        <f>+VLOOKUP(A691,[1]Base!$A$11:$O$1318,15,FALSE)</f>
        <v>9803.7803521671831</v>
      </c>
      <c r="E691" s="58">
        <f>+VLOOKUP(A691,[1]Base!$A$11:$R$1579,18,FALSE)</f>
        <v>12254.725440208978</v>
      </c>
      <c r="F691">
        <f>+VLOOKUP(A691,[1]Base!$A$11:$O$1264,15,FALSE)</f>
        <v>9803.7803521671831</v>
      </c>
      <c r="G691">
        <f t="shared" si="10"/>
        <v>1</v>
      </c>
    </row>
    <row r="692" spans="1:7" x14ac:dyDescent="0.25">
      <c r="A692" s="36">
        <v>8501503</v>
      </c>
      <c r="B692" s="35" t="s">
        <v>264</v>
      </c>
      <c r="C692" s="63">
        <v>1</v>
      </c>
      <c r="D692" s="58">
        <f>+VLOOKUP(A692,[1]Base!$A$11:$O$1318,15,FALSE)</f>
        <v>512.91591695501722</v>
      </c>
      <c r="E692" s="58">
        <f>+VLOOKUP(A692,[1]Base!$A$11:$R$1579,18,FALSE)</f>
        <v>641.1448961937715</v>
      </c>
      <c r="F692">
        <f>+VLOOKUP(A692,[1]Base!$A$11:$O$1264,15,FALSE)</f>
        <v>512.91591695501722</v>
      </c>
      <c r="G692">
        <f t="shared" si="10"/>
        <v>1</v>
      </c>
    </row>
    <row r="693" spans="1:7" x14ac:dyDescent="0.25">
      <c r="A693" s="36">
        <v>8502058</v>
      </c>
      <c r="B693" s="35" t="s">
        <v>266</v>
      </c>
      <c r="C693" s="63">
        <v>1</v>
      </c>
      <c r="D693" s="58">
        <f>+VLOOKUP(A693,[1]Base!$A$11:$O$1318,15,FALSE)</f>
        <v>1327.1699351211071</v>
      </c>
      <c r="E693" s="58">
        <f>+VLOOKUP(A693,[1]Base!$A$11:$R$1579,18,FALSE)</f>
        <v>1658.9624189013837</v>
      </c>
      <c r="F693">
        <f>+VLOOKUP(A693,[1]Base!$A$11:$O$1264,15,FALSE)</f>
        <v>1327.1699351211071</v>
      </c>
      <c r="G693">
        <f t="shared" si="10"/>
        <v>1</v>
      </c>
    </row>
    <row r="694" spans="1:7" x14ac:dyDescent="0.25">
      <c r="A694" s="36">
        <v>8502256</v>
      </c>
      <c r="B694" s="35" t="s">
        <v>267</v>
      </c>
      <c r="C694" s="63">
        <v>1</v>
      </c>
      <c r="D694" s="58">
        <f>+VLOOKUP(A694,[1]Base!$A$11:$O$1318,15,FALSE)</f>
        <v>9.2666080422794099</v>
      </c>
      <c r="E694" s="58">
        <f>+VLOOKUP(A694,[1]Base!$A$11:$R$1579,18,FALSE)</f>
        <v>11.583260052849262</v>
      </c>
      <c r="F694">
        <f>+VLOOKUP(A694,[1]Base!$A$11:$O$1264,15,FALSE)</f>
        <v>9.2666080422794099</v>
      </c>
      <c r="G694">
        <f t="shared" si="10"/>
        <v>1</v>
      </c>
    </row>
    <row r="695" spans="1:7" x14ac:dyDescent="0.25">
      <c r="A695" s="36">
        <v>8502366</v>
      </c>
      <c r="B695" s="35" t="s">
        <v>269</v>
      </c>
      <c r="C695" s="63">
        <v>1</v>
      </c>
      <c r="D695" s="58">
        <f>+VLOOKUP(A695,[1]Base!$A$11:$O$1318,15,FALSE)</f>
        <v>81.745974264705879</v>
      </c>
      <c r="E695" s="58">
        <f>+VLOOKUP(A695,[1]Base!$A$11:$R$1579,18,FALSE)</f>
        <v>102.18246783088235</v>
      </c>
      <c r="F695">
        <f>+VLOOKUP(A695,[1]Base!$A$11:$O$1264,15,FALSE)</f>
        <v>81.745974264705879</v>
      </c>
      <c r="G695">
        <f t="shared" si="10"/>
        <v>1</v>
      </c>
    </row>
    <row r="696" spans="1:7" x14ac:dyDescent="0.25">
      <c r="A696" s="38">
        <v>8502453</v>
      </c>
      <c r="B696" s="37" t="s">
        <v>1648</v>
      </c>
      <c r="C696" s="63"/>
      <c r="D696" s="58">
        <f>+VLOOKUP(A696,[1]Base!$A$11:$O$1318,15,FALSE)</f>
        <v>45.579573529411753</v>
      </c>
      <c r="E696" s="58">
        <f>+VLOOKUP(A696,[1]Base!$A$11:$R$1579,18,FALSE)</f>
        <v>56.974466911764686</v>
      </c>
      <c r="F696">
        <f>+VLOOKUP(A696,[1]Base!$A$11:$O$1264,15,FALSE)</f>
        <v>45.579573529411753</v>
      </c>
      <c r="G696">
        <f t="shared" si="10"/>
        <v>1</v>
      </c>
    </row>
    <row r="697" spans="1:7" x14ac:dyDescent="0.25">
      <c r="A697" s="36">
        <v>8502705</v>
      </c>
      <c r="B697" s="35" t="s">
        <v>275</v>
      </c>
      <c r="C697" s="63">
        <v>1</v>
      </c>
      <c r="D697" s="58">
        <f>+VLOOKUP(A697,[1]Base!$A$11:$O$1318,15,FALSE)</f>
        <v>1937.057294117647</v>
      </c>
      <c r="E697" s="58">
        <f>+VLOOKUP(A697,[1]Base!$A$11:$R$1579,18,FALSE)</f>
        <v>2152.2858823529409</v>
      </c>
      <c r="F697">
        <f>+VLOOKUP(A697,[1]Base!$A$11:$O$1264,15,FALSE)</f>
        <v>1937.057294117647</v>
      </c>
      <c r="G697">
        <f t="shared" si="10"/>
        <v>1</v>
      </c>
    </row>
    <row r="698" spans="1:7" x14ac:dyDescent="0.25">
      <c r="A698" s="36">
        <v>8502796</v>
      </c>
      <c r="B698" s="35" t="s">
        <v>276</v>
      </c>
      <c r="C698" s="63">
        <v>1</v>
      </c>
      <c r="D698" s="58">
        <f>+VLOOKUP(A698,[1]Base!$A$11:$O$1318,15,FALSE)</f>
        <v>640.06822610294114</v>
      </c>
      <c r="E698" s="58">
        <f>+VLOOKUP(A698,[1]Base!$A$11:$R$1579,18,FALSE)</f>
        <v>800.0852826286764</v>
      </c>
      <c r="F698">
        <f>+VLOOKUP(A698,[1]Base!$A$11:$O$1264,15,FALSE)</f>
        <v>640.06822610294114</v>
      </c>
      <c r="G698">
        <f t="shared" si="10"/>
        <v>1</v>
      </c>
    </row>
    <row r="699" spans="1:7" x14ac:dyDescent="0.25">
      <c r="A699" s="36">
        <v>8503022</v>
      </c>
      <c r="B699" s="35" t="s">
        <v>277</v>
      </c>
      <c r="C699" s="63">
        <v>1</v>
      </c>
      <c r="D699" s="58">
        <f>+VLOOKUP(A699,[1]Base!$A$11:$O$1318,15,FALSE)</f>
        <v>5.6967585937499985</v>
      </c>
      <c r="E699" s="58">
        <f>+VLOOKUP(A699,[1]Base!$A$11:$R$1579,18,FALSE)</f>
        <v>7.1209482421874979</v>
      </c>
      <c r="F699">
        <f>+VLOOKUP(A699,[1]Base!$A$11:$O$1264,15,FALSE)</f>
        <v>5.6967585937499985</v>
      </c>
      <c r="G699">
        <f t="shared" si="10"/>
        <v>1</v>
      </c>
    </row>
    <row r="700" spans="1:7" x14ac:dyDescent="0.25">
      <c r="A700" s="36">
        <v>8503023</v>
      </c>
      <c r="B700" s="35" t="s">
        <v>278</v>
      </c>
      <c r="C700" s="63">
        <v>1</v>
      </c>
      <c r="D700" s="58">
        <f>+VLOOKUP(A700,[1]Base!$A$11:$O$1318,15,FALSE)</f>
        <v>4.156108455882352</v>
      </c>
      <c r="E700" s="58">
        <f>+VLOOKUP(A700,[1]Base!$A$11:$R$1579,18,FALSE)</f>
        <v>5.1951355698529396</v>
      </c>
      <c r="F700">
        <f>+VLOOKUP(A700,[1]Base!$A$11:$O$1264,15,FALSE)</f>
        <v>4.156108455882352</v>
      </c>
      <c r="G700">
        <f t="shared" si="10"/>
        <v>1</v>
      </c>
    </row>
    <row r="701" spans="1:7" x14ac:dyDescent="0.25">
      <c r="A701" s="36">
        <v>8504032</v>
      </c>
      <c r="B701" s="35" t="s">
        <v>284</v>
      </c>
      <c r="C701" s="63">
        <v>1</v>
      </c>
      <c r="D701" s="58">
        <f>+VLOOKUP(A701,[1]Base!$A$11:$O$1318,15,FALSE)</f>
        <v>220.7444068014706</v>
      </c>
      <c r="E701" s="58">
        <f>+VLOOKUP(A701,[1]Base!$A$11:$R$1579,18,FALSE)</f>
        <v>275.93050850183823</v>
      </c>
      <c r="F701">
        <f>+VLOOKUP(A701,[1]Base!$A$11:$O$1264,15,FALSE)</f>
        <v>220.7444068014706</v>
      </c>
      <c r="G701">
        <f t="shared" si="10"/>
        <v>1</v>
      </c>
    </row>
    <row r="702" spans="1:7" x14ac:dyDescent="0.25">
      <c r="A702" s="36">
        <v>8504059</v>
      </c>
      <c r="B702" s="35" t="s">
        <v>285</v>
      </c>
      <c r="C702" s="63">
        <v>1</v>
      </c>
      <c r="D702" s="58">
        <f>+VLOOKUP(A702,[1]Base!$A$11:$O$1318,15,FALSE)</f>
        <v>21.193400735294116</v>
      </c>
      <c r="E702" s="58">
        <f>+VLOOKUP(A702,[1]Base!$A$11:$R$1579,18,FALSE)</f>
        <v>26.491750919117642</v>
      </c>
      <c r="F702">
        <f>+VLOOKUP(A702,[1]Base!$A$11:$O$1264,15,FALSE)</f>
        <v>21.193400735294116</v>
      </c>
      <c r="G702">
        <f t="shared" si="10"/>
        <v>1</v>
      </c>
    </row>
    <row r="703" spans="1:7" x14ac:dyDescent="0.25">
      <c r="A703" s="36">
        <v>8504060</v>
      </c>
      <c r="B703" s="35" t="s">
        <v>286</v>
      </c>
      <c r="C703" s="63">
        <v>1</v>
      </c>
      <c r="D703" s="58">
        <f>+VLOOKUP(A703,[1]Base!$A$11:$O$1318,15,FALSE)</f>
        <v>27.248658088235295</v>
      </c>
      <c r="E703" s="58">
        <f>+VLOOKUP(A703,[1]Base!$A$11:$R$1579,18,FALSE)</f>
        <v>34.060822610294117</v>
      </c>
      <c r="F703">
        <f>+VLOOKUP(A703,[1]Base!$A$11:$O$1264,15,FALSE)</f>
        <v>27.248658088235295</v>
      </c>
      <c r="G703">
        <f t="shared" si="10"/>
        <v>1</v>
      </c>
    </row>
    <row r="704" spans="1:7" x14ac:dyDescent="0.25">
      <c r="A704" s="36">
        <v>8504062</v>
      </c>
      <c r="B704" s="35" t="s">
        <v>288</v>
      </c>
      <c r="C704" s="63">
        <v>1</v>
      </c>
      <c r="D704" s="58">
        <f>+VLOOKUP(A704,[1]Base!$A$11:$O$1318,15,FALSE)</f>
        <v>35.181045220588238</v>
      </c>
      <c r="E704" s="58">
        <f>+VLOOKUP(A704,[1]Base!$A$11:$R$1579,18,FALSE)</f>
        <v>43.976306525735296</v>
      </c>
      <c r="F704">
        <f>+VLOOKUP(A704,[1]Base!$A$11:$O$1264,15,FALSE)</f>
        <v>35.181045220588238</v>
      </c>
      <c r="G704">
        <f t="shared" si="10"/>
        <v>1</v>
      </c>
    </row>
    <row r="705" spans="1:7" x14ac:dyDescent="0.25">
      <c r="A705" s="36">
        <v>8504064</v>
      </c>
      <c r="B705" s="35" t="s">
        <v>290</v>
      </c>
      <c r="C705" s="63">
        <v>1</v>
      </c>
      <c r="D705" s="58">
        <f>+VLOOKUP(A705,[1]Base!$A$11:$O$1318,15,FALSE)</f>
        <v>6.3362212941176477</v>
      </c>
      <c r="E705" s="58">
        <f>+VLOOKUP(A705,[1]Base!$A$11:$R$1579,18,FALSE)</f>
        <v>7.9202766176470591</v>
      </c>
      <c r="F705">
        <f>+VLOOKUP(A705,[1]Base!$A$11:$O$1264,15,FALSE)</f>
        <v>6.3362212941176477</v>
      </c>
      <c r="G705">
        <f t="shared" si="10"/>
        <v>1</v>
      </c>
    </row>
    <row r="706" spans="1:7" x14ac:dyDescent="0.25">
      <c r="A706" s="36">
        <v>8504083</v>
      </c>
      <c r="B706" s="35" t="s">
        <v>291</v>
      </c>
      <c r="C706" s="63">
        <v>1</v>
      </c>
      <c r="D706" s="58">
        <f>+VLOOKUP(A706,[1]Base!$A$11:$O$1318,15,FALSE)</f>
        <v>57.524944852941175</v>
      </c>
      <c r="E706" s="58">
        <f>+VLOOKUP(A706,[1]Base!$A$11:$R$1579,18,FALSE)</f>
        <v>71.906181066176458</v>
      </c>
      <c r="F706">
        <f>+VLOOKUP(A706,[1]Base!$A$11:$O$1264,15,FALSE)</f>
        <v>57.524944852941175</v>
      </c>
      <c r="G706">
        <f t="shared" si="10"/>
        <v>1</v>
      </c>
    </row>
    <row r="707" spans="1:7" x14ac:dyDescent="0.25">
      <c r="A707" s="36">
        <v>8504084</v>
      </c>
      <c r="B707" s="35" t="s">
        <v>292</v>
      </c>
      <c r="C707" s="63">
        <v>1</v>
      </c>
      <c r="D707" s="58">
        <f>+VLOOKUP(A707,[1]Base!$A$11:$O$1318,15,FALSE)</f>
        <v>38.17839761029412</v>
      </c>
      <c r="E707" s="58">
        <f>+VLOOKUP(A707,[1]Base!$A$11:$R$1579,18,FALSE)</f>
        <v>47.722997012867644</v>
      </c>
      <c r="F707">
        <f>+VLOOKUP(A707,[1]Base!$A$11:$O$1264,15,FALSE)</f>
        <v>38.17839761029412</v>
      </c>
      <c r="G707">
        <f t="shared" si="10"/>
        <v>1</v>
      </c>
    </row>
    <row r="708" spans="1:7" x14ac:dyDescent="0.25">
      <c r="A708" s="38">
        <v>8507233</v>
      </c>
      <c r="B708" s="37" t="s">
        <v>1658</v>
      </c>
      <c r="C708" s="63"/>
      <c r="D708" s="58">
        <f>+VLOOKUP(A708,[1]Base!$A$11:$O$1318,15,FALSE)</f>
        <v>107.48081801470587</v>
      </c>
      <c r="E708" s="58">
        <f>+VLOOKUP(A708,[1]Base!$A$11:$R$1579,18,FALSE)</f>
        <v>134.35102251838234</v>
      </c>
      <c r="F708">
        <f>+VLOOKUP(A708,[1]Base!$A$11:$O$1264,15,FALSE)</f>
        <v>107.48081801470587</v>
      </c>
      <c r="G708">
        <f t="shared" ref="G708:G771" si="11">+F708/D708</f>
        <v>1</v>
      </c>
    </row>
    <row r="709" spans="1:7" x14ac:dyDescent="0.25">
      <c r="A709" s="36">
        <v>8507263</v>
      </c>
      <c r="B709" s="35" t="s">
        <v>309</v>
      </c>
      <c r="C709" s="63">
        <v>1</v>
      </c>
      <c r="D709" s="58">
        <f>+VLOOKUP(A709,[1]Base!$A$11:$O$1318,15,FALSE)</f>
        <v>604.75506617647056</v>
      </c>
      <c r="E709" s="58">
        <f>+VLOOKUP(A709,[1]Base!$A$11:$R$1579,18,FALSE)</f>
        <v>755.94383272058815</v>
      </c>
      <c r="F709">
        <f>+VLOOKUP(A709,[1]Base!$A$11:$O$1264,15,FALSE)</f>
        <v>604.75506617647056</v>
      </c>
      <c r="G709">
        <f t="shared" si="11"/>
        <v>1</v>
      </c>
    </row>
    <row r="710" spans="1:7" x14ac:dyDescent="0.25">
      <c r="A710" s="38">
        <v>8509298</v>
      </c>
      <c r="B710" s="37" t="s">
        <v>38</v>
      </c>
      <c r="C710" s="63">
        <v>1</v>
      </c>
      <c r="D710" s="58">
        <f>+VLOOKUP(A710,[1]Base!$A$11:$O$1318,15,FALSE)</f>
        <v>1345.0928492647058</v>
      </c>
      <c r="E710" s="58">
        <f>+VLOOKUP(A710,[1]Base!$A$11:$R$1579,18,FALSE)</f>
        <v>1681.3660615808822</v>
      </c>
      <c r="F710">
        <f>+VLOOKUP(A710,[1]Base!$A$11:$O$1264,15,FALSE)</f>
        <v>1345.0928492647058</v>
      </c>
      <c r="G710">
        <f t="shared" si="11"/>
        <v>1</v>
      </c>
    </row>
    <row r="711" spans="1:7" x14ac:dyDescent="0.25">
      <c r="A711" s="36">
        <v>8509901</v>
      </c>
      <c r="B711" s="35" t="s">
        <v>332</v>
      </c>
      <c r="C711" s="63">
        <v>1</v>
      </c>
      <c r="D711" s="58">
        <f>+VLOOKUP(A711,[1]Base!$A$11:$O$1318,15,FALSE)</f>
        <v>11.141673529411763</v>
      </c>
      <c r="E711" s="58">
        <f>+VLOOKUP(A711,[1]Base!$A$11:$R$1579,18,FALSE)</f>
        <v>13.927091911764704</v>
      </c>
      <c r="F711">
        <f>+VLOOKUP(A711,[1]Base!$A$11:$O$1264,15,FALSE)</f>
        <v>11.141673529411763</v>
      </c>
      <c r="G711">
        <f t="shared" si="11"/>
        <v>1</v>
      </c>
    </row>
    <row r="712" spans="1:7" x14ac:dyDescent="0.25">
      <c r="A712" s="40">
        <v>8509988</v>
      </c>
      <c r="B712" s="35" t="s">
        <v>334</v>
      </c>
      <c r="C712" s="63">
        <v>1</v>
      </c>
      <c r="D712" s="58">
        <f>+VLOOKUP(A712,[1]Base!$A$11:$O$1318,15,FALSE)</f>
        <v>5330.1872374567483</v>
      </c>
      <c r="E712" s="58">
        <f>+VLOOKUP(A712,[1]Base!$A$11:$R$1579,18,FALSE)</f>
        <v>6662.734046820935</v>
      </c>
      <c r="F712">
        <f>+VLOOKUP(A712,[1]Base!$A$11:$O$1264,15,FALSE)</f>
        <v>5330.1872374567483</v>
      </c>
      <c r="G712">
        <f t="shared" si="11"/>
        <v>1</v>
      </c>
    </row>
    <row r="713" spans="1:7" x14ac:dyDescent="0.25">
      <c r="A713" s="36">
        <v>8510176</v>
      </c>
      <c r="B713" s="35" t="s">
        <v>337</v>
      </c>
      <c r="C713" s="63">
        <v>1</v>
      </c>
      <c r="D713" s="58">
        <f>+VLOOKUP(A713,[1]Base!$A$11:$O$1318,15,FALSE)</f>
        <v>5.6967585937499985</v>
      </c>
      <c r="E713" s="58">
        <f>+VLOOKUP(A713,[1]Base!$A$11:$R$1579,18,FALSE)</f>
        <v>7.1209482421874979</v>
      </c>
      <c r="F713">
        <f>+VLOOKUP(A713,[1]Base!$A$11:$O$1264,15,FALSE)</f>
        <v>5.6967585937499985</v>
      </c>
      <c r="G713">
        <f t="shared" si="11"/>
        <v>1</v>
      </c>
    </row>
    <row r="714" spans="1:7" x14ac:dyDescent="0.25">
      <c r="A714" s="36">
        <v>8510270</v>
      </c>
      <c r="B714" s="35" t="s">
        <v>340</v>
      </c>
      <c r="C714" s="63">
        <v>1</v>
      </c>
      <c r="D714" s="58">
        <f>+VLOOKUP(A714,[1]Base!$A$11:$O$1318,15,FALSE)</f>
        <v>729.95576911764715</v>
      </c>
      <c r="E714" s="58">
        <f>+VLOOKUP(A714,[1]Base!$A$11:$R$1579,18,FALSE)</f>
        <v>912.44471139705888</v>
      </c>
      <c r="F714">
        <f>+VLOOKUP(A714,[1]Base!$A$11:$O$1264,15,FALSE)</f>
        <v>729.95576911764715</v>
      </c>
      <c r="G714">
        <f t="shared" si="11"/>
        <v>1</v>
      </c>
    </row>
    <row r="715" spans="1:7" x14ac:dyDescent="0.25">
      <c r="A715" s="36">
        <v>8511124</v>
      </c>
      <c r="B715" s="35" t="s">
        <v>344</v>
      </c>
      <c r="C715" s="63">
        <v>1</v>
      </c>
      <c r="D715" s="58">
        <f>+VLOOKUP(A715,[1]Base!$A$11:$O$1318,15,FALSE)</f>
        <v>604.09655693933826</v>
      </c>
      <c r="E715" s="58">
        <f>+VLOOKUP(A715,[1]Base!$A$11:$R$1579,18,FALSE)</f>
        <v>755.12069617417274</v>
      </c>
      <c r="F715">
        <f>+VLOOKUP(A715,[1]Base!$A$11:$O$1264,15,FALSE)</f>
        <v>604.09655693933826</v>
      </c>
      <c r="G715">
        <f t="shared" si="11"/>
        <v>1</v>
      </c>
    </row>
    <row r="716" spans="1:7" x14ac:dyDescent="0.25">
      <c r="A716" s="36">
        <v>8511510</v>
      </c>
      <c r="B716" s="35" t="s">
        <v>347</v>
      </c>
      <c r="C716" s="63">
        <v>1</v>
      </c>
      <c r="D716" s="58">
        <f>+VLOOKUP(A716,[1]Base!$A$11:$O$1318,15,FALSE)</f>
        <v>98.920886029411747</v>
      </c>
      <c r="E716" s="58">
        <f>+VLOOKUP(A716,[1]Base!$A$11:$R$1579,18,FALSE)</f>
        <v>123.65110753676468</v>
      </c>
      <c r="F716">
        <f>+VLOOKUP(A716,[1]Base!$A$11:$O$1264,15,FALSE)</f>
        <v>98.920886029411747</v>
      </c>
      <c r="G716">
        <f t="shared" si="11"/>
        <v>1</v>
      </c>
    </row>
    <row r="717" spans="1:7" x14ac:dyDescent="0.25">
      <c r="A717" s="36">
        <v>8511838</v>
      </c>
      <c r="B717" s="35" t="s">
        <v>352</v>
      </c>
      <c r="C717" s="63">
        <v>1</v>
      </c>
      <c r="D717" s="58">
        <f>+VLOOKUP(A717,[1]Base!$A$11:$O$1318,15,FALSE)</f>
        <v>3998.3786352022062</v>
      </c>
      <c r="E717" s="58">
        <f>+VLOOKUP(A717,[1]Base!$A$11:$R$1579,18,FALSE)</f>
        <v>4997.973294002757</v>
      </c>
      <c r="F717">
        <f>+VLOOKUP(A717,[1]Base!$A$11:$O$1264,15,FALSE)</f>
        <v>3998.3786352022062</v>
      </c>
      <c r="G717">
        <f t="shared" si="11"/>
        <v>1</v>
      </c>
    </row>
    <row r="718" spans="1:7" x14ac:dyDescent="0.25">
      <c r="A718" s="36">
        <v>8511880</v>
      </c>
      <c r="B718" s="35" t="s">
        <v>353</v>
      </c>
      <c r="C718" s="63">
        <v>1</v>
      </c>
      <c r="D718" s="58">
        <f>+VLOOKUP(A718,[1]Base!$A$11:$O$1318,15,FALSE)</f>
        <v>266.43132352941177</v>
      </c>
      <c r="E718" s="58">
        <f>+VLOOKUP(A718,[1]Base!$A$11:$R$1579,18,FALSE)</f>
        <v>333.03915441176468</v>
      </c>
      <c r="F718">
        <f>+VLOOKUP(A718,[1]Base!$A$11:$O$1264,15,FALSE)</f>
        <v>266.43132352941177</v>
      </c>
      <c r="G718">
        <f t="shared" si="11"/>
        <v>1</v>
      </c>
    </row>
    <row r="719" spans="1:7" x14ac:dyDescent="0.25">
      <c r="A719" s="36">
        <v>8512005</v>
      </c>
      <c r="B719" s="35" t="s">
        <v>356</v>
      </c>
      <c r="C719" s="63">
        <v>1</v>
      </c>
      <c r="D719" s="58">
        <f>+VLOOKUP(A719,[1]Base!$A$11:$O$1318,15,FALSE)</f>
        <v>5.0846778250773994</v>
      </c>
      <c r="E719" s="58">
        <f>+VLOOKUP(A719,[1]Base!$A$11:$R$1579,18,FALSE)</f>
        <v>6.3558472813467493</v>
      </c>
      <c r="F719">
        <f>+VLOOKUP(A719,[1]Base!$A$11:$O$1264,15,FALSE)</f>
        <v>5.0846778250773994</v>
      </c>
      <c r="G719">
        <f t="shared" si="11"/>
        <v>1</v>
      </c>
    </row>
    <row r="720" spans="1:7" x14ac:dyDescent="0.25">
      <c r="A720" s="36">
        <v>8512008</v>
      </c>
      <c r="B720" s="35" t="s">
        <v>358</v>
      </c>
      <c r="C720" s="63">
        <v>100</v>
      </c>
      <c r="D720" s="58">
        <f>+VLOOKUP(A720,[1]Base!$A$11:$O$1318,15,FALSE)</f>
        <v>99.086029411764699</v>
      </c>
      <c r="E720" s="58">
        <f>+VLOOKUP(A720,[1]Base!$A$11:$R$1579,18,FALSE)</f>
        <v>123.85753676470587</v>
      </c>
      <c r="F720">
        <f>+VLOOKUP(A720,[1]Base!$A$11:$O$1264,15,FALSE)</f>
        <v>99.086029411764699</v>
      </c>
      <c r="G720">
        <f t="shared" si="11"/>
        <v>1</v>
      </c>
    </row>
    <row r="721" spans="1:7" x14ac:dyDescent="0.25">
      <c r="A721" s="36">
        <v>8512168</v>
      </c>
      <c r="B721" s="35" t="s">
        <v>361</v>
      </c>
      <c r="C721" s="63">
        <v>1</v>
      </c>
      <c r="D721" s="58">
        <f>+VLOOKUP(A721,[1]Base!$A$11:$O$1318,15,FALSE)</f>
        <v>10882.976420955882</v>
      </c>
      <c r="E721" s="58">
        <f>+VLOOKUP(A721,[1]Base!$A$11:$R$1579,18,FALSE)</f>
        <v>13603.720526194851</v>
      </c>
      <c r="F721">
        <f>+VLOOKUP(A721,[1]Base!$A$11:$O$1264,15,FALSE)</f>
        <v>10882.976420955882</v>
      </c>
      <c r="G721">
        <f t="shared" si="11"/>
        <v>1</v>
      </c>
    </row>
    <row r="722" spans="1:7" x14ac:dyDescent="0.25">
      <c r="A722" s="38">
        <v>8512711</v>
      </c>
      <c r="B722" s="37" t="s">
        <v>1678</v>
      </c>
      <c r="C722" s="63"/>
      <c r="D722" s="58">
        <f>+VLOOKUP(A722,[1]Base!$A$11:$O$1318,15,FALSE)</f>
        <v>3938.6971930147051</v>
      </c>
      <c r="E722" s="58">
        <f>+VLOOKUP(A722,[1]Base!$A$11:$R$1579,18,FALSE)</f>
        <v>4923.3714912683809</v>
      </c>
      <c r="F722">
        <f>+VLOOKUP(A722,[1]Base!$A$11:$O$1264,15,FALSE)</f>
        <v>3938.6971930147051</v>
      </c>
      <c r="G722">
        <f t="shared" si="11"/>
        <v>1</v>
      </c>
    </row>
    <row r="723" spans="1:7" x14ac:dyDescent="0.25">
      <c r="A723" s="38">
        <v>8512925</v>
      </c>
      <c r="B723" s="37" t="s">
        <v>1680</v>
      </c>
      <c r="C723" s="63"/>
      <c r="D723" s="58">
        <f>+VLOOKUP(A723,[1]Base!$A$11:$O$1318,15,FALSE)</f>
        <v>151.79429227941174</v>
      </c>
      <c r="E723" s="58">
        <f>+VLOOKUP(A723,[1]Base!$A$11:$R$1579,18,FALSE)</f>
        <v>189.74286534926466</v>
      </c>
      <c r="F723">
        <f>+VLOOKUP(A723,[1]Base!$A$11:$O$1264,15,FALSE)</f>
        <v>151.79429227941174</v>
      </c>
      <c r="G723">
        <f t="shared" si="11"/>
        <v>1</v>
      </c>
    </row>
    <row r="724" spans="1:7" x14ac:dyDescent="0.25">
      <c r="A724" s="38">
        <v>8512926</v>
      </c>
      <c r="B724" s="37" t="s">
        <v>1681</v>
      </c>
      <c r="C724" s="63"/>
      <c r="D724" s="58">
        <f>+VLOOKUP(A724,[1]Base!$A$11:$O$1318,15,FALSE)</f>
        <v>487.9711709558822</v>
      </c>
      <c r="E724" s="58">
        <f>+VLOOKUP(A724,[1]Base!$A$11:$R$1579,18,FALSE)</f>
        <v>609.96396369485274</v>
      </c>
      <c r="F724">
        <f>+VLOOKUP(A724,[1]Base!$A$11:$O$1264,15,FALSE)</f>
        <v>487.9711709558822</v>
      </c>
      <c r="G724">
        <f t="shared" si="11"/>
        <v>1</v>
      </c>
    </row>
    <row r="725" spans="1:7" x14ac:dyDescent="0.25">
      <c r="A725" s="36">
        <v>8513219</v>
      </c>
      <c r="B725" s="35" t="s">
        <v>374</v>
      </c>
      <c r="C725" s="63">
        <v>1</v>
      </c>
      <c r="D725" s="58">
        <f>+VLOOKUP(A725,[1]Base!$A$11:$O$1318,15,FALSE)</f>
        <v>14574.701685661763</v>
      </c>
      <c r="E725" s="58">
        <f>+VLOOKUP(A725,[1]Base!$A$11:$R$1579,18,FALSE)</f>
        <v>18218.377107077202</v>
      </c>
      <c r="F725">
        <f>+VLOOKUP(A725,[1]Base!$A$11:$O$1264,15,FALSE)</f>
        <v>14574.701685661763</v>
      </c>
      <c r="G725">
        <f t="shared" si="11"/>
        <v>1</v>
      </c>
    </row>
    <row r="726" spans="1:7" x14ac:dyDescent="0.25">
      <c r="A726" s="36">
        <v>8513452</v>
      </c>
      <c r="B726" s="35" t="s">
        <v>375</v>
      </c>
      <c r="C726" s="63">
        <v>100</v>
      </c>
      <c r="D726" s="58">
        <f>+VLOOKUP(A726,[1]Base!$A$11:$O$1318,15,FALSE)</f>
        <v>765.16433823529405</v>
      </c>
      <c r="E726" s="58">
        <f>+VLOOKUP(A726,[1]Base!$A$11:$R$1579,18,FALSE)</f>
        <v>956.45542279411757</v>
      </c>
      <c r="F726">
        <f>+VLOOKUP(A726,[1]Base!$A$11:$O$1264,15,FALSE)</f>
        <v>765.16433823529405</v>
      </c>
      <c r="G726">
        <f t="shared" si="11"/>
        <v>1</v>
      </c>
    </row>
    <row r="727" spans="1:7" x14ac:dyDescent="0.25">
      <c r="A727" s="36">
        <v>8513453</v>
      </c>
      <c r="B727" s="35" t="s">
        <v>376</v>
      </c>
      <c r="C727" s="63">
        <v>100</v>
      </c>
      <c r="D727" s="58">
        <f>+VLOOKUP(A727,[1]Base!$A$11:$O$1318,15,FALSE)</f>
        <v>765.16433823529405</v>
      </c>
      <c r="E727" s="58">
        <f>+VLOOKUP(A727,[1]Base!$A$11:$R$1579,18,FALSE)</f>
        <v>956.45542279411757</v>
      </c>
      <c r="F727">
        <f>+VLOOKUP(A727,[1]Base!$A$11:$O$1264,15,FALSE)</f>
        <v>765.16433823529405</v>
      </c>
      <c r="G727">
        <f t="shared" si="11"/>
        <v>1</v>
      </c>
    </row>
    <row r="728" spans="1:7" x14ac:dyDescent="0.25">
      <c r="A728" s="36">
        <v>8513454</v>
      </c>
      <c r="B728" s="35" t="s">
        <v>377</v>
      </c>
      <c r="C728" s="63">
        <v>100</v>
      </c>
      <c r="D728" s="58">
        <f>+VLOOKUP(A728,[1]Base!$A$11:$O$1318,15,FALSE)</f>
        <v>810.17400519031139</v>
      </c>
      <c r="E728" s="58">
        <f>+VLOOKUP(A728,[1]Base!$A$11:$R$1579,18,FALSE)</f>
        <v>1012.7175064878892</v>
      </c>
      <c r="F728">
        <f>+VLOOKUP(A728,[1]Base!$A$11:$O$1264,15,FALSE)</f>
        <v>810.17400519031139</v>
      </c>
      <c r="G728">
        <f t="shared" si="11"/>
        <v>1</v>
      </c>
    </row>
    <row r="729" spans="1:7" x14ac:dyDescent="0.25">
      <c r="A729" s="36">
        <v>8513456</v>
      </c>
      <c r="B729" s="35" t="s">
        <v>379</v>
      </c>
      <c r="C729" s="63">
        <v>100</v>
      </c>
      <c r="D729" s="58">
        <f>+VLOOKUP(A729,[1]Base!$A$11:$O$1318,15,FALSE)</f>
        <v>810.17400519031139</v>
      </c>
      <c r="E729" s="58">
        <f>+VLOOKUP(A729,[1]Base!$A$11:$R$1579,18,FALSE)</f>
        <v>1012.7175064878892</v>
      </c>
      <c r="F729">
        <f>+VLOOKUP(A729,[1]Base!$A$11:$O$1264,15,FALSE)</f>
        <v>810.17400519031139</v>
      </c>
      <c r="G729">
        <f t="shared" si="11"/>
        <v>1</v>
      </c>
    </row>
    <row r="730" spans="1:7" x14ac:dyDescent="0.25">
      <c r="A730" s="36">
        <v>8513457</v>
      </c>
      <c r="B730" s="35" t="s">
        <v>380</v>
      </c>
      <c r="C730" s="63">
        <v>100</v>
      </c>
      <c r="D730" s="58">
        <f>+VLOOKUP(A730,[1]Base!$A$11:$O$1318,15,FALSE)</f>
        <v>810.17400519031139</v>
      </c>
      <c r="E730" s="58">
        <f>+VLOOKUP(A730,[1]Base!$A$11:$R$1579,18,FALSE)</f>
        <v>1012.7175064878892</v>
      </c>
      <c r="F730">
        <f>+VLOOKUP(A730,[1]Base!$A$11:$O$1264,15,FALSE)</f>
        <v>810.17400519031139</v>
      </c>
      <c r="G730">
        <f t="shared" si="11"/>
        <v>1</v>
      </c>
    </row>
    <row r="731" spans="1:7" x14ac:dyDescent="0.25">
      <c r="A731" s="36">
        <v>8513525</v>
      </c>
      <c r="B731" s="35" t="s">
        <v>381</v>
      </c>
      <c r="C731" s="63">
        <v>1</v>
      </c>
      <c r="D731" s="58">
        <f>+VLOOKUP(A731,[1]Base!$A$11:$O$1318,15,FALSE)</f>
        <v>2382.0831948529408</v>
      </c>
      <c r="E731" s="58">
        <f>+VLOOKUP(A731,[1]Base!$A$11:$R$1579,18,FALSE)</f>
        <v>2977.6039935661756</v>
      </c>
      <c r="F731">
        <f>+VLOOKUP(A731,[1]Base!$A$11:$O$1264,15,FALSE)</f>
        <v>2382.0831948529408</v>
      </c>
      <c r="G731">
        <f t="shared" si="11"/>
        <v>1</v>
      </c>
    </row>
    <row r="732" spans="1:7" x14ac:dyDescent="0.25">
      <c r="A732" s="36">
        <v>8514230</v>
      </c>
      <c r="B732" s="35" t="s">
        <v>49</v>
      </c>
      <c r="C732" s="63">
        <v>1</v>
      </c>
      <c r="D732" s="58">
        <f>+VLOOKUP(A732,[1]Base!$A$11:$O$1318,15,FALSE)</f>
        <v>21.193400735294116</v>
      </c>
      <c r="E732" s="58">
        <f>+VLOOKUP(A732,[1]Base!$A$11:$R$1579,18,FALSE)</f>
        <v>26.491750919117642</v>
      </c>
      <c r="F732">
        <f>+VLOOKUP(A732,[1]Base!$A$11:$O$1264,15,FALSE)</f>
        <v>21.193400735294116</v>
      </c>
      <c r="G732">
        <f t="shared" si="11"/>
        <v>1</v>
      </c>
    </row>
    <row r="733" spans="1:7" x14ac:dyDescent="0.25">
      <c r="A733" s="36">
        <v>8514247</v>
      </c>
      <c r="B733" s="35" t="s">
        <v>390</v>
      </c>
      <c r="C733" s="63">
        <v>1</v>
      </c>
      <c r="D733" s="58">
        <f>+VLOOKUP(A733,[1]Base!$A$11:$O$1318,15,FALSE)</f>
        <v>60.55257352941176</v>
      </c>
      <c r="E733" s="58">
        <f>+VLOOKUP(A733,[1]Base!$A$11:$R$1579,18,FALSE)</f>
        <v>75.690716911764696</v>
      </c>
      <c r="F733">
        <f>+VLOOKUP(A733,[1]Base!$A$11:$O$1264,15,FALSE)</f>
        <v>60.55257352941176</v>
      </c>
      <c r="G733">
        <f t="shared" si="11"/>
        <v>1</v>
      </c>
    </row>
    <row r="734" spans="1:7" x14ac:dyDescent="0.25">
      <c r="A734" s="36">
        <v>8514723</v>
      </c>
      <c r="B734" s="35" t="s">
        <v>393</v>
      </c>
      <c r="C734" s="63">
        <v>1</v>
      </c>
      <c r="D734" s="58">
        <f>+VLOOKUP(A734,[1]Base!$A$11:$O$1318,15,FALSE)</f>
        <v>5.6967585937499985</v>
      </c>
      <c r="E734" s="58">
        <f>+VLOOKUP(A734,[1]Base!$A$11:$R$1579,18,FALSE)</f>
        <v>7.1209482421874979</v>
      </c>
      <c r="F734">
        <f>+VLOOKUP(A734,[1]Base!$A$11:$O$1264,15,FALSE)</f>
        <v>5.6967585937499985</v>
      </c>
      <c r="G734">
        <f t="shared" si="11"/>
        <v>1</v>
      </c>
    </row>
    <row r="735" spans="1:7" x14ac:dyDescent="0.25">
      <c r="A735" s="36">
        <v>8514751</v>
      </c>
      <c r="B735" s="35" t="s">
        <v>394</v>
      </c>
      <c r="C735" s="63">
        <v>1</v>
      </c>
      <c r="D735" s="58">
        <f>+VLOOKUP(A735,[1]Base!$A$11:$O$1318,15,FALSE)</f>
        <v>188.26345588235296</v>
      </c>
      <c r="E735" s="58">
        <f>+VLOOKUP(A735,[1]Base!$A$11:$R$1579,18,FALSE)</f>
        <v>235.32931985294118</v>
      </c>
      <c r="F735">
        <f>+VLOOKUP(A735,[1]Base!$A$11:$O$1264,15,FALSE)</f>
        <v>188.26345588235296</v>
      </c>
      <c r="G735">
        <f t="shared" si="11"/>
        <v>1</v>
      </c>
    </row>
    <row r="736" spans="1:7" x14ac:dyDescent="0.25">
      <c r="A736" s="36">
        <v>8515452</v>
      </c>
      <c r="B736" s="35" t="s">
        <v>397</v>
      </c>
      <c r="C736" s="63">
        <v>1</v>
      </c>
      <c r="D736" s="58">
        <f>+VLOOKUP(A736,[1]Base!$A$11:$O$1318,15,FALSE)</f>
        <v>2204.1136764705884</v>
      </c>
      <c r="E736" s="58">
        <f>+VLOOKUP(A736,[1]Base!$A$11:$R$1579,18,FALSE)</f>
        <v>2755.1420955882354</v>
      </c>
      <c r="F736">
        <f>+VLOOKUP(A736,[1]Base!$A$11:$O$1264,15,FALSE)</f>
        <v>2204.1136764705884</v>
      </c>
      <c r="G736">
        <f t="shared" si="11"/>
        <v>1</v>
      </c>
    </row>
    <row r="737" spans="1:7" x14ac:dyDescent="0.25">
      <c r="A737" s="36">
        <v>8515464</v>
      </c>
      <c r="B737" s="35" t="s">
        <v>398</v>
      </c>
      <c r="C737" s="63">
        <v>1</v>
      </c>
      <c r="D737" s="58">
        <f>+VLOOKUP(A737,[1]Base!$A$11:$O$1318,15,FALSE)</f>
        <v>3698.7438584558813</v>
      </c>
      <c r="E737" s="58">
        <f>+VLOOKUP(A737,[1]Base!$A$11:$R$1579,18,FALSE)</f>
        <v>4623.4298230698514</v>
      </c>
      <c r="F737">
        <f>+VLOOKUP(A737,[1]Base!$A$11:$O$1264,15,FALSE)</f>
        <v>3698.7438584558813</v>
      </c>
      <c r="G737">
        <f t="shared" si="11"/>
        <v>1</v>
      </c>
    </row>
    <row r="738" spans="1:7" x14ac:dyDescent="0.25">
      <c r="A738" s="36">
        <v>8515868</v>
      </c>
      <c r="B738" s="35" t="s">
        <v>400</v>
      </c>
      <c r="C738" s="63">
        <v>1</v>
      </c>
      <c r="D738" s="58">
        <f>+VLOOKUP(A738,[1]Base!$A$11:$O$1318,15,FALSE)</f>
        <v>641.84910481433826</v>
      </c>
      <c r="E738" s="58">
        <f>+VLOOKUP(A738,[1]Base!$A$11:$R$1579,18,FALSE)</f>
        <v>802.31138101792283</v>
      </c>
      <c r="F738">
        <f>+VLOOKUP(A738,[1]Base!$A$11:$O$1264,15,FALSE)</f>
        <v>641.84910481433826</v>
      </c>
      <c r="G738">
        <f t="shared" si="11"/>
        <v>1</v>
      </c>
    </row>
    <row r="739" spans="1:7" x14ac:dyDescent="0.25">
      <c r="A739" s="38">
        <v>8515870</v>
      </c>
      <c r="B739" s="37" t="s">
        <v>1686</v>
      </c>
      <c r="C739" s="63"/>
      <c r="D739" s="58">
        <f>+VLOOKUP(A739,[1]Base!$A$11:$O$1318,15,FALSE)</f>
        <v>74.231950367647059</v>
      </c>
      <c r="E739" s="58">
        <f>+VLOOKUP(A739,[1]Base!$A$11:$R$1579,18,FALSE)</f>
        <v>92.789937959558813</v>
      </c>
      <c r="F739">
        <f>+VLOOKUP(A739,[1]Base!$A$11:$O$1264,15,FALSE)</f>
        <v>74.231950367647059</v>
      </c>
      <c r="G739">
        <f t="shared" si="11"/>
        <v>1</v>
      </c>
    </row>
    <row r="740" spans="1:7" x14ac:dyDescent="0.25">
      <c r="A740" s="36">
        <v>8515894</v>
      </c>
      <c r="B740" s="35" t="s">
        <v>401</v>
      </c>
      <c r="C740" s="63">
        <v>1</v>
      </c>
      <c r="D740" s="58">
        <f>+VLOOKUP(A740,[1]Base!$A$11:$O$1318,15,FALSE)</f>
        <v>899.20571691176474</v>
      </c>
      <c r="E740" s="58">
        <f>+VLOOKUP(A740,[1]Base!$A$11:$R$1579,18,FALSE)</f>
        <v>1124.0071461397058</v>
      </c>
      <c r="F740">
        <f>+VLOOKUP(A740,[1]Base!$A$11:$O$1264,15,FALSE)</f>
        <v>899.20571691176474</v>
      </c>
      <c r="G740">
        <f t="shared" si="11"/>
        <v>1</v>
      </c>
    </row>
    <row r="741" spans="1:7" x14ac:dyDescent="0.25">
      <c r="A741" s="36">
        <v>8516009</v>
      </c>
      <c r="B741" s="35" t="s">
        <v>402</v>
      </c>
      <c r="C741" s="63">
        <v>1</v>
      </c>
      <c r="D741" s="58">
        <f>+VLOOKUP(A741,[1]Base!$A$11:$O$1318,15,FALSE)</f>
        <v>343.50233635477935</v>
      </c>
      <c r="E741" s="58">
        <f>+VLOOKUP(A741,[1]Base!$A$11:$R$1579,18,FALSE)</f>
        <v>429.37792044347418</v>
      </c>
      <c r="F741">
        <f>+VLOOKUP(A741,[1]Base!$A$11:$O$1264,15,FALSE)</f>
        <v>343.50233635477935</v>
      </c>
      <c r="G741">
        <f t="shared" si="11"/>
        <v>1</v>
      </c>
    </row>
    <row r="742" spans="1:7" x14ac:dyDescent="0.25">
      <c r="A742" s="36">
        <v>8516258</v>
      </c>
      <c r="B742" s="35" t="s">
        <v>405</v>
      </c>
      <c r="C742" s="63">
        <v>1</v>
      </c>
      <c r="D742" s="58">
        <f>+VLOOKUP(A742,[1]Base!$A$11:$O$1318,15,FALSE)</f>
        <v>10928.445898897056</v>
      </c>
      <c r="E742" s="58">
        <f>+VLOOKUP(A742,[1]Base!$A$11:$R$1579,18,FALSE)</f>
        <v>13660.557373621319</v>
      </c>
      <c r="F742">
        <f>+VLOOKUP(A742,[1]Base!$A$11:$O$1264,15,FALSE)</f>
        <v>10928.445898897056</v>
      </c>
      <c r="G742">
        <f t="shared" si="11"/>
        <v>1</v>
      </c>
    </row>
    <row r="743" spans="1:7" x14ac:dyDescent="0.25">
      <c r="A743" s="36">
        <v>8516814</v>
      </c>
      <c r="B743" s="35" t="s">
        <v>407</v>
      </c>
      <c r="C743" s="63">
        <v>1</v>
      </c>
      <c r="D743" s="58">
        <f>+VLOOKUP(A743,[1]Base!$A$11:$O$1318,15,FALSE)</f>
        <v>285.56043198529409</v>
      </c>
      <c r="E743" s="58">
        <f>+VLOOKUP(A743,[1]Base!$A$11:$R$1579,18,FALSE)</f>
        <v>356.95053998161757</v>
      </c>
      <c r="F743">
        <f>+VLOOKUP(A743,[1]Base!$A$11:$O$1264,15,FALSE)</f>
        <v>285.56043198529409</v>
      </c>
      <c r="G743">
        <f t="shared" si="11"/>
        <v>1</v>
      </c>
    </row>
    <row r="744" spans="1:7" x14ac:dyDescent="0.25">
      <c r="A744" s="36">
        <v>8517089</v>
      </c>
      <c r="B744" s="35" t="s">
        <v>408</v>
      </c>
      <c r="C744" s="63">
        <v>1</v>
      </c>
      <c r="D744" s="58">
        <f>+VLOOKUP(A744,[1]Base!$A$11:$O$1318,15,FALSE)</f>
        <v>3612.2469572368418</v>
      </c>
      <c r="E744" s="58">
        <f>+VLOOKUP(A744,[1]Base!$A$11:$R$1579,18,FALSE)</f>
        <v>4515.3086965460516</v>
      </c>
      <c r="F744">
        <f>+VLOOKUP(A744,[1]Base!$A$11:$O$1264,15,FALSE)</f>
        <v>3612.2469572368418</v>
      </c>
      <c r="G744">
        <f t="shared" si="11"/>
        <v>1</v>
      </c>
    </row>
    <row r="745" spans="1:7" x14ac:dyDescent="0.25">
      <c r="A745" s="38">
        <v>8517422</v>
      </c>
      <c r="B745" s="37" t="s">
        <v>1691</v>
      </c>
      <c r="C745" s="63"/>
      <c r="D745" s="58">
        <f>+VLOOKUP(A745,[1]Base!$A$11:$O$1318,15,FALSE)</f>
        <v>2726.0493363970581</v>
      </c>
      <c r="E745" s="58">
        <f>+VLOOKUP(A745,[1]Base!$A$11:$R$1579,18,FALSE)</f>
        <v>3407.5616704963227</v>
      </c>
      <c r="F745">
        <f>+VLOOKUP(A745,[1]Base!$A$11:$O$1264,15,FALSE)</f>
        <v>2726.0493363970581</v>
      </c>
      <c r="G745">
        <f t="shared" si="11"/>
        <v>1</v>
      </c>
    </row>
    <row r="746" spans="1:7" x14ac:dyDescent="0.25">
      <c r="A746" s="36">
        <v>8517439</v>
      </c>
      <c r="B746" s="35" t="s">
        <v>411</v>
      </c>
      <c r="C746" s="63">
        <v>1</v>
      </c>
      <c r="D746" s="58">
        <f>+VLOOKUP(A746,[1]Base!$A$11:$O$1318,15,FALSE)</f>
        <v>212.85536980698527</v>
      </c>
      <c r="E746" s="58">
        <f>+VLOOKUP(A746,[1]Base!$A$11:$R$1579,18,FALSE)</f>
        <v>266.06921225873157</v>
      </c>
      <c r="F746">
        <f>+VLOOKUP(A746,[1]Base!$A$11:$O$1264,15,FALSE)</f>
        <v>212.85536980698527</v>
      </c>
      <c r="G746">
        <f t="shared" si="11"/>
        <v>1</v>
      </c>
    </row>
    <row r="747" spans="1:7" x14ac:dyDescent="0.25">
      <c r="A747" s="36">
        <v>8517440</v>
      </c>
      <c r="B747" s="35" t="s">
        <v>412</v>
      </c>
      <c r="C747" s="63">
        <v>1</v>
      </c>
      <c r="D747" s="58">
        <f>+VLOOKUP(A747,[1]Base!$A$11:$O$1318,15,FALSE)</f>
        <v>778.04552205882351</v>
      </c>
      <c r="E747" s="58">
        <f>+VLOOKUP(A747,[1]Base!$A$11:$R$1579,18,FALSE)</f>
        <v>972.55690257352933</v>
      </c>
      <c r="F747">
        <f>+VLOOKUP(A747,[1]Base!$A$11:$O$1264,15,FALSE)</f>
        <v>778.04552205882351</v>
      </c>
      <c r="G747">
        <f t="shared" si="11"/>
        <v>1</v>
      </c>
    </row>
    <row r="748" spans="1:7" x14ac:dyDescent="0.25">
      <c r="A748" s="36">
        <v>8517443</v>
      </c>
      <c r="B748" s="35" t="s">
        <v>414</v>
      </c>
      <c r="C748" s="63">
        <v>1</v>
      </c>
      <c r="D748" s="58">
        <f>+VLOOKUP(A748,[1]Base!$A$11:$O$1318,15,FALSE)</f>
        <v>5092.4714338235308</v>
      </c>
      <c r="E748" s="58">
        <f>+VLOOKUP(A748,[1]Base!$A$11:$R$1579,18,FALSE)</f>
        <v>6365.5892922794128</v>
      </c>
      <c r="F748">
        <f>+VLOOKUP(A748,[1]Base!$A$11:$O$1264,15,FALSE)</f>
        <v>5092.4714338235308</v>
      </c>
      <c r="G748">
        <f t="shared" si="11"/>
        <v>1</v>
      </c>
    </row>
    <row r="749" spans="1:7" x14ac:dyDescent="0.25">
      <c r="A749" s="36">
        <v>8517513</v>
      </c>
      <c r="B749" s="35" t="s">
        <v>415</v>
      </c>
      <c r="C749" s="63" t="s">
        <v>416</v>
      </c>
      <c r="D749" s="58">
        <f>+VLOOKUP(A749,[1]Base!$A$11:$O$1318,15,FALSE)</f>
        <v>1292.7974448529415</v>
      </c>
      <c r="E749" s="58">
        <f>+VLOOKUP(A749,[1]Base!$A$11:$R$1579,18,FALSE)</f>
        <v>1615.9968060661768</v>
      </c>
      <c r="F749">
        <f>+VLOOKUP(A749,[1]Base!$A$11:$O$1264,15,FALSE)</f>
        <v>1292.7974448529415</v>
      </c>
      <c r="G749">
        <f t="shared" si="11"/>
        <v>1</v>
      </c>
    </row>
    <row r="750" spans="1:7" x14ac:dyDescent="0.25">
      <c r="A750" s="36">
        <v>8517514</v>
      </c>
      <c r="B750" s="35" t="s">
        <v>417</v>
      </c>
      <c r="C750" s="63" t="s">
        <v>416</v>
      </c>
      <c r="D750" s="58">
        <f>+VLOOKUP(A750,[1]Base!$A$11:$O$1318,15,FALSE)</f>
        <v>2595.47596875</v>
      </c>
      <c r="E750" s="58">
        <f>+VLOOKUP(A750,[1]Base!$A$11:$R$1579,18,FALSE)</f>
        <v>3244.3449609374998</v>
      </c>
      <c r="F750">
        <f>+VLOOKUP(A750,[1]Base!$A$11:$O$1264,15,FALSE)</f>
        <v>2595.47596875</v>
      </c>
      <c r="G750">
        <f t="shared" si="11"/>
        <v>1</v>
      </c>
    </row>
    <row r="751" spans="1:7" x14ac:dyDescent="0.25">
      <c r="A751" s="38">
        <v>8517515</v>
      </c>
      <c r="B751" s="37" t="s">
        <v>1692</v>
      </c>
      <c r="C751" s="63"/>
      <c r="D751" s="58">
        <f>+VLOOKUP(A751,[1]Base!$A$11:$O$1318,15,FALSE)</f>
        <v>3827.7758878676464</v>
      </c>
      <c r="E751" s="58">
        <f>+VLOOKUP(A751,[1]Base!$A$11:$R$1579,18,FALSE)</f>
        <v>4784.7198598345576</v>
      </c>
      <c r="F751">
        <f>+VLOOKUP(A751,[1]Base!$A$11:$O$1264,15,FALSE)</f>
        <v>3827.7758878676464</v>
      </c>
      <c r="G751">
        <f t="shared" si="11"/>
        <v>1</v>
      </c>
    </row>
    <row r="752" spans="1:7" x14ac:dyDescent="0.25">
      <c r="A752" s="36">
        <v>8517517</v>
      </c>
      <c r="B752" s="35" t="s">
        <v>418</v>
      </c>
      <c r="C752" s="63" t="s">
        <v>243</v>
      </c>
      <c r="D752" s="58">
        <f>+VLOOKUP(A752,[1]Base!$A$11:$O$1318,15,FALSE)</f>
        <v>5050.0846323529413</v>
      </c>
      <c r="E752" s="58">
        <f>+VLOOKUP(A752,[1]Base!$A$11:$R$1579,18,FALSE)</f>
        <v>6312.6057904411764</v>
      </c>
      <c r="F752">
        <f>+VLOOKUP(A752,[1]Base!$A$11:$O$1264,15,FALSE)</f>
        <v>5050.0846323529413</v>
      </c>
      <c r="G752">
        <f t="shared" si="11"/>
        <v>1</v>
      </c>
    </row>
    <row r="753" spans="1:7" x14ac:dyDescent="0.25">
      <c r="A753" s="36">
        <v>8517518</v>
      </c>
      <c r="B753" s="35" t="s">
        <v>419</v>
      </c>
      <c r="C753" s="63" t="s">
        <v>243</v>
      </c>
      <c r="D753" s="58">
        <f>+VLOOKUP(A753,[1]Base!$A$11:$O$1318,15,FALSE)</f>
        <v>4728.3085593805154</v>
      </c>
      <c r="E753" s="58">
        <f>+VLOOKUP(A753,[1]Base!$A$11:$R$1579,18,FALSE)</f>
        <v>5910.3856992256442</v>
      </c>
      <c r="F753">
        <f>+VLOOKUP(A753,[1]Base!$A$11:$O$1264,15,FALSE)</f>
        <v>4728.3085593805154</v>
      </c>
      <c r="G753">
        <f t="shared" si="11"/>
        <v>1</v>
      </c>
    </row>
    <row r="754" spans="1:7" x14ac:dyDescent="0.25">
      <c r="A754" s="36">
        <v>8517538</v>
      </c>
      <c r="B754" s="35" t="s">
        <v>420</v>
      </c>
      <c r="C754" s="63">
        <v>1</v>
      </c>
      <c r="D754" s="58">
        <f>+VLOOKUP(A754,[1]Base!$A$11:$O$1318,15,FALSE)</f>
        <v>3419.02961230147</v>
      </c>
      <c r="E754" s="58">
        <f>+VLOOKUP(A754,[1]Base!$A$11:$R$1579,18,FALSE)</f>
        <v>4273.7870153768372</v>
      </c>
      <c r="F754">
        <f>+VLOOKUP(A754,[1]Base!$A$11:$O$1264,15,FALSE)</f>
        <v>3419.02961230147</v>
      </c>
      <c r="G754">
        <f t="shared" si="11"/>
        <v>1</v>
      </c>
    </row>
    <row r="755" spans="1:7" x14ac:dyDescent="0.25">
      <c r="A755" s="36">
        <v>8517751</v>
      </c>
      <c r="B755" s="35" t="s">
        <v>422</v>
      </c>
      <c r="C755" s="63">
        <v>1</v>
      </c>
      <c r="D755" s="58">
        <f>+VLOOKUP(A755,[1]Base!$A$11:$O$1318,15,FALSE)</f>
        <v>2340.3447926575082</v>
      </c>
      <c r="E755" s="58">
        <f>+VLOOKUP(A755,[1]Base!$A$11:$R$1579,18,FALSE)</f>
        <v>2925.4309908218852</v>
      </c>
      <c r="F755">
        <f>+VLOOKUP(A755,[1]Base!$A$11:$O$1264,15,FALSE)</f>
        <v>2340.3447926575082</v>
      </c>
      <c r="G755">
        <f t="shared" si="11"/>
        <v>1</v>
      </c>
    </row>
    <row r="756" spans="1:7" x14ac:dyDescent="0.25">
      <c r="A756" s="36">
        <v>8517752</v>
      </c>
      <c r="B756" s="35" t="s">
        <v>423</v>
      </c>
      <c r="C756" s="63">
        <v>1</v>
      </c>
      <c r="D756" s="58">
        <f>+VLOOKUP(A756,[1]Base!$A$11:$O$1318,15,FALSE)</f>
        <v>3665.6615828173385</v>
      </c>
      <c r="E756" s="58">
        <f>+VLOOKUP(A756,[1]Base!$A$11:$R$1579,18,FALSE)</f>
        <v>4582.0769785216726</v>
      </c>
      <c r="F756">
        <f>+VLOOKUP(A756,[1]Base!$A$11:$O$1264,15,FALSE)</f>
        <v>3665.6615828173385</v>
      </c>
      <c r="G756">
        <f t="shared" si="11"/>
        <v>1</v>
      </c>
    </row>
    <row r="757" spans="1:7" x14ac:dyDescent="0.25">
      <c r="A757" s="36">
        <v>8517753</v>
      </c>
      <c r="B757" s="35" t="s">
        <v>424</v>
      </c>
      <c r="C757" s="63">
        <v>1</v>
      </c>
      <c r="D757" s="58">
        <f>+VLOOKUP(A757,[1]Base!$A$11:$O$1318,15,FALSE)</f>
        <v>3734.5002979876167</v>
      </c>
      <c r="E757" s="58">
        <f>+VLOOKUP(A757,[1]Base!$A$11:$R$1579,18,FALSE)</f>
        <v>4668.125372484521</v>
      </c>
      <c r="F757">
        <f>+VLOOKUP(A757,[1]Base!$A$11:$O$1264,15,FALSE)</f>
        <v>3734.5002979876167</v>
      </c>
      <c r="G757">
        <f t="shared" si="11"/>
        <v>1</v>
      </c>
    </row>
    <row r="758" spans="1:7" x14ac:dyDescent="0.25">
      <c r="A758" s="38">
        <v>8518667</v>
      </c>
      <c r="B758" s="37" t="s">
        <v>435</v>
      </c>
      <c r="C758" s="63"/>
      <c r="D758" s="58">
        <f>+VLOOKUP(A758,[1]Base!$A$11:$O$1318,15,FALSE)</f>
        <v>2.7523897058823521</v>
      </c>
      <c r="E758" s="58">
        <f>+VLOOKUP(A758,[1]Base!$A$11:$R$1579,18,FALSE)</f>
        <v>3.4404871323529398</v>
      </c>
      <c r="F758">
        <f>+VLOOKUP(A758,[1]Base!$A$11:$O$1264,15,FALSE)</f>
        <v>2.7523897058823521</v>
      </c>
      <c r="G758">
        <f t="shared" si="11"/>
        <v>1</v>
      </c>
    </row>
    <row r="759" spans="1:7" x14ac:dyDescent="0.25">
      <c r="A759" s="39">
        <v>8519183</v>
      </c>
      <c r="B759" s="35" t="s">
        <v>437</v>
      </c>
      <c r="C759" s="63">
        <v>1</v>
      </c>
      <c r="D759" s="58">
        <f>+VLOOKUP(A759,[1]Base!$A$11:$O$1318,15,FALSE)</f>
        <v>0.66057352941176462</v>
      </c>
      <c r="E759" s="58">
        <f>+VLOOKUP(A759,[1]Base!$A$11:$R$1579,18,FALSE)</f>
        <v>0.82571691176470574</v>
      </c>
      <c r="F759">
        <f>+VLOOKUP(A759,[1]Base!$A$11:$O$1264,15,FALSE)</f>
        <v>0.66057352941176462</v>
      </c>
      <c r="G759">
        <f t="shared" si="11"/>
        <v>1</v>
      </c>
    </row>
    <row r="760" spans="1:7" x14ac:dyDescent="0.25">
      <c r="A760" s="36">
        <v>8519332</v>
      </c>
      <c r="B760" s="35" t="s">
        <v>438</v>
      </c>
      <c r="C760" s="63">
        <v>1</v>
      </c>
      <c r="D760" s="58">
        <f>+VLOOKUP(A760,[1]Base!$A$11:$O$1318,15,FALSE)</f>
        <v>115.04988970588235</v>
      </c>
      <c r="E760" s="58">
        <f>+VLOOKUP(A760,[1]Base!$A$11:$R$1579,18,FALSE)</f>
        <v>143.81236213235292</v>
      </c>
      <c r="F760">
        <f>+VLOOKUP(A760,[1]Base!$A$11:$O$1264,15,FALSE)</f>
        <v>115.04988970588235</v>
      </c>
      <c r="G760">
        <f t="shared" si="11"/>
        <v>1</v>
      </c>
    </row>
    <row r="761" spans="1:7" x14ac:dyDescent="0.25">
      <c r="A761" s="36">
        <v>8519333</v>
      </c>
      <c r="B761" s="35" t="s">
        <v>439</v>
      </c>
      <c r="C761" s="63">
        <v>1</v>
      </c>
      <c r="D761" s="58">
        <f>+VLOOKUP(A761,[1]Base!$A$11:$O$1318,15,FALSE)</f>
        <v>121.10514705882352</v>
      </c>
      <c r="E761" s="58">
        <f>+VLOOKUP(A761,[1]Base!$A$11:$R$1579,18,FALSE)</f>
        <v>151.38143382352939</v>
      </c>
      <c r="F761">
        <f>+VLOOKUP(A761,[1]Base!$A$11:$O$1264,15,FALSE)</f>
        <v>121.10514705882352</v>
      </c>
      <c r="G761">
        <f t="shared" si="11"/>
        <v>1</v>
      </c>
    </row>
    <row r="762" spans="1:7" x14ac:dyDescent="0.25">
      <c r="A762" s="36">
        <v>8523836</v>
      </c>
      <c r="B762" s="35" t="s">
        <v>442</v>
      </c>
      <c r="C762" s="63">
        <v>1</v>
      </c>
      <c r="D762" s="58">
        <f>+VLOOKUP(A762,[1]Base!$A$11:$O$1318,15,FALSE)</f>
        <v>1955.5411764705887</v>
      </c>
      <c r="E762" s="58">
        <f>+VLOOKUP(A762,[1]Base!$A$11:$R$1579,18,FALSE)</f>
        <v>2172.8235294117653</v>
      </c>
      <c r="F762">
        <f>+VLOOKUP(A762,[1]Base!$A$11:$O$1264,15,FALSE)</f>
        <v>1955.5411764705887</v>
      </c>
      <c r="G762">
        <f t="shared" si="11"/>
        <v>1</v>
      </c>
    </row>
    <row r="763" spans="1:7" x14ac:dyDescent="0.25">
      <c r="A763" s="36">
        <v>8524180</v>
      </c>
      <c r="B763" s="35" t="s">
        <v>443</v>
      </c>
      <c r="C763" s="63">
        <v>1</v>
      </c>
      <c r="D763" s="58">
        <f>+VLOOKUP(A763,[1]Base!$A$11:$O$1318,15,FALSE)</f>
        <v>183.56990712074307</v>
      </c>
      <c r="E763" s="58">
        <f>+VLOOKUP(A763,[1]Base!$A$11:$R$1579,18,FALSE)</f>
        <v>229.46238390092881</v>
      </c>
      <c r="F763">
        <f>+VLOOKUP(A763,[1]Base!$A$11:$O$1264,15,FALSE)</f>
        <v>183.56990712074307</v>
      </c>
      <c r="G763">
        <f t="shared" si="11"/>
        <v>1</v>
      </c>
    </row>
    <row r="764" spans="1:7" x14ac:dyDescent="0.25">
      <c r="A764" s="36">
        <v>8524190</v>
      </c>
      <c r="B764" s="37" t="s">
        <v>444</v>
      </c>
      <c r="C764" s="63">
        <v>9</v>
      </c>
      <c r="D764" s="58">
        <f>+VLOOKUP(A764,[1]Base!$A$11:$O$1318,15,FALSE)</f>
        <v>122.40038927335638</v>
      </c>
      <c r="E764" s="58">
        <f>+VLOOKUP(A764,[1]Base!$A$11:$R$1579,18,FALSE)</f>
        <v>163.20051903114185</v>
      </c>
      <c r="F764">
        <f>+VLOOKUP(A764,[1]Base!$A$11:$O$1264,15,FALSE)</f>
        <v>122.40038927335638</v>
      </c>
      <c r="G764">
        <f t="shared" si="11"/>
        <v>1</v>
      </c>
    </row>
    <row r="765" spans="1:7" x14ac:dyDescent="0.25">
      <c r="A765" s="36">
        <v>8524191</v>
      </c>
      <c r="B765" s="37" t="s">
        <v>445</v>
      </c>
      <c r="C765" s="63">
        <v>36</v>
      </c>
      <c r="D765" s="58">
        <f>+VLOOKUP(A765,[1]Base!$A$11:$O$1318,15,FALSE)</f>
        <v>495.63770621517028</v>
      </c>
      <c r="E765" s="58">
        <f>+VLOOKUP(A765,[1]Base!$A$11:$R$1579,18,FALSE)</f>
        <v>660.85027495356042</v>
      </c>
      <c r="F765">
        <f>+VLOOKUP(A765,[1]Base!$A$11:$O$1264,15,FALSE)</f>
        <v>495.63770621517028</v>
      </c>
      <c r="G765">
        <f t="shared" si="11"/>
        <v>1</v>
      </c>
    </row>
    <row r="766" spans="1:7" x14ac:dyDescent="0.25">
      <c r="A766" s="36">
        <v>8524193</v>
      </c>
      <c r="B766" s="37" t="s">
        <v>446</v>
      </c>
      <c r="C766" s="63">
        <v>9</v>
      </c>
      <c r="D766" s="58">
        <f>+VLOOKUP(A766,[1]Base!$A$11:$O$1318,15,FALSE)</f>
        <v>93.581250000000011</v>
      </c>
      <c r="E766" s="58">
        <f>+VLOOKUP(A766,[1]Base!$A$11:$R$1579,18,FALSE)</f>
        <v>133.68750000000003</v>
      </c>
      <c r="F766">
        <f>+VLOOKUP(A766,[1]Base!$A$11:$O$1264,15,FALSE)</f>
        <v>93.581250000000011</v>
      </c>
      <c r="G766">
        <f t="shared" si="11"/>
        <v>1</v>
      </c>
    </row>
    <row r="767" spans="1:7" x14ac:dyDescent="0.25">
      <c r="A767" s="36">
        <v>8524194</v>
      </c>
      <c r="B767" s="37" t="s">
        <v>447</v>
      </c>
      <c r="C767" s="63">
        <v>45</v>
      </c>
      <c r="D767" s="58">
        <f>+VLOOKUP(A767,[1]Base!$A$11:$O$1318,15,FALSE)</f>
        <v>476.37535312499995</v>
      </c>
      <c r="E767" s="58">
        <f>+VLOOKUP(A767,[1]Base!$A$11:$R$1579,18,FALSE)</f>
        <v>680.53621874999999</v>
      </c>
      <c r="F767">
        <f>+VLOOKUP(A767,[1]Base!$A$11:$O$1264,15,FALSE)</f>
        <v>476.37535312499995</v>
      </c>
      <c r="G767">
        <f t="shared" si="11"/>
        <v>1</v>
      </c>
    </row>
    <row r="768" spans="1:7" x14ac:dyDescent="0.25">
      <c r="A768" s="36">
        <v>8524196</v>
      </c>
      <c r="B768" s="37" t="s">
        <v>448</v>
      </c>
      <c r="C768" s="63">
        <v>9</v>
      </c>
      <c r="D768" s="58">
        <f>+VLOOKUP(A768,[1]Base!$A$11:$O$1318,15,FALSE)</f>
        <v>165.14338235294116</v>
      </c>
      <c r="E768" s="58">
        <f>+VLOOKUP(A768,[1]Base!$A$11:$R$1579,18,FALSE)</f>
        <v>235.91911764705881</v>
      </c>
      <c r="F768">
        <f>+VLOOKUP(A768,[1]Base!$A$11:$O$1264,15,FALSE)</f>
        <v>165.14338235294116</v>
      </c>
      <c r="G768">
        <f t="shared" si="11"/>
        <v>1</v>
      </c>
    </row>
    <row r="769" spans="1:7" x14ac:dyDescent="0.25">
      <c r="A769" s="36">
        <v>8524197</v>
      </c>
      <c r="B769" s="37" t="s">
        <v>449</v>
      </c>
      <c r="C769" s="63">
        <v>45</v>
      </c>
      <c r="D769" s="58">
        <f>+VLOOKUP(A769,[1]Base!$A$11:$O$1318,15,FALSE)</f>
        <v>776.1738970588234</v>
      </c>
      <c r="E769" s="58">
        <f>+VLOOKUP(A769,[1]Base!$A$11:$R$1579,18,FALSE)</f>
        <v>1108.8198529411764</v>
      </c>
      <c r="F769">
        <f>+VLOOKUP(A769,[1]Base!$A$11:$O$1264,15,FALSE)</f>
        <v>776.1738970588234</v>
      </c>
      <c r="G769">
        <f t="shared" si="11"/>
        <v>1</v>
      </c>
    </row>
    <row r="770" spans="1:7" x14ac:dyDescent="0.25">
      <c r="A770" s="36">
        <v>8524254</v>
      </c>
      <c r="B770" s="35" t="s">
        <v>450</v>
      </c>
      <c r="C770" s="63">
        <v>9</v>
      </c>
      <c r="D770" s="58">
        <f>+VLOOKUP(A770,[1]Base!$A$11:$O$1318,15,FALSE)</f>
        <v>195.25776384083045</v>
      </c>
      <c r="E770" s="58">
        <f>+VLOOKUP(A770,[1]Base!$A$11:$R$1579,18,FALSE)</f>
        <v>260.34368512110728</v>
      </c>
      <c r="F770">
        <f>+VLOOKUP(A770,[1]Base!$A$11:$O$1264,15,FALSE)</f>
        <v>195.25776384083045</v>
      </c>
      <c r="G770">
        <f t="shared" si="11"/>
        <v>1</v>
      </c>
    </row>
    <row r="771" spans="1:7" x14ac:dyDescent="0.25">
      <c r="A771" s="36">
        <v>8524255</v>
      </c>
      <c r="B771" s="35" t="s">
        <v>451</v>
      </c>
      <c r="C771" s="63">
        <v>36</v>
      </c>
      <c r="D771" s="58">
        <f>+VLOOKUP(A771,[1]Base!$A$11:$O$1318,15,FALSE)</f>
        <v>608.27812499999993</v>
      </c>
      <c r="E771" s="58">
        <f>+VLOOKUP(A771,[1]Base!$A$11:$R$1579,18,FALSE)</f>
        <v>811.03749999999991</v>
      </c>
      <c r="F771">
        <f>+VLOOKUP(A771,[1]Base!$A$11:$O$1264,15,FALSE)</f>
        <v>608.27812499999993</v>
      </c>
      <c r="G771">
        <f t="shared" si="11"/>
        <v>1</v>
      </c>
    </row>
    <row r="772" spans="1:7" x14ac:dyDescent="0.25">
      <c r="A772" s="36">
        <v>8550027</v>
      </c>
      <c r="B772" s="35" t="s">
        <v>452</v>
      </c>
      <c r="C772" s="63">
        <v>1</v>
      </c>
      <c r="D772" s="58">
        <f>+VLOOKUP(A772,[1]Base!$A$11:$O$1318,15,FALSE)</f>
        <v>9.0828860294117639</v>
      </c>
      <c r="E772" s="58">
        <f>+VLOOKUP(A772,[1]Base!$A$11:$R$1579,18,FALSE)</f>
        <v>11.353607536764704</v>
      </c>
      <c r="F772">
        <f>+VLOOKUP(A772,[1]Base!$A$11:$O$1264,15,FALSE)</f>
        <v>9.0828860294117639</v>
      </c>
      <c r="G772">
        <f t="shared" ref="G772:G835" si="12">+F772/D772</f>
        <v>1</v>
      </c>
    </row>
    <row r="773" spans="1:7" x14ac:dyDescent="0.25">
      <c r="A773" s="36">
        <v>8570720</v>
      </c>
      <c r="B773" s="35" t="s">
        <v>454</v>
      </c>
      <c r="C773" s="63">
        <v>1</v>
      </c>
      <c r="D773" s="58">
        <f>+VLOOKUP(A773,[1]Base!$A$11:$O$1318,15,FALSE)</f>
        <v>5168.1621507352947</v>
      </c>
      <c r="E773" s="58">
        <f>+VLOOKUP(A773,[1]Base!$A$11:$R$1579,18,FALSE)</f>
        <v>6460.2026884191182</v>
      </c>
      <c r="F773">
        <f>+VLOOKUP(A773,[1]Base!$A$11:$O$1264,15,FALSE)</f>
        <v>5168.1621507352947</v>
      </c>
      <c r="G773">
        <f t="shared" si="12"/>
        <v>1</v>
      </c>
    </row>
    <row r="774" spans="1:7" x14ac:dyDescent="0.25">
      <c r="A774" s="38">
        <v>8580056</v>
      </c>
      <c r="B774" s="37" t="s">
        <v>455</v>
      </c>
      <c r="C774" s="63">
        <v>1</v>
      </c>
      <c r="D774" s="58">
        <f>+VLOOKUP(A774,[1]Base!$A$11:$O$1318,15,FALSE)</f>
        <v>4227.4858340762858</v>
      </c>
      <c r="E774" s="58">
        <f>+VLOOKUP(A774,[1]Base!$A$11:$R$1579,18,FALSE)</f>
        <v>5284.3572925953567</v>
      </c>
      <c r="F774">
        <f>+VLOOKUP(A774,[1]Base!$A$11:$O$1264,15,FALSE)</f>
        <v>4227.4858340762858</v>
      </c>
      <c r="G774">
        <f t="shared" si="12"/>
        <v>1</v>
      </c>
    </row>
    <row r="775" spans="1:7" x14ac:dyDescent="0.25">
      <c r="A775" s="38">
        <v>8581515</v>
      </c>
      <c r="B775" s="37" t="s">
        <v>1709</v>
      </c>
      <c r="C775" s="63"/>
      <c r="D775" s="58">
        <f>+VLOOKUP(A775,[1]Base!$A$11:$O$1318,15,FALSE)</f>
        <v>510.59581433823519</v>
      </c>
      <c r="E775" s="58">
        <f>+VLOOKUP(A775,[1]Base!$A$11:$R$1579,18,FALSE)</f>
        <v>638.24476792279393</v>
      </c>
      <c r="F775">
        <f>+VLOOKUP(A775,[1]Base!$A$11:$O$1264,15,FALSE)</f>
        <v>510.59581433823519</v>
      </c>
      <c r="G775">
        <f t="shared" si="12"/>
        <v>1</v>
      </c>
    </row>
    <row r="776" spans="1:7" x14ac:dyDescent="0.25">
      <c r="A776" s="38">
        <v>8581516</v>
      </c>
      <c r="B776" s="37" t="s">
        <v>1710</v>
      </c>
      <c r="C776" s="63"/>
      <c r="D776" s="58">
        <f>+VLOOKUP(A776,[1]Base!$A$11:$O$1318,15,FALSE)</f>
        <v>1891.0568713235291</v>
      </c>
      <c r="E776" s="58">
        <f>+VLOOKUP(A776,[1]Base!$A$11:$R$1579,18,FALSE)</f>
        <v>2363.8210891544113</v>
      </c>
      <c r="F776">
        <f>+VLOOKUP(A776,[1]Base!$A$11:$O$1264,15,FALSE)</f>
        <v>1891.0568713235291</v>
      </c>
      <c r="G776">
        <f t="shared" si="12"/>
        <v>1</v>
      </c>
    </row>
    <row r="777" spans="1:7" x14ac:dyDescent="0.25">
      <c r="A777" s="38">
        <v>8581518</v>
      </c>
      <c r="B777" s="37" t="s">
        <v>1711</v>
      </c>
      <c r="C777" s="63"/>
      <c r="D777" s="58">
        <f>+VLOOKUP(A777,[1]Base!$A$11:$O$1318,15,FALSE)</f>
        <v>37.845358455882341</v>
      </c>
      <c r="E777" s="58">
        <f>+VLOOKUP(A777,[1]Base!$A$11:$R$1579,18,FALSE)</f>
        <v>47.306698069852921</v>
      </c>
      <c r="F777">
        <f>+VLOOKUP(A777,[1]Base!$A$11:$O$1264,15,FALSE)</f>
        <v>37.845358455882341</v>
      </c>
      <c r="G777">
        <f t="shared" si="12"/>
        <v>1</v>
      </c>
    </row>
    <row r="778" spans="1:7" x14ac:dyDescent="0.25">
      <c r="A778" s="38">
        <v>8581519</v>
      </c>
      <c r="B778" s="37" t="s">
        <v>1712</v>
      </c>
      <c r="C778" s="63"/>
      <c r="D778" s="58">
        <f>+VLOOKUP(A778,[1]Base!$A$11:$O$1318,15,FALSE)</f>
        <v>78.800917279411749</v>
      </c>
      <c r="E778" s="58">
        <f>+VLOOKUP(A778,[1]Base!$A$11:$R$1579,18,FALSE)</f>
        <v>98.501146599264686</v>
      </c>
      <c r="F778">
        <f>+VLOOKUP(A778,[1]Base!$A$11:$O$1264,15,FALSE)</f>
        <v>78.800917279411749</v>
      </c>
      <c r="G778">
        <f t="shared" si="12"/>
        <v>1</v>
      </c>
    </row>
    <row r="779" spans="1:7" x14ac:dyDescent="0.25">
      <c r="A779" s="38">
        <v>8581520</v>
      </c>
      <c r="B779" s="37" t="s">
        <v>1713</v>
      </c>
      <c r="C779" s="63"/>
      <c r="D779" s="58">
        <f>+VLOOKUP(A779,[1]Base!$A$11:$O$1318,15,FALSE)</f>
        <v>198.30967830882352</v>
      </c>
      <c r="E779" s="58">
        <f>+VLOOKUP(A779,[1]Base!$A$11:$R$1579,18,FALSE)</f>
        <v>247.88709788602938</v>
      </c>
      <c r="F779">
        <f>+VLOOKUP(A779,[1]Base!$A$11:$O$1264,15,FALSE)</f>
        <v>198.30967830882352</v>
      </c>
      <c r="G779">
        <f t="shared" si="12"/>
        <v>1</v>
      </c>
    </row>
    <row r="780" spans="1:7" x14ac:dyDescent="0.25">
      <c r="A780" s="38">
        <v>8581522</v>
      </c>
      <c r="B780" s="37" t="s">
        <v>1714</v>
      </c>
      <c r="C780" s="63"/>
      <c r="D780" s="58">
        <f>+VLOOKUP(A780,[1]Base!$A$11:$O$1318,15,FALSE)</f>
        <v>421.11562499999991</v>
      </c>
      <c r="E780" s="58">
        <f>+VLOOKUP(A780,[1]Base!$A$11:$R$1579,18,FALSE)</f>
        <v>526.39453124999989</v>
      </c>
      <c r="F780">
        <f>+VLOOKUP(A780,[1]Base!$A$11:$O$1264,15,FALSE)</f>
        <v>421.11562499999991</v>
      </c>
      <c r="G780">
        <f t="shared" si="12"/>
        <v>1</v>
      </c>
    </row>
    <row r="781" spans="1:7" x14ac:dyDescent="0.25">
      <c r="A781" s="38">
        <v>8581526</v>
      </c>
      <c r="B781" s="37" t="s">
        <v>1715</v>
      </c>
      <c r="C781" s="63"/>
      <c r="D781" s="58">
        <f>+VLOOKUP(A781,[1]Base!$A$11:$O$1318,15,FALSE)</f>
        <v>41.450988970588242</v>
      </c>
      <c r="E781" s="58">
        <f>+VLOOKUP(A781,[1]Base!$A$11:$R$1579,18,FALSE)</f>
        <v>51.813736213235302</v>
      </c>
      <c r="F781">
        <f>+VLOOKUP(A781,[1]Base!$A$11:$O$1264,15,FALSE)</f>
        <v>41.450988970588242</v>
      </c>
      <c r="G781">
        <f t="shared" si="12"/>
        <v>1</v>
      </c>
    </row>
    <row r="782" spans="1:7" x14ac:dyDescent="0.25">
      <c r="A782" s="38">
        <v>8581527</v>
      </c>
      <c r="B782" s="37" t="s">
        <v>1716</v>
      </c>
      <c r="C782" s="63"/>
      <c r="D782" s="58">
        <f>+VLOOKUP(A782,[1]Base!$A$11:$O$1318,15,FALSE)</f>
        <v>22.019117647058817</v>
      </c>
      <c r="E782" s="58">
        <f>+VLOOKUP(A782,[1]Base!$A$11:$R$1579,18,FALSE)</f>
        <v>27.523897058823518</v>
      </c>
      <c r="F782">
        <f>+VLOOKUP(A782,[1]Base!$A$11:$O$1264,15,FALSE)</f>
        <v>22.019117647058817</v>
      </c>
      <c r="G782">
        <f t="shared" si="12"/>
        <v>1</v>
      </c>
    </row>
    <row r="783" spans="1:7" x14ac:dyDescent="0.25">
      <c r="A783" s="38">
        <v>8581531</v>
      </c>
      <c r="B783" s="37" t="s">
        <v>1717</v>
      </c>
      <c r="C783" s="63"/>
      <c r="D783" s="58">
        <f>+VLOOKUP(A783,[1]Base!$A$11:$O$1318,15,FALSE)</f>
        <v>127.65583455882353</v>
      </c>
      <c r="E783" s="58">
        <f>+VLOOKUP(A783,[1]Base!$A$11:$R$1579,18,FALSE)</f>
        <v>159.5697931985294</v>
      </c>
      <c r="F783">
        <f>+VLOOKUP(A783,[1]Base!$A$11:$O$1264,15,FALSE)</f>
        <v>127.65583455882353</v>
      </c>
      <c r="G783">
        <f t="shared" si="12"/>
        <v>1</v>
      </c>
    </row>
    <row r="784" spans="1:7" x14ac:dyDescent="0.25">
      <c r="A784" s="38">
        <v>8581834</v>
      </c>
      <c r="B784" s="37" t="s">
        <v>1718</v>
      </c>
      <c r="C784" s="63"/>
      <c r="D784" s="58">
        <f>+VLOOKUP(A784,[1]Base!$A$11:$O$1318,15,FALSE)</f>
        <v>674.08776286764703</v>
      </c>
      <c r="E784" s="58">
        <f>+VLOOKUP(A784,[1]Base!$A$11:$R$1579,18,FALSE)</f>
        <v>842.6097035845587</v>
      </c>
      <c r="F784">
        <f>+VLOOKUP(A784,[1]Base!$A$11:$O$1264,15,FALSE)</f>
        <v>674.08776286764703</v>
      </c>
      <c r="G784">
        <f t="shared" si="12"/>
        <v>1</v>
      </c>
    </row>
    <row r="785" spans="1:7" x14ac:dyDescent="0.25">
      <c r="A785" s="38">
        <v>8582480</v>
      </c>
      <c r="B785" s="37" t="s">
        <v>1719</v>
      </c>
      <c r="C785" s="63"/>
      <c r="D785" s="58">
        <f>+VLOOKUP(A785,[1]Base!$A$11:$O$1318,15,FALSE)</f>
        <v>6002.9619485294124</v>
      </c>
      <c r="E785" s="58">
        <f>+VLOOKUP(A785,[1]Base!$A$11:$R$1579,18,FALSE)</f>
        <v>7503.7024356617649</v>
      </c>
      <c r="F785">
        <f>+VLOOKUP(A785,[1]Base!$A$11:$O$1264,15,FALSE)</f>
        <v>6002.9619485294124</v>
      </c>
      <c r="G785">
        <f t="shared" si="12"/>
        <v>1</v>
      </c>
    </row>
    <row r="786" spans="1:7" x14ac:dyDescent="0.25">
      <c r="A786" s="38">
        <v>8582481</v>
      </c>
      <c r="B786" s="37" t="s">
        <v>1720</v>
      </c>
      <c r="C786" s="63"/>
      <c r="D786" s="58">
        <f>+VLOOKUP(A786,[1]Base!$A$11:$O$1318,15,FALSE)</f>
        <v>6168.105330882353</v>
      </c>
      <c r="E786" s="58">
        <f>+VLOOKUP(A786,[1]Base!$A$11:$R$1579,18,FALSE)</f>
        <v>7710.1316636029405</v>
      </c>
      <c r="F786">
        <f>+VLOOKUP(A786,[1]Base!$A$11:$O$1264,15,FALSE)</f>
        <v>6168.105330882353</v>
      </c>
      <c r="G786">
        <f t="shared" si="12"/>
        <v>1</v>
      </c>
    </row>
    <row r="787" spans="1:7" x14ac:dyDescent="0.25">
      <c r="A787" s="36">
        <v>8582765</v>
      </c>
      <c r="B787" s="35" t="s">
        <v>459</v>
      </c>
      <c r="C787" s="63">
        <v>1</v>
      </c>
      <c r="D787" s="58">
        <f>+VLOOKUP(A787,[1]Base!$A$11:$O$1318,15,FALSE)</f>
        <v>8469.6566891447383</v>
      </c>
      <c r="E787" s="58">
        <f>+VLOOKUP(A787,[1]Base!$A$11:$R$1579,18,FALSE)</f>
        <v>10587.070861430922</v>
      </c>
      <c r="F787">
        <f>+VLOOKUP(A787,[1]Base!$A$11:$O$1264,15,FALSE)</f>
        <v>8469.6566891447383</v>
      </c>
      <c r="G787">
        <f t="shared" si="12"/>
        <v>1</v>
      </c>
    </row>
    <row r="788" spans="1:7" x14ac:dyDescent="0.25">
      <c r="A788" s="36">
        <v>8582766</v>
      </c>
      <c r="B788" s="35" t="s">
        <v>460</v>
      </c>
      <c r="C788" s="63">
        <v>1</v>
      </c>
      <c r="D788" s="58">
        <f>+VLOOKUP(A788,[1]Base!$A$11:$O$1318,15,FALSE)</f>
        <v>9203.1755432565806</v>
      </c>
      <c r="E788" s="58">
        <f>+VLOOKUP(A788,[1]Base!$A$11:$R$1579,18,FALSE)</f>
        <v>11503.969429070725</v>
      </c>
      <c r="F788">
        <f>+VLOOKUP(A788,[1]Base!$A$11:$O$1264,15,FALSE)</f>
        <v>9203.1755432565806</v>
      </c>
      <c r="G788">
        <f t="shared" si="12"/>
        <v>1</v>
      </c>
    </row>
    <row r="789" spans="1:7" x14ac:dyDescent="0.25">
      <c r="A789" s="39">
        <v>8585345</v>
      </c>
      <c r="B789" s="35" t="s">
        <v>464</v>
      </c>
      <c r="C789" s="63">
        <v>1</v>
      </c>
      <c r="D789" s="58">
        <f>+VLOOKUP(A789,[1]Base!$A$11:$O$1318,15,FALSE)</f>
        <v>1153.8307372291019</v>
      </c>
      <c r="E789" s="58">
        <f>+VLOOKUP(A789,[1]Base!$A$11:$R$1579,18,FALSE)</f>
        <v>1442.2884215363774</v>
      </c>
      <c r="F789">
        <f>+VLOOKUP(A789,[1]Base!$A$11:$O$1264,15,FALSE)</f>
        <v>1153.8307372291019</v>
      </c>
      <c r="G789">
        <f t="shared" si="12"/>
        <v>1</v>
      </c>
    </row>
    <row r="790" spans="1:7" x14ac:dyDescent="0.25">
      <c r="A790" s="36">
        <v>10000010</v>
      </c>
      <c r="B790" s="35" t="s">
        <v>470</v>
      </c>
      <c r="C790" s="63">
        <v>1</v>
      </c>
      <c r="D790" s="58">
        <f>+VLOOKUP(A790,[1]Base!$A$11:$O$1318,15,FALSE)</f>
        <v>145.32617647058822</v>
      </c>
      <c r="E790" s="58">
        <f>+VLOOKUP(A790,[1]Base!$A$11:$R$1579,18,FALSE)</f>
        <v>181.65772058823526</v>
      </c>
      <c r="F790">
        <f>+VLOOKUP(A790,[1]Base!$A$11:$O$1264,15,FALSE)</f>
        <v>145.32617647058822</v>
      </c>
      <c r="G790">
        <f t="shared" si="12"/>
        <v>1</v>
      </c>
    </row>
    <row r="791" spans="1:7" x14ac:dyDescent="0.25">
      <c r="A791" s="36">
        <v>10000020</v>
      </c>
      <c r="B791" s="35" t="s">
        <v>471</v>
      </c>
      <c r="C791" s="63">
        <v>1</v>
      </c>
      <c r="D791" s="58">
        <f>+VLOOKUP(A791,[1]Base!$A$11:$O$1318,15,FALSE)</f>
        <v>908.28860294117658</v>
      </c>
      <c r="E791" s="58">
        <f>+VLOOKUP(A791,[1]Base!$A$11:$R$1579,18,FALSE)</f>
        <v>1135.3607536764707</v>
      </c>
      <c r="F791">
        <f>+VLOOKUP(A791,[1]Base!$A$11:$O$1264,15,FALSE)</f>
        <v>908.28860294117658</v>
      </c>
      <c r="G791">
        <f t="shared" si="12"/>
        <v>1</v>
      </c>
    </row>
    <row r="792" spans="1:7" x14ac:dyDescent="0.25">
      <c r="A792" s="36">
        <v>10000021</v>
      </c>
      <c r="B792" s="35" t="s">
        <v>472</v>
      </c>
      <c r="C792" s="63">
        <v>1</v>
      </c>
      <c r="D792" s="58">
        <f>+VLOOKUP(A792,[1]Base!$A$11:$O$1318,15,FALSE)</f>
        <v>983.97931985294099</v>
      </c>
      <c r="E792" s="58">
        <f>+VLOOKUP(A792,[1]Base!$A$11:$R$1579,18,FALSE)</f>
        <v>1229.9741498161761</v>
      </c>
      <c r="F792">
        <f>+VLOOKUP(A792,[1]Base!$A$11:$O$1264,15,FALSE)</f>
        <v>983.97931985294099</v>
      </c>
      <c r="G792">
        <f t="shared" si="12"/>
        <v>1</v>
      </c>
    </row>
    <row r="793" spans="1:7" x14ac:dyDescent="0.25">
      <c r="A793" s="38" t="s">
        <v>487</v>
      </c>
      <c r="B793" s="37" t="s">
        <v>1737</v>
      </c>
      <c r="C793" s="63">
        <v>1</v>
      </c>
      <c r="D793" s="58">
        <f>+VLOOKUP(A793,[1]Base!$A$11:$O$1318,15,FALSE)</f>
        <v>244.05439522058825</v>
      </c>
      <c r="E793" s="58">
        <f>+VLOOKUP(A793,[1]Base!$A$11:$R$1579,18,FALSE)</f>
        <v>305.06799402573529</v>
      </c>
      <c r="F793">
        <f>+VLOOKUP(A793,[1]Base!$A$11:$O$1264,15,FALSE)</f>
        <v>244.05439522058825</v>
      </c>
      <c r="G793">
        <f t="shared" si="12"/>
        <v>1</v>
      </c>
    </row>
    <row r="794" spans="1:7" x14ac:dyDescent="0.25">
      <c r="A794" s="38" t="s">
        <v>488</v>
      </c>
      <c r="B794" s="37" t="s">
        <v>1738</v>
      </c>
      <c r="C794" s="63">
        <v>1</v>
      </c>
      <c r="D794" s="58">
        <f>+VLOOKUP(A794,[1]Base!$A$11:$O$1318,15,FALSE)</f>
        <v>591.95645404411755</v>
      </c>
      <c r="E794" s="58">
        <f>+VLOOKUP(A794,[1]Base!$A$11:$R$1579,18,FALSE)</f>
        <v>739.94556755514691</v>
      </c>
      <c r="F794">
        <f>+VLOOKUP(A794,[1]Base!$A$11:$O$1264,15,FALSE)</f>
        <v>591.95645404411755</v>
      </c>
      <c r="G794">
        <f t="shared" si="12"/>
        <v>1</v>
      </c>
    </row>
    <row r="795" spans="1:7" x14ac:dyDescent="0.25">
      <c r="A795" s="38" t="s">
        <v>489</v>
      </c>
      <c r="B795" s="37" t="s">
        <v>1739</v>
      </c>
      <c r="C795" s="63">
        <v>1</v>
      </c>
      <c r="D795" s="58">
        <f>+VLOOKUP(A795,[1]Base!$A$11:$O$1318,15,FALSE)</f>
        <v>422.98725000000007</v>
      </c>
      <c r="E795" s="58">
        <f>+VLOOKUP(A795,[1]Base!$A$11:$R$1579,18,FALSE)</f>
        <v>528.73406250000005</v>
      </c>
      <c r="F795">
        <f>+VLOOKUP(A795,[1]Base!$A$11:$O$1264,15,FALSE)</f>
        <v>422.98725000000007</v>
      </c>
      <c r="G795">
        <f t="shared" si="12"/>
        <v>1</v>
      </c>
    </row>
    <row r="796" spans="1:7" x14ac:dyDescent="0.25">
      <c r="A796" s="36" t="s">
        <v>490</v>
      </c>
      <c r="B796" s="35" t="s">
        <v>1740</v>
      </c>
      <c r="C796" s="63">
        <v>13</v>
      </c>
      <c r="D796" s="58">
        <f>+VLOOKUP(A796,[1]Base!$A$11:$O$1318,15,FALSE)</f>
        <v>43.42299524221454</v>
      </c>
      <c r="E796" s="58">
        <f>+VLOOKUP(A796,[1]Base!$A$11:$R$1579,18,FALSE)</f>
        <v>62.032850346020773</v>
      </c>
      <c r="F796">
        <f>+VLOOKUP(A796,[1]Base!$A$11:$O$1264,15,FALSE)</f>
        <v>43.42299524221454</v>
      </c>
      <c r="G796">
        <f t="shared" si="12"/>
        <v>1</v>
      </c>
    </row>
    <row r="797" spans="1:7" x14ac:dyDescent="0.25">
      <c r="A797" s="36" t="s">
        <v>491</v>
      </c>
      <c r="B797" s="35" t="s">
        <v>1741</v>
      </c>
      <c r="C797" s="63">
        <v>30</v>
      </c>
      <c r="D797" s="58">
        <f>+VLOOKUP(A797,[1]Base!$A$11:$O$1318,15,FALSE)</f>
        <v>95.851161980968868</v>
      </c>
      <c r="E797" s="58">
        <f>+VLOOKUP(A797,[1]Base!$A$11:$R$1579,18,FALSE)</f>
        <v>136.93023140138411</v>
      </c>
      <c r="F797">
        <f>+VLOOKUP(A797,[1]Base!$A$11:$O$1264,15,FALSE)</f>
        <v>95.851161980968868</v>
      </c>
      <c r="G797">
        <f t="shared" si="12"/>
        <v>1</v>
      </c>
    </row>
    <row r="798" spans="1:7" x14ac:dyDescent="0.25">
      <c r="A798" s="36" t="s">
        <v>492</v>
      </c>
      <c r="B798" s="35" t="s">
        <v>1742</v>
      </c>
      <c r="C798" s="63">
        <v>13</v>
      </c>
      <c r="D798" s="58">
        <f>+VLOOKUP(A798,[1]Base!$A$11:$O$1318,15,FALSE)</f>
        <v>41.836323529411764</v>
      </c>
      <c r="E798" s="58">
        <f>+VLOOKUP(A798,[1]Base!$A$11:$R$1579,18,FALSE)</f>
        <v>52.2954044117647</v>
      </c>
      <c r="F798">
        <f>+VLOOKUP(A798,[1]Base!$A$11:$O$1264,15,FALSE)</f>
        <v>41.836323529411764</v>
      </c>
      <c r="G798">
        <f t="shared" si="12"/>
        <v>1</v>
      </c>
    </row>
    <row r="799" spans="1:7" x14ac:dyDescent="0.25">
      <c r="A799" s="36" t="s">
        <v>494</v>
      </c>
      <c r="B799" s="35" t="s">
        <v>1744</v>
      </c>
      <c r="C799" s="63">
        <v>25</v>
      </c>
      <c r="D799" s="58">
        <f>+VLOOKUP(A799,[1]Base!$A$11:$O$1318,15,FALSE)</f>
        <v>73.293765479876157</v>
      </c>
      <c r="E799" s="58">
        <f>+VLOOKUP(A799,[1]Base!$A$11:$R$1579,18,FALSE)</f>
        <v>86.227959388089602</v>
      </c>
      <c r="F799">
        <f>+VLOOKUP(A799,[1]Base!$A$11:$O$1264,15,FALSE)</f>
        <v>73.293765479876157</v>
      </c>
      <c r="G799">
        <f t="shared" si="12"/>
        <v>1</v>
      </c>
    </row>
    <row r="800" spans="1:7" x14ac:dyDescent="0.25">
      <c r="A800" s="36" t="s">
        <v>500</v>
      </c>
      <c r="B800" s="35" t="s">
        <v>1748</v>
      </c>
      <c r="C800" s="63">
        <v>25</v>
      </c>
      <c r="D800" s="58">
        <f>+VLOOKUP(A800,[1]Base!$A$11:$O$1318,15,FALSE)</f>
        <v>45.774323937908491</v>
      </c>
      <c r="E800" s="58">
        <f>+VLOOKUP(A800,[1]Base!$A$11:$R$1579,18,FALSE)</f>
        <v>65.391891339869275</v>
      </c>
      <c r="F800">
        <f>+VLOOKUP(A800,[1]Base!$A$11:$O$1264,15,FALSE)</f>
        <v>45.774323937908491</v>
      </c>
      <c r="G800">
        <f t="shared" si="12"/>
        <v>1</v>
      </c>
    </row>
    <row r="801" spans="1:7" x14ac:dyDescent="0.25">
      <c r="A801" s="36" t="s">
        <v>501</v>
      </c>
      <c r="B801" s="35" t="s">
        <v>1749</v>
      </c>
      <c r="C801" s="63">
        <v>25</v>
      </c>
      <c r="D801" s="58">
        <f>+VLOOKUP(A801,[1]Base!$A$11:$O$1318,15,FALSE)</f>
        <v>75.813115325077405</v>
      </c>
      <c r="E801" s="58">
        <f>+VLOOKUP(A801,[1]Base!$A$11:$R$1579,18,FALSE)</f>
        <v>89.191900382444004</v>
      </c>
      <c r="F801">
        <f>+VLOOKUP(A801,[1]Base!$A$11:$O$1264,15,FALSE)</f>
        <v>75.813115325077405</v>
      </c>
      <c r="G801">
        <f t="shared" si="12"/>
        <v>1</v>
      </c>
    </row>
    <row r="802" spans="1:7" x14ac:dyDescent="0.25">
      <c r="A802" s="36" t="s">
        <v>502</v>
      </c>
      <c r="B802" s="35" t="s">
        <v>1750</v>
      </c>
      <c r="C802" s="63">
        <v>25</v>
      </c>
      <c r="D802" s="58">
        <f>+VLOOKUP(A802,[1]Base!$A$11:$O$1318,15,FALSE)</f>
        <v>135.67034829721362</v>
      </c>
      <c r="E802" s="58">
        <f>+VLOOKUP(A802,[1]Base!$A$11:$R$1579,18,FALSE)</f>
        <v>159.61217446731015</v>
      </c>
      <c r="F802">
        <f>+VLOOKUP(A802,[1]Base!$A$11:$O$1264,15,FALSE)</f>
        <v>135.67034829721362</v>
      </c>
      <c r="G802">
        <f t="shared" si="12"/>
        <v>1</v>
      </c>
    </row>
    <row r="803" spans="1:7" x14ac:dyDescent="0.25">
      <c r="A803" s="36" t="s">
        <v>525</v>
      </c>
      <c r="B803" s="35" t="s">
        <v>1753</v>
      </c>
      <c r="C803" s="63">
        <v>200</v>
      </c>
      <c r="D803" s="58">
        <f>+VLOOKUP(A803,[1]Base!$A$11:$O$1318,15,FALSE)</f>
        <v>531.34431888544896</v>
      </c>
      <c r="E803" s="58">
        <f>+VLOOKUP(A803,[1]Base!$A$11:$R$1579,18,FALSE)</f>
        <v>625.11096339464586</v>
      </c>
      <c r="F803">
        <f>+VLOOKUP(A803,[1]Base!$A$11:$O$1264,15,FALSE)</f>
        <v>531.34431888544896</v>
      </c>
      <c r="G803">
        <f t="shared" si="12"/>
        <v>1</v>
      </c>
    </row>
    <row r="804" spans="1:7" x14ac:dyDescent="0.25">
      <c r="A804" s="36" t="s">
        <v>526</v>
      </c>
      <c r="B804" s="35" t="s">
        <v>1754</v>
      </c>
      <c r="C804" s="63">
        <v>1000</v>
      </c>
      <c r="D804" s="58">
        <f>+VLOOKUP(A804,[1]Base!$A$11:$O$1318,15,FALSE)</f>
        <v>2587.8593653250773</v>
      </c>
      <c r="E804" s="58">
        <f>+VLOOKUP(A804,[1]Base!$A$11:$R$1579,18,FALSE)</f>
        <v>3044.5404297942086</v>
      </c>
      <c r="F804">
        <f>+VLOOKUP(A804,[1]Base!$A$11:$O$1264,15,FALSE)</f>
        <v>2587.8593653250773</v>
      </c>
      <c r="G804">
        <f t="shared" si="12"/>
        <v>1</v>
      </c>
    </row>
    <row r="805" spans="1:7" x14ac:dyDescent="0.25">
      <c r="A805" s="36" t="s">
        <v>527</v>
      </c>
      <c r="B805" s="35" t="s">
        <v>1755</v>
      </c>
      <c r="C805" s="63">
        <v>200</v>
      </c>
      <c r="D805" s="58">
        <f>+VLOOKUP(A805,[1]Base!$A$11:$O$1318,15,FALSE)</f>
        <v>534.70345201238388</v>
      </c>
      <c r="E805" s="58">
        <f>+VLOOKUP(A805,[1]Base!$A$11:$R$1579,18,FALSE)</f>
        <v>629.06288472045162</v>
      </c>
      <c r="F805">
        <f>+VLOOKUP(A805,[1]Base!$A$11:$O$1264,15,FALSE)</f>
        <v>534.70345201238388</v>
      </c>
      <c r="G805">
        <f t="shared" si="12"/>
        <v>1</v>
      </c>
    </row>
    <row r="806" spans="1:7" x14ac:dyDescent="0.25">
      <c r="A806" s="36" t="s">
        <v>528</v>
      </c>
      <c r="B806" s="35" t="s">
        <v>1756</v>
      </c>
      <c r="C806" s="63">
        <v>1000</v>
      </c>
      <c r="D806" s="58">
        <f>+VLOOKUP(A806,[1]Base!$A$11:$O$1318,15,FALSE)</f>
        <v>2604.6550309597524</v>
      </c>
      <c r="E806" s="58">
        <f>+VLOOKUP(A806,[1]Base!$A$11:$R$1579,18,FALSE)</f>
        <v>3064.300036423238</v>
      </c>
      <c r="F806">
        <f>+VLOOKUP(A806,[1]Base!$A$11:$O$1264,15,FALSE)</f>
        <v>2604.6550309597524</v>
      </c>
      <c r="G806">
        <f t="shared" si="12"/>
        <v>1</v>
      </c>
    </row>
    <row r="807" spans="1:7" x14ac:dyDescent="0.25">
      <c r="A807" s="36" t="s">
        <v>529</v>
      </c>
      <c r="B807" s="35" t="s">
        <v>1757</v>
      </c>
      <c r="C807" s="63">
        <v>200</v>
      </c>
      <c r="D807" s="58">
        <f>+VLOOKUP(A807,[1]Base!$A$11:$O$1318,15,FALSE)</f>
        <v>1003.4839164086686</v>
      </c>
      <c r="E807" s="58">
        <f>+VLOOKUP(A807,[1]Base!$A$11:$R$1579,18,FALSE)</f>
        <v>1180.5693134219632</v>
      </c>
      <c r="F807">
        <f>+VLOOKUP(A807,[1]Base!$A$11:$O$1264,15,FALSE)</f>
        <v>1003.4839164086686</v>
      </c>
      <c r="G807">
        <f t="shared" si="12"/>
        <v>1</v>
      </c>
    </row>
    <row r="808" spans="1:7" x14ac:dyDescent="0.25">
      <c r="A808" s="36" t="s">
        <v>530</v>
      </c>
      <c r="B808" s="35" t="s">
        <v>1758</v>
      </c>
      <c r="C808" s="63">
        <v>1000</v>
      </c>
      <c r="D808" s="58">
        <f>+VLOOKUP(A808,[1]Base!$A$11:$O$1318,15,FALSE)</f>
        <v>4948.5573529411758</v>
      </c>
      <c r="E808" s="58">
        <f>+VLOOKUP(A808,[1]Base!$A$11:$R$1579,18,FALSE)</f>
        <v>5821.8321799307951</v>
      </c>
      <c r="F808">
        <f>+VLOOKUP(A808,[1]Base!$A$11:$O$1264,15,FALSE)</f>
        <v>4948.5573529411758</v>
      </c>
      <c r="G808">
        <f t="shared" si="12"/>
        <v>1</v>
      </c>
    </row>
    <row r="809" spans="1:7" x14ac:dyDescent="0.25">
      <c r="A809" s="36" t="s">
        <v>531</v>
      </c>
      <c r="B809" s="37" t="s">
        <v>1759</v>
      </c>
      <c r="C809" s="63">
        <v>260</v>
      </c>
      <c r="D809" s="58">
        <f>+VLOOKUP(A809,[1]Base!$A$11:$O$1318,15,FALSE)</f>
        <v>712.86893382352946</v>
      </c>
      <c r="E809" s="58">
        <f>+VLOOKUP(A809,[1]Base!$A$11:$R$1579,18,FALSE)</f>
        <v>1018.3841911764707</v>
      </c>
      <c r="F809">
        <f>+VLOOKUP(A809,[1]Base!$A$11:$O$1264,15,FALSE)</f>
        <v>712.86893382352946</v>
      </c>
      <c r="G809">
        <f t="shared" si="12"/>
        <v>1</v>
      </c>
    </row>
    <row r="810" spans="1:7" x14ac:dyDescent="0.25">
      <c r="A810" s="36" t="s">
        <v>532</v>
      </c>
      <c r="B810" s="37" t="s">
        <v>1760</v>
      </c>
      <c r="C810" s="63">
        <v>1300</v>
      </c>
      <c r="D810" s="58">
        <f>+VLOOKUP(A810,[1]Base!$A$11:$O$1318,15,FALSE)</f>
        <v>3523.0588235294113</v>
      </c>
      <c r="E810" s="58">
        <f>+VLOOKUP(A810,[1]Base!$A$11:$R$1579,18,FALSE)</f>
        <v>5032.9411764705874</v>
      </c>
      <c r="F810">
        <f>+VLOOKUP(A810,[1]Base!$A$11:$O$1264,15,FALSE)</f>
        <v>3523.0588235294113</v>
      </c>
      <c r="G810">
        <f t="shared" si="12"/>
        <v>1</v>
      </c>
    </row>
    <row r="811" spans="1:7" x14ac:dyDescent="0.25">
      <c r="A811" s="36" t="s">
        <v>539</v>
      </c>
      <c r="B811" s="35" t="s">
        <v>1767</v>
      </c>
      <c r="C811" s="63">
        <v>200</v>
      </c>
      <c r="D811" s="58">
        <f>+VLOOKUP(A811,[1]Base!$A$11:$O$1318,15,FALSE)</f>
        <v>308.132908496732</v>
      </c>
      <c r="E811" s="58">
        <f>+VLOOKUP(A811,[1]Base!$A$11:$R$1579,18,FALSE)</f>
        <v>440.18986928104573</v>
      </c>
      <c r="F811">
        <f>+VLOOKUP(A811,[1]Base!$A$11:$O$1264,15,FALSE)</f>
        <v>308.132908496732</v>
      </c>
      <c r="G811">
        <f t="shared" si="12"/>
        <v>1</v>
      </c>
    </row>
    <row r="812" spans="1:7" x14ac:dyDescent="0.25">
      <c r="A812" s="36" t="s">
        <v>540</v>
      </c>
      <c r="B812" s="35" t="s">
        <v>1768</v>
      </c>
      <c r="C812" s="63">
        <v>1000</v>
      </c>
      <c r="D812" s="58">
        <f>+VLOOKUP(A812,[1]Base!$A$11:$O$1318,15,FALSE)</f>
        <v>1467.9766339869282</v>
      </c>
      <c r="E812" s="58">
        <f>+VLOOKUP(A812,[1]Base!$A$11:$R$1579,18,FALSE)</f>
        <v>2097.1094771241833</v>
      </c>
      <c r="F812">
        <f>+VLOOKUP(A812,[1]Base!$A$11:$O$1264,15,FALSE)</f>
        <v>1467.9766339869282</v>
      </c>
      <c r="G812">
        <f t="shared" si="12"/>
        <v>1</v>
      </c>
    </row>
    <row r="813" spans="1:7" x14ac:dyDescent="0.25">
      <c r="A813" s="36" t="s">
        <v>555</v>
      </c>
      <c r="B813" s="35" t="s">
        <v>1781</v>
      </c>
      <c r="C813" s="63">
        <v>25</v>
      </c>
      <c r="D813" s="58">
        <f>+VLOOKUP(A813,[1]Base!$A$11:$O$1318,15,FALSE)</f>
        <v>131.47143188854491</v>
      </c>
      <c r="E813" s="58">
        <f>+VLOOKUP(A813,[1]Base!$A$11:$R$1579,18,FALSE)</f>
        <v>154.67227281005285</v>
      </c>
      <c r="F813">
        <f>+VLOOKUP(A813,[1]Base!$A$11:$O$1264,15,FALSE)</f>
        <v>131.47143188854491</v>
      </c>
      <c r="G813">
        <f t="shared" si="12"/>
        <v>1</v>
      </c>
    </row>
    <row r="814" spans="1:7" x14ac:dyDescent="0.25">
      <c r="A814" s="36" t="s">
        <v>556</v>
      </c>
      <c r="B814" s="35" t="s">
        <v>1782</v>
      </c>
      <c r="C814" s="63">
        <v>200</v>
      </c>
      <c r="D814" s="58">
        <f>+VLOOKUP(A814,[1]Base!$A$11:$O$1318,15,FALSE)</f>
        <v>996.76565015479878</v>
      </c>
      <c r="E814" s="58">
        <f>+VLOOKUP(A814,[1]Base!$A$11:$R$1579,18,FALSE)</f>
        <v>1172.6654707703515</v>
      </c>
      <c r="F814">
        <f>+VLOOKUP(A814,[1]Base!$A$11:$O$1264,15,FALSE)</f>
        <v>996.76565015479878</v>
      </c>
      <c r="G814">
        <f t="shared" si="12"/>
        <v>1</v>
      </c>
    </row>
    <row r="815" spans="1:7" x14ac:dyDescent="0.25">
      <c r="A815" s="36" t="s">
        <v>557</v>
      </c>
      <c r="B815" s="35" t="s">
        <v>1783</v>
      </c>
      <c r="C815" s="63">
        <v>1000</v>
      </c>
      <c r="D815" s="58">
        <f>+VLOOKUP(A815,[1]Base!$A$11:$O$1318,15,FALSE)</f>
        <v>4914.9660216718266</v>
      </c>
      <c r="E815" s="58">
        <f>+VLOOKUP(A815,[1]Base!$A$11:$R$1579,18,FALSE)</f>
        <v>5782.3129666727373</v>
      </c>
      <c r="F815">
        <f>+VLOOKUP(A815,[1]Base!$A$11:$O$1264,15,FALSE)</f>
        <v>4914.9660216718266</v>
      </c>
      <c r="G815">
        <f t="shared" si="12"/>
        <v>1</v>
      </c>
    </row>
    <row r="816" spans="1:7" x14ac:dyDescent="0.25">
      <c r="A816" s="38" t="s">
        <v>573</v>
      </c>
      <c r="B816" s="37" t="s">
        <v>574</v>
      </c>
      <c r="C816" s="63">
        <v>1</v>
      </c>
      <c r="D816" s="58">
        <f>+VLOOKUP(A816,[1]Base!$A$11:$O$1318,15,FALSE)</f>
        <v>2.7523897058823521</v>
      </c>
      <c r="E816" s="58">
        <f>+VLOOKUP(A816,[1]Base!$A$11:$R$1579,18,FALSE)</f>
        <v>3.4404871323529398</v>
      </c>
      <c r="F816">
        <f>+VLOOKUP(A816,[1]Base!$A$11:$O$1264,15,FALSE)</f>
        <v>2.7523897058823521</v>
      </c>
      <c r="G816">
        <f t="shared" si="12"/>
        <v>1</v>
      </c>
    </row>
    <row r="817" spans="1:7" x14ac:dyDescent="0.25">
      <c r="A817" s="38" t="s">
        <v>575</v>
      </c>
      <c r="B817" s="37" t="s">
        <v>1785</v>
      </c>
      <c r="C817" s="63">
        <v>1</v>
      </c>
      <c r="D817" s="58">
        <f>+VLOOKUP(A817,[1]Base!$A$11:$O$1318,15,FALSE)</f>
        <v>187.16250000000002</v>
      </c>
      <c r="E817" s="58">
        <f>+VLOOKUP(A817,[1]Base!$A$11:$R$1579,18,FALSE)</f>
        <v>233.95312500000003</v>
      </c>
      <c r="F817">
        <f>+VLOOKUP(A817,[1]Base!$A$11:$O$1264,15,FALSE)</f>
        <v>187.16250000000002</v>
      </c>
      <c r="G817">
        <f t="shared" si="12"/>
        <v>1</v>
      </c>
    </row>
    <row r="818" spans="1:7" x14ac:dyDescent="0.25">
      <c r="A818" s="40" t="s">
        <v>576</v>
      </c>
      <c r="B818" s="35" t="s">
        <v>577</v>
      </c>
      <c r="C818" s="63">
        <v>1</v>
      </c>
      <c r="D818" s="58">
        <f>+VLOOKUP(A818,[1]Base!$A$11:$O$1318,15,FALSE)</f>
        <v>930.03248161764691</v>
      </c>
      <c r="E818" s="58">
        <f>+VLOOKUP(A818,[1]Base!$A$11:$R$1579,18,FALSE)</f>
        <v>1162.5406020220585</v>
      </c>
      <c r="F818">
        <f>+VLOOKUP(A818,[1]Base!$A$11:$O$1264,15,FALSE)</f>
        <v>930.03248161764691</v>
      </c>
      <c r="G818">
        <f t="shared" si="12"/>
        <v>1</v>
      </c>
    </row>
    <row r="819" spans="1:7" x14ac:dyDescent="0.25">
      <c r="A819" s="40" t="s">
        <v>578</v>
      </c>
      <c r="B819" s="35" t="s">
        <v>579</v>
      </c>
      <c r="C819" s="63">
        <v>1</v>
      </c>
      <c r="D819" s="58">
        <f>+VLOOKUP(A819,[1]Base!$A$11:$O$1318,15,FALSE)</f>
        <v>880.76470588235281</v>
      </c>
      <c r="E819" s="58">
        <f>+VLOOKUP(A819,[1]Base!$A$11:$R$1579,18,FALSE)</f>
        <v>1100.955882352941</v>
      </c>
      <c r="F819">
        <f>+VLOOKUP(A819,[1]Base!$A$11:$O$1264,15,FALSE)</f>
        <v>880.76470588235281</v>
      </c>
      <c r="G819">
        <f t="shared" si="12"/>
        <v>1</v>
      </c>
    </row>
    <row r="820" spans="1:7" x14ac:dyDescent="0.25">
      <c r="A820" s="38" t="s">
        <v>580</v>
      </c>
      <c r="B820" s="37" t="s">
        <v>581</v>
      </c>
      <c r="C820" s="63">
        <v>1</v>
      </c>
      <c r="D820" s="58">
        <f>+VLOOKUP(A820,[1]Base!$A$11:$O$1318,15,FALSE)</f>
        <v>1376.1948529411764</v>
      </c>
      <c r="E820" s="58">
        <f>+VLOOKUP(A820,[1]Base!$A$11:$R$1579,18,FALSE)</f>
        <v>1720.2435661764703</v>
      </c>
      <c r="F820">
        <f>+VLOOKUP(A820,[1]Base!$A$11:$O$1264,15,FALSE)</f>
        <v>1376.1948529411764</v>
      </c>
      <c r="G820">
        <f t="shared" si="12"/>
        <v>1</v>
      </c>
    </row>
    <row r="821" spans="1:7" x14ac:dyDescent="0.25">
      <c r="A821" s="38" t="s">
        <v>582</v>
      </c>
      <c r="B821" s="37" t="s">
        <v>583</v>
      </c>
      <c r="C821" s="63">
        <v>1</v>
      </c>
      <c r="D821" s="58">
        <f>+VLOOKUP(A821,[1]Base!$A$11:$O$1318,15,FALSE)</f>
        <v>1926.6727941176468</v>
      </c>
      <c r="E821" s="58">
        <f>+VLOOKUP(A821,[1]Base!$A$11:$R$1579,18,FALSE)</f>
        <v>2408.3409926470586</v>
      </c>
      <c r="F821">
        <f>+VLOOKUP(A821,[1]Base!$A$11:$O$1264,15,FALSE)</f>
        <v>1926.6727941176468</v>
      </c>
      <c r="G821">
        <f t="shared" si="12"/>
        <v>1</v>
      </c>
    </row>
    <row r="822" spans="1:7" x14ac:dyDescent="0.25">
      <c r="A822" s="38" t="s">
        <v>584</v>
      </c>
      <c r="B822" s="37" t="s">
        <v>1786</v>
      </c>
      <c r="C822" s="63"/>
      <c r="D822" s="58">
        <f>+VLOOKUP(A822,[1]Base!$A$11:$O$1318,15,FALSE)</f>
        <v>0.35781066176470588</v>
      </c>
      <c r="E822" s="58">
        <f>+VLOOKUP(A822,[1]Base!$A$11:$R$1579,18,FALSE)</f>
        <v>0.44726332720588236</v>
      </c>
      <c r="F822">
        <f>+VLOOKUP(A822,[1]Base!$A$11:$O$1264,15,FALSE)</f>
        <v>0.35781066176470588</v>
      </c>
      <c r="G822">
        <f t="shared" si="12"/>
        <v>1</v>
      </c>
    </row>
    <row r="823" spans="1:7" x14ac:dyDescent="0.25">
      <c r="A823" s="38" t="s">
        <v>585</v>
      </c>
      <c r="B823" s="37" t="s">
        <v>1787</v>
      </c>
      <c r="C823" s="63"/>
      <c r="D823" s="58">
        <f>+VLOOKUP(A823,[1]Base!$A$11:$O$1318,15,FALSE)</f>
        <v>44.931385753676466</v>
      </c>
      <c r="E823" s="58">
        <f>+VLOOKUP(A823,[1]Base!$A$11:$R$1579,18,FALSE)</f>
        <v>56.164232192095582</v>
      </c>
      <c r="F823">
        <f>+VLOOKUP(A823,[1]Base!$A$11:$O$1264,15,FALSE)</f>
        <v>44.931385753676466</v>
      </c>
      <c r="G823">
        <f t="shared" si="12"/>
        <v>1</v>
      </c>
    </row>
    <row r="824" spans="1:7" x14ac:dyDescent="0.25">
      <c r="A824" s="38" t="s">
        <v>586</v>
      </c>
      <c r="B824" s="37" t="s">
        <v>1788</v>
      </c>
      <c r="C824" s="63"/>
      <c r="D824" s="58">
        <f>+VLOOKUP(A824,[1]Base!$A$11:$O$1318,15,FALSE)</f>
        <v>47.615309765624993</v>
      </c>
      <c r="E824" s="58">
        <f>+VLOOKUP(A824,[1]Base!$A$11:$R$1579,18,FALSE)</f>
        <v>59.519137207031235</v>
      </c>
      <c r="F824">
        <f>+VLOOKUP(A824,[1]Base!$A$11:$O$1264,15,FALSE)</f>
        <v>47.615309765624993</v>
      </c>
      <c r="G824">
        <f t="shared" si="12"/>
        <v>1</v>
      </c>
    </row>
    <row r="825" spans="1:7" x14ac:dyDescent="0.25">
      <c r="A825" s="38" t="s">
        <v>588</v>
      </c>
      <c r="B825" s="37" t="s">
        <v>1789</v>
      </c>
      <c r="C825" s="63"/>
      <c r="D825" s="58">
        <f>+VLOOKUP(A825,[1]Base!$A$11:$O$1318,15,FALSE)</f>
        <v>2.5872463235294112</v>
      </c>
      <c r="E825" s="58">
        <f>+VLOOKUP(A825,[1]Base!$A$11:$R$1579,18,FALSE)</f>
        <v>3.2340579044117637</v>
      </c>
      <c r="F825">
        <f>+VLOOKUP(A825,[1]Base!$A$11:$O$1264,15,FALSE)</f>
        <v>2.5872463235294112</v>
      </c>
      <c r="G825">
        <f t="shared" si="12"/>
        <v>1</v>
      </c>
    </row>
    <row r="826" spans="1:7" x14ac:dyDescent="0.25">
      <c r="A826" s="38" t="s">
        <v>589</v>
      </c>
      <c r="B826" s="37" t="s">
        <v>1790</v>
      </c>
      <c r="C826" s="63"/>
      <c r="D826" s="58">
        <f>+VLOOKUP(A826,[1]Base!$A$11:$O$1318,15,FALSE)</f>
        <v>3.8533455882352934</v>
      </c>
      <c r="E826" s="58">
        <f>+VLOOKUP(A826,[1]Base!$A$11:$R$1579,18,FALSE)</f>
        <v>4.8166819852941165</v>
      </c>
      <c r="F826">
        <f>+VLOOKUP(A826,[1]Base!$A$11:$O$1264,15,FALSE)</f>
        <v>3.8533455882352934</v>
      </c>
      <c r="G826">
        <f t="shared" si="12"/>
        <v>1</v>
      </c>
    </row>
    <row r="827" spans="1:7" x14ac:dyDescent="0.25">
      <c r="A827" s="38" t="s">
        <v>590</v>
      </c>
      <c r="B827" s="37" t="s">
        <v>1791</v>
      </c>
      <c r="C827" s="63"/>
      <c r="D827" s="58">
        <f>+VLOOKUP(A827,[1]Base!$A$11:$O$1318,15,FALSE)</f>
        <v>7.8718345588235277</v>
      </c>
      <c r="E827" s="58">
        <f>+VLOOKUP(A827,[1]Base!$A$11:$R$1579,18,FALSE)</f>
        <v>9.8397931985294083</v>
      </c>
      <c r="F827">
        <f>+VLOOKUP(A827,[1]Base!$A$11:$O$1264,15,FALSE)</f>
        <v>7.8718345588235277</v>
      </c>
      <c r="G827">
        <f t="shared" si="12"/>
        <v>1</v>
      </c>
    </row>
    <row r="828" spans="1:7" x14ac:dyDescent="0.25">
      <c r="A828" s="36" t="s">
        <v>594</v>
      </c>
      <c r="B828" s="35" t="s">
        <v>595</v>
      </c>
      <c r="C828" s="63">
        <v>1</v>
      </c>
      <c r="D828" s="58">
        <f>+VLOOKUP(A828,[1]Base!$A$11:$O$1318,15,FALSE)</f>
        <v>0.51902205882352948</v>
      </c>
      <c r="E828" s="58">
        <f>+VLOOKUP(A828,[1]Base!$A$11:$R$1579,18,FALSE)</f>
        <v>0.64877757352941179</v>
      </c>
      <c r="F828">
        <f>+VLOOKUP(A828,[1]Base!$A$11:$O$1264,15,FALSE)</f>
        <v>0.51902205882352948</v>
      </c>
      <c r="G828">
        <f t="shared" si="12"/>
        <v>1</v>
      </c>
    </row>
    <row r="829" spans="1:7" x14ac:dyDescent="0.25">
      <c r="A829" s="38" t="s">
        <v>596</v>
      </c>
      <c r="B829" s="37" t="s">
        <v>1793</v>
      </c>
      <c r="C829" s="63"/>
      <c r="D829" s="58">
        <f>+VLOOKUP(A829,[1]Base!$A$11:$O$1318,15,FALSE)</f>
        <v>1.4862904411764706</v>
      </c>
      <c r="E829" s="58">
        <f>+VLOOKUP(A829,[1]Base!$A$11:$R$1579,18,FALSE)</f>
        <v>1.8578630514705881</v>
      </c>
      <c r="F829">
        <f>+VLOOKUP(A829,[1]Base!$A$11:$O$1264,15,FALSE)</f>
        <v>1.4862904411764706</v>
      </c>
      <c r="G829">
        <f t="shared" si="12"/>
        <v>1</v>
      </c>
    </row>
    <row r="830" spans="1:7" x14ac:dyDescent="0.25">
      <c r="A830" s="46" t="s">
        <v>597</v>
      </c>
      <c r="B830" s="35" t="s">
        <v>598</v>
      </c>
      <c r="C830" s="63">
        <v>1</v>
      </c>
      <c r="D830" s="58">
        <f>+VLOOKUP(A830,[1]Base!$A$11:$O$1318,15,FALSE)</f>
        <v>3.0449294117647061</v>
      </c>
      <c r="E830" s="58">
        <f>+VLOOKUP(A830,[1]Base!$A$11:$R$1579,18,FALSE)</f>
        <v>3.8061617647058825</v>
      </c>
      <c r="F830">
        <f>+VLOOKUP(A830,[1]Base!$A$11:$O$1264,15,FALSE)</f>
        <v>3.0449294117647061</v>
      </c>
      <c r="G830">
        <f t="shared" si="12"/>
        <v>1</v>
      </c>
    </row>
    <row r="831" spans="1:7" x14ac:dyDescent="0.25">
      <c r="A831" s="36" t="s">
        <v>601</v>
      </c>
      <c r="B831" s="35" t="s">
        <v>602</v>
      </c>
      <c r="C831" s="63">
        <v>1</v>
      </c>
      <c r="D831" s="58">
        <f>+VLOOKUP(A831,[1]Base!$A$11:$O$1318,15,FALSE)</f>
        <v>101.04022610294119</v>
      </c>
      <c r="E831" s="58">
        <f>+VLOOKUP(A831,[1]Base!$A$11:$R$1579,18,FALSE)</f>
        <v>126.30028262867648</v>
      </c>
      <c r="F831">
        <f>+VLOOKUP(A831,[1]Base!$A$11:$O$1264,15,FALSE)</f>
        <v>101.04022610294119</v>
      </c>
      <c r="G831">
        <f t="shared" si="12"/>
        <v>1</v>
      </c>
    </row>
    <row r="832" spans="1:7" x14ac:dyDescent="0.25">
      <c r="A832" s="38" t="s">
        <v>607</v>
      </c>
      <c r="B832" s="37" t="s">
        <v>1794</v>
      </c>
      <c r="C832" s="63"/>
      <c r="D832" s="58">
        <f>+VLOOKUP(A832,[1]Base!$A$11:$O$1318,15,FALSE)</f>
        <v>38.313264705882354</v>
      </c>
      <c r="E832" s="58">
        <f>+VLOOKUP(A832,[1]Base!$A$11:$R$1579,18,FALSE)</f>
        <v>47.89158088235294</v>
      </c>
      <c r="F832">
        <f>+VLOOKUP(A832,[1]Base!$A$11:$O$1264,15,FALSE)</f>
        <v>38.313264705882354</v>
      </c>
      <c r="G832">
        <f t="shared" si="12"/>
        <v>1</v>
      </c>
    </row>
    <row r="833" spans="1:7" x14ac:dyDescent="0.25">
      <c r="A833" s="38" t="s">
        <v>611</v>
      </c>
      <c r="B833" s="37" t="s">
        <v>1796</v>
      </c>
      <c r="C833" s="63"/>
      <c r="D833" s="58">
        <f>+VLOOKUP(A833,[1]Base!$A$11:$O$1318,15,FALSE)</f>
        <v>104.59080882352941</v>
      </c>
      <c r="E833" s="58">
        <f>+VLOOKUP(A833,[1]Base!$A$11:$R$1579,18,FALSE)</f>
        <v>130.73851102941177</v>
      </c>
      <c r="F833">
        <f>+VLOOKUP(A833,[1]Base!$A$11:$O$1264,15,FALSE)</f>
        <v>104.59080882352941</v>
      </c>
      <c r="G833">
        <f t="shared" si="12"/>
        <v>1</v>
      </c>
    </row>
    <row r="834" spans="1:7" x14ac:dyDescent="0.25">
      <c r="A834" s="38" t="s">
        <v>612</v>
      </c>
      <c r="B834" s="37" t="s">
        <v>613</v>
      </c>
      <c r="C834" s="63"/>
      <c r="D834" s="58">
        <f>+VLOOKUP(A834,[1]Base!$A$11:$O$1318,15,FALSE)</f>
        <v>40.542700367647051</v>
      </c>
      <c r="E834" s="58">
        <f>+VLOOKUP(A834,[1]Base!$A$11:$R$1579,18,FALSE)</f>
        <v>50.678375459558808</v>
      </c>
      <c r="F834">
        <f>+VLOOKUP(A834,[1]Base!$A$11:$O$1264,15,FALSE)</f>
        <v>40.542700367647051</v>
      </c>
      <c r="G834">
        <f t="shared" si="12"/>
        <v>1</v>
      </c>
    </row>
    <row r="835" spans="1:7" x14ac:dyDescent="0.25">
      <c r="A835" s="38" t="s">
        <v>616</v>
      </c>
      <c r="B835" s="37" t="s">
        <v>617</v>
      </c>
      <c r="C835" s="63"/>
      <c r="D835" s="58">
        <f>+VLOOKUP(A835,[1]Base!$A$11:$O$1318,15,FALSE)</f>
        <v>38.368312499999988</v>
      </c>
      <c r="E835" s="58">
        <f>+VLOOKUP(A835,[1]Base!$A$11:$R$1579,18,FALSE)</f>
        <v>47.960390624999981</v>
      </c>
      <c r="F835">
        <f>+VLOOKUP(A835,[1]Base!$A$11:$O$1264,15,FALSE)</f>
        <v>38.368312499999988</v>
      </c>
      <c r="G835">
        <f t="shared" si="12"/>
        <v>1</v>
      </c>
    </row>
    <row r="836" spans="1:7" x14ac:dyDescent="0.25">
      <c r="A836" s="38" t="s">
        <v>618</v>
      </c>
      <c r="B836" s="37" t="s">
        <v>1797</v>
      </c>
      <c r="C836" s="63"/>
      <c r="D836" s="58">
        <f>+VLOOKUP(A836,[1]Base!$A$11:$O$1318,15,FALSE)</f>
        <v>25.569700367647052</v>
      </c>
      <c r="E836" s="58">
        <f>+VLOOKUP(A836,[1]Base!$A$11:$R$1579,18,FALSE)</f>
        <v>31.962125459558813</v>
      </c>
      <c r="F836">
        <f>+VLOOKUP(A836,[1]Base!$A$11:$O$1264,15,FALSE)</f>
        <v>25.569700367647052</v>
      </c>
      <c r="G836">
        <f t="shared" ref="G836:G899" si="13">+F836/D836</f>
        <v>1</v>
      </c>
    </row>
    <row r="837" spans="1:7" x14ac:dyDescent="0.25">
      <c r="A837" s="40" t="s">
        <v>625</v>
      </c>
      <c r="B837" s="35" t="s">
        <v>626</v>
      </c>
      <c r="C837" s="63">
        <v>1</v>
      </c>
      <c r="D837" s="58">
        <f>+VLOOKUP(A837,[1]Base!$A$11:$O$1318,15,FALSE)</f>
        <v>82.57169117647058</v>
      </c>
      <c r="E837" s="58">
        <f>+VLOOKUP(A837,[1]Base!$A$11:$R$1579,18,FALSE)</f>
        <v>103.21461397058822</v>
      </c>
      <c r="F837">
        <f>+VLOOKUP(A837,[1]Base!$A$11:$O$1264,15,FALSE)</f>
        <v>82.57169117647058</v>
      </c>
      <c r="G837">
        <f t="shared" si="13"/>
        <v>1</v>
      </c>
    </row>
    <row r="838" spans="1:7" x14ac:dyDescent="0.25">
      <c r="A838" s="47" t="s">
        <v>627</v>
      </c>
      <c r="B838" s="35" t="s">
        <v>628</v>
      </c>
      <c r="C838" s="63">
        <v>1</v>
      </c>
      <c r="D838" s="58">
        <f>+VLOOKUP(A838,[1]Base!$A$11:$O$1318,15,FALSE)</f>
        <v>566.16656250000005</v>
      </c>
      <c r="E838" s="58">
        <f>+VLOOKUP(A838,[1]Base!$A$11:$R$1579,18,FALSE)</f>
        <v>707.70820312500007</v>
      </c>
      <c r="F838">
        <f>+VLOOKUP(A838,[1]Base!$A$11:$O$1264,15,FALSE)</f>
        <v>566.16656250000005</v>
      </c>
      <c r="G838">
        <f t="shared" si="13"/>
        <v>1</v>
      </c>
    </row>
    <row r="839" spans="1:7" x14ac:dyDescent="0.25">
      <c r="A839" s="40" t="s">
        <v>629</v>
      </c>
      <c r="B839" s="35" t="s">
        <v>630</v>
      </c>
      <c r="C839" s="63">
        <v>1</v>
      </c>
      <c r="D839" s="58">
        <f>+VLOOKUP(A839,[1]Base!$A$11:$O$1318,15,FALSE)</f>
        <v>32.348674307958476</v>
      </c>
      <c r="E839" s="58">
        <f>+VLOOKUP(A839,[1]Base!$A$11:$R$1579,18,FALSE)</f>
        <v>40.435842884948094</v>
      </c>
      <c r="F839">
        <f>+VLOOKUP(A839,[1]Base!$A$11:$O$1264,15,FALSE)</f>
        <v>32.348674307958476</v>
      </c>
      <c r="G839">
        <f t="shared" si="13"/>
        <v>1</v>
      </c>
    </row>
    <row r="840" spans="1:7" x14ac:dyDescent="0.25">
      <c r="A840" s="36" t="s">
        <v>632</v>
      </c>
      <c r="B840" s="35" t="s">
        <v>633</v>
      </c>
      <c r="C840" s="63">
        <v>1</v>
      </c>
      <c r="D840" s="58">
        <f>+VLOOKUP(A840,[1]Base!$A$11:$O$1318,15,FALSE)</f>
        <v>10.600632352941174</v>
      </c>
      <c r="E840" s="58">
        <f>+VLOOKUP(A840,[1]Base!$A$11:$R$1319,18,FALSE)</f>
        <v>13.250790441176466</v>
      </c>
      <c r="F840">
        <f>+VLOOKUP(A840,[1]Base!$A$11:$O$13022,15,FALSE)</f>
        <v>10.600632352941174</v>
      </c>
      <c r="G840">
        <f t="shared" si="13"/>
        <v>1</v>
      </c>
    </row>
    <row r="841" spans="1:7" x14ac:dyDescent="0.25">
      <c r="A841" s="36" t="s">
        <v>640</v>
      </c>
      <c r="B841" s="35" t="s">
        <v>641</v>
      </c>
      <c r="C841" s="63">
        <v>1</v>
      </c>
      <c r="D841" s="58">
        <f>+VLOOKUP(A841,[1]Base!$A$11:$O$1318,15,FALSE)</f>
        <v>3.4601470588235306</v>
      </c>
      <c r="E841" s="58">
        <f>+VLOOKUP(A841,[1]Base!$A$11:$R$1579,18,FALSE)</f>
        <v>4.3251838235294127</v>
      </c>
      <c r="F841">
        <f>+VLOOKUP(A841,[1]Base!$A$11:$O$1264,15,FALSE)</f>
        <v>3.4601470588235306</v>
      </c>
      <c r="G841">
        <f t="shared" si="13"/>
        <v>1</v>
      </c>
    </row>
    <row r="842" spans="1:7" x14ac:dyDescent="0.25">
      <c r="A842" s="36" t="s">
        <v>644</v>
      </c>
      <c r="B842" s="35" t="s">
        <v>645</v>
      </c>
      <c r="C842" s="63">
        <v>1</v>
      </c>
      <c r="D842" s="58">
        <f>+VLOOKUP(A842,[1]Base!$A$11:$O$1318,15,FALSE)</f>
        <v>6.7315588235294133</v>
      </c>
      <c r="E842" s="58">
        <f>+VLOOKUP(A842,[1]Base!$A$11:$R$1579,18,FALSE)</f>
        <v>8.4144485294117661</v>
      </c>
      <c r="F842">
        <f>+VLOOKUP(A842,[1]Base!$A$11:$O$1264,15,FALSE)</f>
        <v>6.7315588235294133</v>
      </c>
      <c r="G842">
        <f t="shared" si="13"/>
        <v>1</v>
      </c>
    </row>
    <row r="843" spans="1:7" x14ac:dyDescent="0.25">
      <c r="A843" s="36" t="s">
        <v>646</v>
      </c>
      <c r="B843" s="35" t="s">
        <v>647</v>
      </c>
      <c r="C843" s="63">
        <v>1</v>
      </c>
      <c r="D843" s="58">
        <f>+VLOOKUP(A843,[1]Base!$A$11:$O$1318,15,FALSE)</f>
        <v>6.259720588235294</v>
      </c>
      <c r="E843" s="58">
        <f>+VLOOKUP(A843,[1]Base!$A$11:$R$1579,18,FALSE)</f>
        <v>7.8246507352941173</v>
      </c>
      <c r="F843">
        <f>+VLOOKUP(A843,[1]Base!$A$11:$O$1264,15,FALSE)</f>
        <v>6.259720588235294</v>
      </c>
      <c r="G843">
        <f t="shared" si="13"/>
        <v>1</v>
      </c>
    </row>
    <row r="844" spans="1:7" x14ac:dyDescent="0.25">
      <c r="A844" s="40" t="s">
        <v>652</v>
      </c>
      <c r="B844" s="35" t="s">
        <v>653</v>
      </c>
      <c r="C844" s="63">
        <v>1</v>
      </c>
      <c r="D844" s="58">
        <f>+VLOOKUP(A844,[1]Base!$A$11:$O$1318,15,FALSE)</f>
        <v>55.371604671280274</v>
      </c>
      <c r="E844" s="58">
        <f>+VLOOKUP(A844,[1]Base!$A$11:$R$1579,18,FALSE)</f>
        <v>69.21450583910034</v>
      </c>
      <c r="F844">
        <f>+VLOOKUP(A844,[1]Base!$A$11:$O$1264,15,FALSE)</f>
        <v>55.371604671280274</v>
      </c>
      <c r="G844">
        <f t="shared" si="13"/>
        <v>1</v>
      </c>
    </row>
    <row r="845" spans="1:7" x14ac:dyDescent="0.25">
      <c r="A845" s="36" t="s">
        <v>656</v>
      </c>
      <c r="B845" s="35" t="s">
        <v>657</v>
      </c>
      <c r="C845" s="63">
        <v>6</v>
      </c>
      <c r="D845" s="58">
        <f>+VLOOKUP(A845,[1]Base!$A$11:$O$1318,15,FALSE)</f>
        <v>2.1916256911764709</v>
      </c>
      <c r="E845" s="58">
        <f>+VLOOKUP(A845,[1]Base!$A$11:$R$1579,18,FALSE)</f>
        <v>2.7395321139705886</v>
      </c>
      <c r="F845">
        <f>+VLOOKUP(A845,[1]Base!$A$11:$O$1264,15,FALSE)</f>
        <v>2.1916256911764709</v>
      </c>
      <c r="G845">
        <f t="shared" si="13"/>
        <v>1</v>
      </c>
    </row>
    <row r="846" spans="1:7" x14ac:dyDescent="0.25">
      <c r="A846" s="38" t="s">
        <v>662</v>
      </c>
      <c r="B846" s="37" t="s">
        <v>1801</v>
      </c>
      <c r="C846" s="63"/>
      <c r="D846" s="58">
        <f>+VLOOKUP(A846,[1]Base!$A$11:$O$1318,15,FALSE)</f>
        <v>12.193086397058822</v>
      </c>
      <c r="E846" s="58">
        <f>+VLOOKUP(A846,[1]Base!$A$11:$R$1579,18,FALSE)</f>
        <v>15.241357996323528</v>
      </c>
      <c r="F846">
        <f>+VLOOKUP(A846,[1]Base!$A$11:$O$1264,15,FALSE)</f>
        <v>12.193086397058822</v>
      </c>
      <c r="G846">
        <f t="shared" si="13"/>
        <v>1</v>
      </c>
    </row>
    <row r="847" spans="1:7" x14ac:dyDescent="0.25">
      <c r="A847" s="38" t="s">
        <v>663</v>
      </c>
      <c r="B847" s="37" t="s">
        <v>1802</v>
      </c>
      <c r="C847" s="63"/>
      <c r="D847" s="58">
        <f>+VLOOKUP(A847,[1]Base!$A$11:$O$1318,15,FALSE)</f>
        <v>14.42252205882353</v>
      </c>
      <c r="E847" s="58">
        <f>+VLOOKUP(A847,[1]Base!$A$11:$R$1579,18,FALSE)</f>
        <v>18.028152573529411</v>
      </c>
      <c r="F847">
        <f>+VLOOKUP(A847,[1]Base!$A$11:$O$1264,15,FALSE)</f>
        <v>14.42252205882353</v>
      </c>
      <c r="G847">
        <f t="shared" si="13"/>
        <v>1</v>
      </c>
    </row>
    <row r="848" spans="1:7" x14ac:dyDescent="0.25">
      <c r="A848" s="38" t="s">
        <v>666</v>
      </c>
      <c r="B848" s="37" t="s">
        <v>1803</v>
      </c>
      <c r="C848" s="63"/>
      <c r="D848" s="58">
        <f>+VLOOKUP(A848,[1]Base!$A$11:$O$1318,15,FALSE)</f>
        <v>3.2478198529411761</v>
      </c>
      <c r="E848" s="58">
        <f>+VLOOKUP(A848,[1]Base!$A$11:$R$1579,18,FALSE)</f>
        <v>4.0597748161764695</v>
      </c>
      <c r="F848">
        <f>+VLOOKUP(A848,[1]Base!$A$11:$O$1264,15,FALSE)</f>
        <v>3.2478198529411761</v>
      </c>
      <c r="G848">
        <f t="shared" si="13"/>
        <v>1</v>
      </c>
    </row>
    <row r="849" spans="1:7" x14ac:dyDescent="0.25">
      <c r="A849" s="38" t="s">
        <v>667</v>
      </c>
      <c r="B849" s="37" t="s">
        <v>1804</v>
      </c>
      <c r="C849" s="63"/>
      <c r="D849" s="58">
        <f>+VLOOKUP(A849,[1]Base!$A$11:$O$1318,15,FALSE)</f>
        <v>107.78358088235294</v>
      </c>
      <c r="E849" s="58">
        <f>+VLOOKUP(A849,[1]Base!$A$11:$R$1579,18,FALSE)</f>
        <v>134.72947610294116</v>
      </c>
      <c r="F849">
        <f>+VLOOKUP(A849,[1]Base!$A$11:$O$1264,15,FALSE)</f>
        <v>107.78358088235294</v>
      </c>
      <c r="G849">
        <f t="shared" si="13"/>
        <v>1</v>
      </c>
    </row>
    <row r="850" spans="1:7" x14ac:dyDescent="0.25">
      <c r="A850" s="36" t="s">
        <v>668</v>
      </c>
      <c r="B850" s="35" t="s">
        <v>669</v>
      </c>
      <c r="C850" s="63">
        <v>6</v>
      </c>
      <c r="D850" s="58">
        <f>+VLOOKUP(A850,[1]Base!$A$11:$O$1318,15,FALSE)</f>
        <v>2.4378308823529418</v>
      </c>
      <c r="E850" s="58">
        <f>+VLOOKUP(A850,[1]Base!$A$11:$R$1579,18,FALSE)</f>
        <v>3.047288602941177</v>
      </c>
      <c r="F850">
        <f>+VLOOKUP(A850,[1]Base!$A$11:$O$1264,15,FALSE)</f>
        <v>2.4378308823529418</v>
      </c>
      <c r="G850">
        <f t="shared" si="13"/>
        <v>1</v>
      </c>
    </row>
    <row r="851" spans="1:7" x14ac:dyDescent="0.25">
      <c r="A851" s="38" t="s">
        <v>673</v>
      </c>
      <c r="B851" s="37" t="s">
        <v>674</v>
      </c>
      <c r="C851" s="63"/>
      <c r="D851" s="58">
        <f>+VLOOKUP(A851,[1]Base!$A$11:$O$1318,15,FALSE)</f>
        <v>16.404242647058823</v>
      </c>
      <c r="E851" s="58">
        <f>+VLOOKUP(A851,[1]Base!$A$11:$R$1579,18,FALSE)</f>
        <v>20.505303308823528</v>
      </c>
      <c r="F851">
        <f>+VLOOKUP(A851,[1]Base!$A$11:$O$1264,15,FALSE)</f>
        <v>16.404242647058823</v>
      </c>
      <c r="G851">
        <f t="shared" si="13"/>
        <v>1</v>
      </c>
    </row>
    <row r="852" spans="1:7" x14ac:dyDescent="0.25">
      <c r="A852" s="36" t="s">
        <v>676</v>
      </c>
      <c r="B852" s="35" t="s">
        <v>677</v>
      </c>
      <c r="C852" s="63">
        <v>1</v>
      </c>
      <c r="D852" s="58">
        <f>+VLOOKUP(A852,[1]Base!$A$11:$O$1318,15,FALSE)</f>
        <v>3.428691176470589</v>
      </c>
      <c r="E852" s="58">
        <f>+VLOOKUP(A852,[1]Base!$A$11:$R$1579,18,FALSE)</f>
        <v>4.2858639705882355</v>
      </c>
      <c r="F852">
        <f>+VLOOKUP(A852,[1]Base!$A$11:$O$1264,15,FALSE)</f>
        <v>3.428691176470589</v>
      </c>
      <c r="G852">
        <f t="shared" si="13"/>
        <v>1</v>
      </c>
    </row>
    <row r="853" spans="1:7" x14ac:dyDescent="0.25">
      <c r="A853" s="40" t="s">
        <v>681</v>
      </c>
      <c r="B853" s="35" t="s">
        <v>682</v>
      </c>
      <c r="C853" s="63">
        <v>1</v>
      </c>
      <c r="D853" s="58">
        <f>+VLOOKUP(A853,[1]Base!$A$11:$O$1318,15,FALSE)</f>
        <v>352.95026535467122</v>
      </c>
      <c r="E853" s="58">
        <f>+VLOOKUP(A853,[1]Base!$A$11:$R$1579,18,FALSE)</f>
        <v>441.18783169333898</v>
      </c>
      <c r="F853">
        <f>+VLOOKUP(A853,[1]Base!$A$11:$O$1264,15,FALSE)</f>
        <v>352.95026535467122</v>
      </c>
      <c r="G853">
        <f t="shared" si="13"/>
        <v>1</v>
      </c>
    </row>
    <row r="854" spans="1:7" x14ac:dyDescent="0.25">
      <c r="A854" s="36" t="s">
        <v>683</v>
      </c>
      <c r="B854" s="35" t="s">
        <v>684</v>
      </c>
      <c r="C854" s="63">
        <v>1</v>
      </c>
      <c r="D854" s="58">
        <f>+VLOOKUP(A854,[1]Base!$A$11:$O$1318,15,FALSE)</f>
        <v>32.619749999999996</v>
      </c>
      <c r="E854" s="58">
        <f>+VLOOKUP(A854,[1]Base!$A$11:$R$1579,18,FALSE)</f>
        <v>40.774687499999992</v>
      </c>
      <c r="F854">
        <f>+VLOOKUP(A854,[1]Base!$A$11:$O$1264,15,FALSE)</f>
        <v>32.619749999999996</v>
      </c>
      <c r="G854">
        <f t="shared" si="13"/>
        <v>1</v>
      </c>
    </row>
    <row r="855" spans="1:7" x14ac:dyDescent="0.25">
      <c r="A855" s="39" t="s">
        <v>685</v>
      </c>
      <c r="B855" s="35" t="s">
        <v>686</v>
      </c>
      <c r="C855" s="63">
        <v>1</v>
      </c>
      <c r="D855" s="58">
        <f>+VLOOKUP(A855,[1]Base!$A$11:$O$1318,15,FALSE)</f>
        <v>29.395522058823531</v>
      </c>
      <c r="E855" s="58">
        <f>+VLOOKUP(A855,[1]Base!$A$11:$R$1579,18,FALSE)</f>
        <v>36.744402573529413</v>
      </c>
      <c r="F855">
        <f>+VLOOKUP(A855,[1]Base!$A$11:$O$1264,15,FALSE)</f>
        <v>29.395522058823531</v>
      </c>
      <c r="G855">
        <f t="shared" si="13"/>
        <v>1</v>
      </c>
    </row>
    <row r="856" spans="1:7" x14ac:dyDescent="0.25">
      <c r="A856" s="46" t="s">
        <v>687</v>
      </c>
      <c r="B856" s="35" t="s">
        <v>688</v>
      </c>
      <c r="C856" s="63">
        <v>1</v>
      </c>
      <c r="D856" s="58">
        <f>+VLOOKUP(A856,[1]Base!$A$11:$O$1318,15,FALSE)</f>
        <v>31.141323529411768</v>
      </c>
      <c r="E856" s="58">
        <f>+VLOOKUP(A856,[1]Base!$A$11:$R$1579,18,FALSE)</f>
        <v>38.926654411764709</v>
      </c>
      <c r="F856">
        <f>+VLOOKUP(A856,[1]Base!$A$11:$O$1264,15,FALSE)</f>
        <v>31.141323529411768</v>
      </c>
      <c r="G856">
        <f t="shared" si="13"/>
        <v>1</v>
      </c>
    </row>
    <row r="857" spans="1:7" x14ac:dyDescent="0.25">
      <c r="A857" s="36" t="s">
        <v>689</v>
      </c>
      <c r="B857" s="35" t="s">
        <v>690</v>
      </c>
      <c r="C857" s="63">
        <v>1</v>
      </c>
      <c r="D857" s="58">
        <f>+VLOOKUP(A857,[1]Base!$A$11:$O$1318,15,FALSE)</f>
        <v>297.57264705882358</v>
      </c>
      <c r="E857" s="58">
        <f>+VLOOKUP(A857,[1]Base!$A$11:$R$1579,18,FALSE)</f>
        <v>371.96580882352947</v>
      </c>
      <c r="F857">
        <f>+VLOOKUP(A857,[1]Base!$A$11:$O$1264,15,FALSE)</f>
        <v>297.57264705882358</v>
      </c>
      <c r="G857">
        <f t="shared" si="13"/>
        <v>1</v>
      </c>
    </row>
    <row r="858" spans="1:7" x14ac:dyDescent="0.25">
      <c r="A858" s="38" t="s">
        <v>691</v>
      </c>
      <c r="B858" s="37" t="s">
        <v>1808</v>
      </c>
      <c r="C858" s="63"/>
      <c r="D858" s="58">
        <f>+VLOOKUP(A858,[1]Base!$A$11:$O$1318,15,FALSE)</f>
        <v>243.36629779411766</v>
      </c>
      <c r="E858" s="58">
        <f>+VLOOKUP(A858,[1]Base!$A$11:$R$1579,18,FALSE)</f>
        <v>304.20787224264706</v>
      </c>
      <c r="F858">
        <f>+VLOOKUP(A858,[1]Base!$A$11:$O$1264,15,FALSE)</f>
        <v>243.36629779411766</v>
      </c>
      <c r="G858">
        <f t="shared" si="13"/>
        <v>1</v>
      </c>
    </row>
    <row r="859" spans="1:7" x14ac:dyDescent="0.25">
      <c r="A859" s="77" t="s">
        <v>2216</v>
      </c>
      <c r="B859" s="35" t="s">
        <v>699</v>
      </c>
      <c r="C859" s="63">
        <v>1</v>
      </c>
      <c r="D859" s="58">
        <f>+VLOOKUP(A859,[1]Base!$A$11:$O$1318,15,FALSE)</f>
        <v>971.60929411764687</v>
      </c>
      <c r="E859" s="58">
        <f>+VLOOKUP(A859,[1]Base!$A$11:$R$1318,18,FALSE)</f>
        <v>1214.5116176470585</v>
      </c>
      <c r="F859">
        <f>+VLOOKUP(A859,[1]Base!$A$11:$O$1264,15,FALSE)</f>
        <v>971.60929411764687</v>
      </c>
      <c r="G859">
        <f t="shared" si="13"/>
        <v>1</v>
      </c>
    </row>
    <row r="860" spans="1:7" x14ac:dyDescent="0.25">
      <c r="A860" s="44" t="s">
        <v>700</v>
      </c>
      <c r="B860" s="35" t="s">
        <v>701</v>
      </c>
      <c r="C860" s="63">
        <v>1</v>
      </c>
      <c r="D860" s="58">
        <f>+VLOOKUP(A860,[1]Base!$A$11:$O$1318,15,FALSE)</f>
        <v>348.66625173010374</v>
      </c>
      <c r="E860" s="58">
        <f>+VLOOKUP(A860,[1]Base!$A$11:$R$1579,18,FALSE)</f>
        <v>435.83281466262963</v>
      </c>
      <c r="F860">
        <f>+VLOOKUP(A860,[1]Base!$A$11:$O$1264,15,FALSE)</f>
        <v>348.66625173010374</v>
      </c>
      <c r="G860">
        <f t="shared" si="13"/>
        <v>1</v>
      </c>
    </row>
    <row r="861" spans="1:7" x14ac:dyDescent="0.25">
      <c r="A861" s="38" t="s">
        <v>702</v>
      </c>
      <c r="B861" s="37" t="s">
        <v>1809</v>
      </c>
      <c r="C861" s="63"/>
      <c r="D861" s="58">
        <f>+VLOOKUP(A861,[1]Base!$A$11:$O$1318,15,FALSE)</f>
        <v>14.890428308823529</v>
      </c>
      <c r="E861" s="58">
        <f>+VLOOKUP(A861,[1]Base!$A$11:$R$1579,18,FALSE)</f>
        <v>18.613035386029409</v>
      </c>
      <c r="F861">
        <f>+VLOOKUP(A861,[1]Base!$A$11:$O$1264,15,FALSE)</f>
        <v>14.890428308823529</v>
      </c>
      <c r="G861">
        <f t="shared" si="13"/>
        <v>1</v>
      </c>
    </row>
    <row r="862" spans="1:7" x14ac:dyDescent="0.25">
      <c r="A862" s="36" t="s">
        <v>703</v>
      </c>
      <c r="B862" s="35" t="s">
        <v>704</v>
      </c>
      <c r="C862" s="63">
        <v>1</v>
      </c>
      <c r="D862" s="58">
        <f>+VLOOKUP(A862,[1]Base!$A$11:$O$1318,15,FALSE)</f>
        <v>238.75014705882353</v>
      </c>
      <c r="E862" s="58">
        <f>+VLOOKUP(A862,[1]Base!$A$11:$R$1579,18,FALSE)</f>
        <v>298.43768382352937</v>
      </c>
      <c r="F862">
        <f>+VLOOKUP(A862,[1]Base!$A$11:$O$1264,15,FALSE)</f>
        <v>238.75014705882353</v>
      </c>
      <c r="G862">
        <f t="shared" si="13"/>
        <v>1</v>
      </c>
    </row>
    <row r="863" spans="1:7" x14ac:dyDescent="0.25">
      <c r="A863" s="48" t="s">
        <v>705</v>
      </c>
      <c r="B863" s="35" t="s">
        <v>706</v>
      </c>
      <c r="C863" s="63">
        <v>1</v>
      </c>
      <c r="D863" s="58">
        <f>+VLOOKUP(A863,[1]Base!$A$11:$O$1318,15,FALSE)</f>
        <v>431.92765938581317</v>
      </c>
      <c r="E863" s="58">
        <f>+VLOOKUP(A863,[1]Base!$A$11:$R$1579,18,FALSE)</f>
        <v>539.90957423226644</v>
      </c>
      <c r="F863">
        <f>+VLOOKUP(A863,[1]Base!$A$11:$O$1264,15,FALSE)</f>
        <v>431.92765938581317</v>
      </c>
      <c r="G863">
        <f t="shared" si="13"/>
        <v>1</v>
      </c>
    </row>
    <row r="864" spans="1:7" x14ac:dyDescent="0.25">
      <c r="A864" s="40" t="s">
        <v>709</v>
      </c>
      <c r="B864" s="35" t="s">
        <v>710</v>
      </c>
      <c r="C864" s="63">
        <v>1</v>
      </c>
      <c r="D864" s="58">
        <f>+VLOOKUP(A864,[1]Base!$A$11:$O$1318,15,FALSE)</f>
        <v>4074.3883864619379</v>
      </c>
      <c r="E864" s="58">
        <f>+VLOOKUP(A864,[1]Base!$A$11:$R$1579,18,FALSE)</f>
        <v>5092.985483077422</v>
      </c>
      <c r="F864">
        <f>+VLOOKUP(A864,[1]Base!$A$11:$O$1264,15,FALSE)</f>
        <v>4074.3883864619379</v>
      </c>
      <c r="G864">
        <f t="shared" si="13"/>
        <v>1</v>
      </c>
    </row>
    <row r="865" spans="1:7" x14ac:dyDescent="0.25">
      <c r="A865" s="40" t="s">
        <v>711</v>
      </c>
      <c r="B865" s="35" t="s">
        <v>712</v>
      </c>
      <c r="C865" s="63">
        <v>1</v>
      </c>
      <c r="D865" s="58">
        <f>+VLOOKUP(A865,[1]Base!$A$11:$O$1318,15,FALSE)</f>
        <v>4629.9112960640141</v>
      </c>
      <c r="E865" s="58">
        <f>+VLOOKUP(A865,[1]Base!$A$11:$R$1579,18,FALSE)</f>
        <v>5787.3891200800172</v>
      </c>
      <c r="F865">
        <f>+VLOOKUP(A865,[1]Base!$A$11:$O$1264,15,FALSE)</f>
        <v>4629.9112960640141</v>
      </c>
      <c r="G865">
        <f t="shared" si="13"/>
        <v>1</v>
      </c>
    </row>
    <row r="866" spans="1:7" x14ac:dyDescent="0.25">
      <c r="A866" s="36" t="s">
        <v>713</v>
      </c>
      <c r="B866" s="35" t="s">
        <v>714</v>
      </c>
      <c r="C866" s="63">
        <v>1</v>
      </c>
      <c r="D866" s="58">
        <f>+VLOOKUP(A866,[1]Base!$A$11:$O$1318,15,FALSE)</f>
        <v>1455.959106617647</v>
      </c>
      <c r="E866" s="58">
        <f>+VLOOKUP(A866,[1]Base!$A$11:$R$1579,18,FALSE)</f>
        <v>1819.9488832720585</v>
      </c>
      <c r="F866">
        <f>+VLOOKUP(A866,[1]Base!$A$11:$O$1264,15,FALSE)</f>
        <v>1455.959106617647</v>
      </c>
      <c r="G866">
        <f t="shared" si="13"/>
        <v>1</v>
      </c>
    </row>
    <row r="867" spans="1:7" x14ac:dyDescent="0.25">
      <c r="A867" s="36" t="s">
        <v>715</v>
      </c>
      <c r="B867" s="35" t="s">
        <v>716</v>
      </c>
      <c r="C867" s="63">
        <v>1</v>
      </c>
      <c r="D867" s="58">
        <f>+VLOOKUP(A867,[1]Base!$A$11:$O$1318,15,FALSE)</f>
        <v>943.84947794117659</v>
      </c>
      <c r="E867" s="58">
        <f>+VLOOKUP(A867,[1]Base!$A$11:$R$1579,18,FALSE)</f>
        <v>1179.8118474264706</v>
      </c>
      <c r="F867">
        <f>+VLOOKUP(A867,[1]Base!$A$11:$O$1264,15,FALSE)</f>
        <v>943.84947794117659</v>
      </c>
      <c r="G867">
        <f t="shared" si="13"/>
        <v>1</v>
      </c>
    </row>
    <row r="868" spans="1:7" x14ac:dyDescent="0.25">
      <c r="A868" s="38" t="s">
        <v>717</v>
      </c>
      <c r="B868" s="37" t="s">
        <v>1810</v>
      </c>
      <c r="C868" s="63"/>
      <c r="D868" s="58">
        <f>+VLOOKUP(A868,[1]Base!$A$11:$O$1318,15,FALSE)</f>
        <v>13.927091911764704</v>
      </c>
      <c r="E868" s="58">
        <f>+VLOOKUP(A868,[1]Base!$A$11:$R$1579,18,FALSE)</f>
        <v>17.408864889705878</v>
      </c>
      <c r="F868">
        <f>+VLOOKUP(A868,[1]Base!$A$11:$O$1264,15,FALSE)</f>
        <v>13.927091911764704</v>
      </c>
      <c r="G868">
        <f t="shared" si="13"/>
        <v>1</v>
      </c>
    </row>
    <row r="869" spans="1:7" x14ac:dyDescent="0.25">
      <c r="A869" s="36" t="s">
        <v>718</v>
      </c>
      <c r="B869" s="37" t="s">
        <v>719</v>
      </c>
      <c r="C869" s="63">
        <v>25</v>
      </c>
      <c r="D869" s="58">
        <f>+VLOOKUP(A869,[1]Base!$A$11:$O$1318,15,FALSE)</f>
        <v>67.36928104575162</v>
      </c>
      <c r="E869" s="58">
        <f>+VLOOKUP(A869,[1]Base!$A$11:$R$1579,18,FALSE)</f>
        <v>84.211601307189525</v>
      </c>
      <c r="F869">
        <f>+VLOOKUP(A869,[1]Base!$A$11:$O$1264,15,FALSE)</f>
        <v>67.36928104575162</v>
      </c>
      <c r="G869">
        <f t="shared" si="13"/>
        <v>1</v>
      </c>
    </row>
    <row r="870" spans="1:7" x14ac:dyDescent="0.25">
      <c r="A870" s="36" t="s">
        <v>720</v>
      </c>
      <c r="B870" s="37" t="s">
        <v>721</v>
      </c>
      <c r="C870" s="63">
        <v>25</v>
      </c>
      <c r="D870" s="58">
        <f>+VLOOKUP(A870,[1]Base!$A$11:$O$1318,15,FALSE)</f>
        <v>115.23692810457514</v>
      </c>
      <c r="E870" s="58">
        <f>+VLOOKUP(A870,[1]Base!$A$11:$R$1579,18,FALSE)</f>
        <v>144.04616013071893</v>
      </c>
      <c r="F870">
        <f>+VLOOKUP(A870,[1]Base!$A$11:$O$1264,15,FALSE)</f>
        <v>115.23692810457514</v>
      </c>
      <c r="G870">
        <f t="shared" si="13"/>
        <v>1</v>
      </c>
    </row>
    <row r="871" spans="1:7" x14ac:dyDescent="0.25">
      <c r="A871" s="36" t="s">
        <v>722</v>
      </c>
      <c r="B871" s="37" t="s">
        <v>723</v>
      </c>
      <c r="C871" s="63">
        <v>50</v>
      </c>
      <c r="D871" s="58">
        <f>+VLOOKUP(A871,[1]Base!$A$11:$O$1318,15,FALSE)</f>
        <v>50.683391003460208</v>
      </c>
      <c r="E871" s="58">
        <f>+VLOOKUP(A871,[1]Base!$A$11:$R$1579,18,FALSE)</f>
        <v>63.354238754325259</v>
      </c>
      <c r="F871">
        <f>+VLOOKUP(A871,[1]Base!$A$11:$O$1264,15,FALSE)</f>
        <v>50.683391003460208</v>
      </c>
      <c r="G871">
        <f t="shared" si="13"/>
        <v>1</v>
      </c>
    </row>
    <row r="872" spans="1:7" x14ac:dyDescent="0.25">
      <c r="A872" s="36" t="s">
        <v>726</v>
      </c>
      <c r="B872" s="37" t="s">
        <v>727</v>
      </c>
      <c r="C872" s="63">
        <v>25</v>
      </c>
      <c r="D872" s="58">
        <f>+VLOOKUP(A872,[1]Base!$A$11:$O$1318,15,FALSE)</f>
        <v>205.30527681660899</v>
      </c>
      <c r="E872" s="58">
        <f>+VLOOKUP(A872,[1]Base!$A$11:$R$1579,18,FALSE)</f>
        <v>256.63159602076121</v>
      </c>
      <c r="F872">
        <f>+VLOOKUP(A872,[1]Base!$A$11:$O$1264,15,FALSE)</f>
        <v>205.30527681660899</v>
      </c>
      <c r="G872">
        <f t="shared" si="13"/>
        <v>1</v>
      </c>
    </row>
    <row r="873" spans="1:7" x14ac:dyDescent="0.25">
      <c r="A873" s="36" t="s">
        <v>728</v>
      </c>
      <c r="B873" s="37" t="s">
        <v>729</v>
      </c>
      <c r="C873" s="63">
        <v>30</v>
      </c>
      <c r="D873" s="58">
        <f>+VLOOKUP(A873,[1]Base!$A$11:$O$1318,15,FALSE)</f>
        <v>157.78594771241828</v>
      </c>
      <c r="E873" s="58">
        <f>+VLOOKUP(A873,[1]Base!$A$11:$R$1579,18,FALSE)</f>
        <v>197.23243464052283</v>
      </c>
      <c r="F873">
        <f>+VLOOKUP(A873,[1]Base!$A$11:$O$1264,15,FALSE)</f>
        <v>157.78594771241828</v>
      </c>
      <c r="G873">
        <f t="shared" si="13"/>
        <v>1</v>
      </c>
    </row>
    <row r="874" spans="1:7" x14ac:dyDescent="0.25">
      <c r="A874" s="36" t="s">
        <v>730</v>
      </c>
      <c r="B874" s="37" t="s">
        <v>731</v>
      </c>
      <c r="C874" s="63">
        <v>30</v>
      </c>
      <c r="D874" s="58">
        <f>+VLOOKUP(A874,[1]Base!$A$11:$O$1318,15,FALSE)</f>
        <v>203.88071895424835</v>
      </c>
      <c r="E874" s="58">
        <f>+VLOOKUP(A874,[1]Base!$A$11:$R$1579,18,FALSE)</f>
        <v>254.85089869281043</v>
      </c>
      <c r="F874">
        <f>+VLOOKUP(A874,[1]Base!$A$11:$O$1264,15,FALSE)</f>
        <v>203.88071895424835</v>
      </c>
      <c r="G874">
        <f t="shared" si="13"/>
        <v>1</v>
      </c>
    </row>
    <row r="875" spans="1:7" x14ac:dyDescent="0.25">
      <c r="A875" s="36" t="s">
        <v>732</v>
      </c>
      <c r="B875" s="37" t="s">
        <v>733</v>
      </c>
      <c r="C875" s="63">
        <v>30</v>
      </c>
      <c r="D875" s="58">
        <f>+VLOOKUP(A875,[1]Base!$A$11:$O$1318,15,FALSE)</f>
        <v>241.11111111111109</v>
      </c>
      <c r="E875" s="58">
        <f>+VLOOKUP(A875,[1]Base!$A$11:$R$1579,18,FALSE)</f>
        <v>301.38888888888886</v>
      </c>
      <c r="F875">
        <f>+VLOOKUP(A875,[1]Base!$A$11:$O$1264,15,FALSE)</f>
        <v>241.11111111111109</v>
      </c>
      <c r="G875">
        <f t="shared" si="13"/>
        <v>1</v>
      </c>
    </row>
    <row r="876" spans="1:7" x14ac:dyDescent="0.25">
      <c r="A876" s="36" t="s">
        <v>734</v>
      </c>
      <c r="B876" s="37" t="s">
        <v>735</v>
      </c>
      <c r="C876" s="63">
        <v>30</v>
      </c>
      <c r="D876" s="58">
        <f>+VLOOKUP(A876,[1]Base!$A$11:$O$1318,15,FALSE)</f>
        <v>294.29738562091495</v>
      </c>
      <c r="E876" s="58">
        <f>+VLOOKUP(A876,[1]Base!$A$11:$R$1579,18,FALSE)</f>
        <v>367.87173202614366</v>
      </c>
      <c r="F876">
        <f>+VLOOKUP(A876,[1]Base!$A$11:$O$1264,15,FALSE)</f>
        <v>294.29738562091495</v>
      </c>
      <c r="G876">
        <f t="shared" si="13"/>
        <v>1</v>
      </c>
    </row>
    <row r="877" spans="1:7" x14ac:dyDescent="0.25">
      <c r="A877" s="36" t="s">
        <v>736</v>
      </c>
      <c r="B877" s="37" t="s">
        <v>737</v>
      </c>
      <c r="C877" s="63">
        <v>30</v>
      </c>
      <c r="D877" s="58">
        <f>+VLOOKUP(A877,[1]Base!$A$11:$O$1318,15,FALSE)</f>
        <v>343.93790849673195</v>
      </c>
      <c r="E877" s="58">
        <f>+VLOOKUP(A877,[1]Base!$A$11:$R$1579,18,FALSE)</f>
        <v>429.92238562091489</v>
      </c>
      <c r="F877">
        <f>+VLOOKUP(A877,[1]Base!$A$11:$O$1264,15,FALSE)</f>
        <v>343.93790849673195</v>
      </c>
      <c r="G877">
        <f t="shared" si="13"/>
        <v>1</v>
      </c>
    </row>
    <row r="878" spans="1:7" x14ac:dyDescent="0.25">
      <c r="A878" s="36" t="s">
        <v>738</v>
      </c>
      <c r="B878" s="37" t="s">
        <v>739</v>
      </c>
      <c r="C878" s="63">
        <v>30</v>
      </c>
      <c r="D878" s="58">
        <f>+VLOOKUP(A878,[1]Base!$A$11:$O$1318,15,FALSE)</f>
        <v>473.35784313725486</v>
      </c>
      <c r="E878" s="58">
        <f>+VLOOKUP(A878,[1]Base!$A$11:$R$1579,18,FALSE)</f>
        <v>591.6973039215685</v>
      </c>
      <c r="F878">
        <f>+VLOOKUP(A878,[1]Base!$A$11:$O$1264,15,FALSE)</f>
        <v>473.35784313725486</v>
      </c>
      <c r="G878">
        <f t="shared" si="13"/>
        <v>1</v>
      </c>
    </row>
    <row r="879" spans="1:7" x14ac:dyDescent="0.25">
      <c r="A879" s="36" t="s">
        <v>740</v>
      </c>
      <c r="B879" s="37" t="s">
        <v>741</v>
      </c>
      <c r="C879" s="63">
        <v>30</v>
      </c>
      <c r="D879" s="58">
        <f>+VLOOKUP(A879,[1]Base!$A$11:$O$1318,15,FALSE)</f>
        <v>547.81862745098033</v>
      </c>
      <c r="E879" s="58">
        <f>+VLOOKUP(A879,[1]Base!$A$11:$R$1579,18,FALSE)</f>
        <v>684.77328431372541</v>
      </c>
      <c r="F879">
        <f>+VLOOKUP(A879,[1]Base!$A$11:$O$1264,15,FALSE)</f>
        <v>547.81862745098033</v>
      </c>
      <c r="G879">
        <f t="shared" si="13"/>
        <v>1</v>
      </c>
    </row>
    <row r="880" spans="1:7" x14ac:dyDescent="0.25">
      <c r="A880" s="36" t="s">
        <v>742</v>
      </c>
      <c r="B880" s="37" t="s">
        <v>743</v>
      </c>
      <c r="C880" s="63">
        <v>30</v>
      </c>
      <c r="D880" s="58">
        <f>+VLOOKUP(A880,[1]Base!$A$11:$O$1318,15,FALSE)</f>
        <v>638.23529411764696</v>
      </c>
      <c r="E880" s="58">
        <f>+VLOOKUP(A880,[1]Base!$A$11:$R$1579,18,FALSE)</f>
        <v>797.79411764705867</v>
      </c>
      <c r="F880">
        <f>+VLOOKUP(A880,[1]Base!$A$11:$O$1264,15,FALSE)</f>
        <v>638.23529411764696</v>
      </c>
      <c r="G880">
        <f t="shared" si="13"/>
        <v>1</v>
      </c>
    </row>
    <row r="881" spans="1:7" x14ac:dyDescent="0.25">
      <c r="A881" s="36" t="s">
        <v>744</v>
      </c>
      <c r="B881" s="37" t="s">
        <v>745</v>
      </c>
      <c r="C881" s="63">
        <v>30</v>
      </c>
      <c r="D881" s="58">
        <f>+VLOOKUP(A881,[1]Base!$A$11:$O$1318,15,FALSE)</f>
        <v>746.38071895424821</v>
      </c>
      <c r="E881" s="58">
        <f>+VLOOKUP(A881,[1]Base!$A$11:$R$1579,18,FALSE)</f>
        <v>932.97589869281023</v>
      </c>
      <c r="F881">
        <f>+VLOOKUP(A881,[1]Base!$A$11:$O$1264,15,FALSE)</f>
        <v>746.38071895424821</v>
      </c>
      <c r="G881">
        <f t="shared" si="13"/>
        <v>1</v>
      </c>
    </row>
    <row r="882" spans="1:7" x14ac:dyDescent="0.25">
      <c r="A882" s="36" t="s">
        <v>746</v>
      </c>
      <c r="B882" s="37" t="s">
        <v>747</v>
      </c>
      <c r="C882" s="63">
        <v>20</v>
      </c>
      <c r="D882" s="58">
        <f>+VLOOKUP(A882,[1]Base!$A$11:$O$1318,15,FALSE)</f>
        <v>655.96405228758158</v>
      </c>
      <c r="E882" s="58">
        <f>+VLOOKUP(A882,[1]Base!$A$11:$R$1579,18,FALSE)</f>
        <v>819.95506535947698</v>
      </c>
      <c r="F882">
        <f>+VLOOKUP(A882,[1]Base!$A$11:$O$1264,15,FALSE)</f>
        <v>655.96405228758158</v>
      </c>
      <c r="G882">
        <f t="shared" si="13"/>
        <v>1</v>
      </c>
    </row>
    <row r="883" spans="1:7" x14ac:dyDescent="0.25">
      <c r="A883" s="36" t="s">
        <v>60</v>
      </c>
      <c r="B883" s="37" t="s">
        <v>63</v>
      </c>
      <c r="C883" s="63">
        <v>6</v>
      </c>
      <c r="D883" s="58">
        <f>+VLOOKUP(A883,[1]Base!$A$11:$O$1318,15,FALSE)</f>
        <v>69.20415224913495</v>
      </c>
      <c r="E883" s="58">
        <f>+VLOOKUP(A883,[1]Base!$A$11:$R$1579,18,FALSE)</f>
        <v>86.505190311418687</v>
      </c>
      <c r="F883">
        <f>+VLOOKUP(A883,[1]Base!$A$11:$O$1264,15,FALSE)</f>
        <v>69.20415224913495</v>
      </c>
      <c r="G883">
        <f t="shared" si="13"/>
        <v>1</v>
      </c>
    </row>
    <row r="884" spans="1:7" x14ac:dyDescent="0.25">
      <c r="A884" s="36" t="s">
        <v>806</v>
      </c>
      <c r="B884" s="37" t="s">
        <v>807</v>
      </c>
      <c r="C884" s="63">
        <v>1</v>
      </c>
      <c r="D884" s="58">
        <f>+VLOOKUP(A884,[1]Base!$A$11:$O$1318,15,FALSE)</f>
        <v>8.5640138408304498</v>
      </c>
      <c r="E884" s="58">
        <f>+VLOOKUP(A884,[1]Base!$A$11:$R$1579,18,FALSE)</f>
        <v>10.705017301038062</v>
      </c>
      <c r="F884">
        <f>+VLOOKUP(A884,[1]Base!$A$11:$O$1264,15,FALSE)</f>
        <v>8.5640138408304498</v>
      </c>
      <c r="G884">
        <f t="shared" si="13"/>
        <v>1</v>
      </c>
    </row>
    <row r="885" spans="1:7" x14ac:dyDescent="0.25">
      <c r="A885" s="36" t="s">
        <v>17</v>
      </c>
      <c r="B885" s="37" t="s">
        <v>53</v>
      </c>
      <c r="C885" s="63">
        <v>1</v>
      </c>
      <c r="D885" s="58">
        <f>+VLOOKUP(A885,[1]Base!$A$11:$O$1318,15,FALSE)</f>
        <v>12.820069204152249</v>
      </c>
      <c r="E885" s="58">
        <f>+VLOOKUP(A885,[1]Base!$A$11:$R$1579,18,FALSE)</f>
        <v>16.025086505190309</v>
      </c>
      <c r="F885">
        <f>+VLOOKUP(A885,[1]Base!$A$11:$O$1264,15,FALSE)</f>
        <v>12.820069204152249</v>
      </c>
      <c r="G885">
        <f t="shared" si="13"/>
        <v>1</v>
      </c>
    </row>
    <row r="886" spans="1:7" x14ac:dyDescent="0.25">
      <c r="A886" s="36" t="s">
        <v>62</v>
      </c>
      <c r="B886" s="37" t="s">
        <v>64</v>
      </c>
      <c r="C886" s="63">
        <v>1</v>
      </c>
      <c r="D886" s="58">
        <f>+VLOOKUP(A886,[1]Base!$A$11:$O$1318,15,FALSE)</f>
        <v>7.0261437908496722</v>
      </c>
      <c r="E886" s="58">
        <f>+VLOOKUP(A886,[1]Base!$A$11:$R$1579,18,FALSE)</f>
        <v>8.7826797385620896</v>
      </c>
      <c r="F886">
        <f>+VLOOKUP(A886,[1]Base!$A$11:$O$1264,15,FALSE)</f>
        <v>7.0261437908496722</v>
      </c>
      <c r="G886">
        <f t="shared" si="13"/>
        <v>1</v>
      </c>
    </row>
    <row r="887" spans="1:7" x14ac:dyDescent="0.25">
      <c r="A887" s="36" t="s">
        <v>993</v>
      </c>
      <c r="B887" s="37" t="s">
        <v>994</v>
      </c>
      <c r="C887" s="63">
        <v>50</v>
      </c>
      <c r="D887" s="58">
        <f>+VLOOKUP(A887,[1]Base!$A$11:$O$1318,15,FALSE)</f>
        <v>289.38864705882349</v>
      </c>
      <c r="E887" s="58">
        <f>+VLOOKUP(A887,[1]Base!$A$11:$R$1579,18,FALSE)</f>
        <v>361.73580882352934</v>
      </c>
      <c r="F887">
        <f>+VLOOKUP(A887,[1]Base!$A$11:$O$1264,15,FALSE)</f>
        <v>289.38864705882349</v>
      </c>
      <c r="G887">
        <f t="shared" si="13"/>
        <v>1</v>
      </c>
    </row>
    <row r="888" spans="1:7" x14ac:dyDescent="0.25">
      <c r="A888" s="36" t="s">
        <v>995</v>
      </c>
      <c r="B888" s="37" t="s">
        <v>996</v>
      </c>
      <c r="C888" s="63">
        <v>1</v>
      </c>
      <c r="D888" s="58">
        <f>+VLOOKUP(A888,[1]Base!$A$11:$O$1318,15,FALSE)</f>
        <v>225.48477508650518</v>
      </c>
      <c r="E888" s="58">
        <f>+VLOOKUP(A888,[1]Base!$A$11:$R$1579,18,FALSE)</f>
        <v>281.85596885813146</v>
      </c>
      <c r="F888">
        <f>+VLOOKUP(A888,[1]Base!$A$11:$O$1264,15,FALSE)</f>
        <v>225.48477508650518</v>
      </c>
      <c r="G888">
        <f t="shared" si="13"/>
        <v>1</v>
      </c>
    </row>
    <row r="889" spans="1:7" x14ac:dyDescent="0.25">
      <c r="A889" s="36" t="s">
        <v>997</v>
      </c>
      <c r="B889" s="37" t="s">
        <v>998</v>
      </c>
      <c r="C889" s="63">
        <v>50</v>
      </c>
      <c r="D889" s="58">
        <f>+VLOOKUP(A889,[1]Base!$A$11:$O$1318,15,FALSE)</f>
        <v>185.83910034602073</v>
      </c>
      <c r="E889" s="58">
        <f>+VLOOKUP(A889,[1]Base!$A$11:$R$1579,18,FALSE)</f>
        <v>232.2988754325259</v>
      </c>
      <c r="F889">
        <f>+VLOOKUP(A889,[1]Base!$A$11:$O$1264,15,FALSE)</f>
        <v>185.83910034602073</v>
      </c>
      <c r="G889">
        <f t="shared" si="13"/>
        <v>1</v>
      </c>
    </row>
    <row r="890" spans="1:7" x14ac:dyDescent="0.25">
      <c r="A890" s="36" t="s">
        <v>999</v>
      </c>
      <c r="B890" s="37" t="s">
        <v>1000</v>
      </c>
      <c r="C890" s="63">
        <v>1500</v>
      </c>
      <c r="D890" s="58">
        <f>+VLOOKUP(A890,[1]Base!$A$11:$O$1318,15,FALSE)</f>
        <v>979.99152249134943</v>
      </c>
      <c r="E890" s="58">
        <f>+VLOOKUP(A890,[1]Base!$A$11:$R$1579,18,FALSE)</f>
        <v>1224.9894031141866</v>
      </c>
      <c r="F890">
        <f>+VLOOKUP(A890,[1]Base!$A$11:$O$1264,15,FALSE)</f>
        <v>979.99152249134943</v>
      </c>
      <c r="G890">
        <f t="shared" si="13"/>
        <v>1</v>
      </c>
    </row>
    <row r="891" spans="1:7" x14ac:dyDescent="0.25">
      <c r="A891" s="36" t="s">
        <v>1001</v>
      </c>
      <c r="B891" s="37" t="s">
        <v>1002</v>
      </c>
      <c r="C891" s="63">
        <v>1</v>
      </c>
      <c r="D891" s="58">
        <f>+VLOOKUP(A891,[1]Base!$A$11:$O$1318,15,FALSE)</f>
        <v>131.40138408304497</v>
      </c>
      <c r="E891" s="58">
        <f>+VLOOKUP(A891,[1]Base!$A$11:$R$1579,18,FALSE)</f>
        <v>164.25173010380621</v>
      </c>
      <c r="F891">
        <f>+VLOOKUP(A891,[1]Base!$A$11:$O$1264,15,FALSE)</f>
        <v>131.40138408304497</v>
      </c>
      <c r="G891">
        <f t="shared" si="13"/>
        <v>1</v>
      </c>
    </row>
    <row r="892" spans="1:7" x14ac:dyDescent="0.25">
      <c r="A892" s="36" t="s">
        <v>1003</v>
      </c>
      <c r="B892" s="37" t="s">
        <v>1004</v>
      </c>
      <c r="C892" s="63">
        <v>12</v>
      </c>
      <c r="D892" s="58">
        <f>+VLOOKUP(A892,[1]Base!$A$11:$O$1318,15,FALSE)</f>
        <v>29.734256055363318</v>
      </c>
      <c r="E892" s="58">
        <f>+VLOOKUP(A892,[1]Base!$A$11:$R$1579,18,FALSE)</f>
        <v>37.167820069204147</v>
      </c>
      <c r="F892">
        <f>+VLOOKUP(A892,[1]Base!$A$11:$O$1264,15,FALSE)</f>
        <v>29.734256055363318</v>
      </c>
      <c r="G892">
        <f t="shared" si="13"/>
        <v>1</v>
      </c>
    </row>
    <row r="893" spans="1:7" x14ac:dyDescent="0.25">
      <c r="A893" s="36" t="s">
        <v>1005</v>
      </c>
      <c r="B893" s="37" t="s">
        <v>1006</v>
      </c>
      <c r="C893" s="63">
        <v>20</v>
      </c>
      <c r="D893" s="58">
        <f>+VLOOKUP(A893,[1]Base!$A$11:$O$1318,15,FALSE)</f>
        <v>50.796020761245678</v>
      </c>
      <c r="E893" s="58">
        <f>+VLOOKUP(A893,[1]Base!$A$11:$R$1579,18,FALSE)</f>
        <v>63.495025951557096</v>
      </c>
      <c r="F893">
        <f>+VLOOKUP(A893,[1]Base!$A$11:$O$1264,15,FALSE)</f>
        <v>50.796020761245678</v>
      </c>
      <c r="G893">
        <f t="shared" si="13"/>
        <v>1</v>
      </c>
    </row>
    <row r="894" spans="1:7" x14ac:dyDescent="0.25">
      <c r="A894" s="36" t="s">
        <v>1007</v>
      </c>
      <c r="B894" s="37" t="s">
        <v>1008</v>
      </c>
      <c r="C894" s="63">
        <v>40</v>
      </c>
      <c r="D894" s="58">
        <f>+VLOOKUP(A894,[1]Base!$A$11:$O$1318,15,FALSE)</f>
        <v>105.30882352941175</v>
      </c>
      <c r="E894" s="58">
        <f>+VLOOKUP(A894,[1]Base!$A$11:$R$1579,18,FALSE)</f>
        <v>131.6360294117647</v>
      </c>
      <c r="F894">
        <f>+VLOOKUP(A894,[1]Base!$A$11:$O$1264,15,FALSE)</f>
        <v>105.30882352941175</v>
      </c>
      <c r="G894">
        <f t="shared" si="13"/>
        <v>1</v>
      </c>
    </row>
    <row r="895" spans="1:7" x14ac:dyDescent="0.25">
      <c r="A895" s="36" t="s">
        <v>1011</v>
      </c>
      <c r="B895" s="37" t="s">
        <v>1012</v>
      </c>
      <c r="C895" s="63">
        <v>24</v>
      </c>
      <c r="D895" s="58">
        <f>+VLOOKUP(A895,[1]Base!$A$11:$O$1318,15,FALSE)</f>
        <v>74.595814878892739</v>
      </c>
      <c r="E895" s="58">
        <f>+VLOOKUP(A895,[1]Base!$A$11:$R$1579,18,FALSE)</f>
        <v>93.24476859861592</v>
      </c>
      <c r="F895">
        <f>+VLOOKUP(A895,[1]Base!$A$11:$O$1264,15,FALSE)</f>
        <v>74.595814878892739</v>
      </c>
      <c r="G895">
        <f t="shared" si="13"/>
        <v>1</v>
      </c>
    </row>
    <row r="896" spans="1:7" x14ac:dyDescent="0.25">
      <c r="A896" s="36" t="s">
        <v>1017</v>
      </c>
      <c r="B896" s="37" t="s">
        <v>1018</v>
      </c>
      <c r="C896" s="63">
        <v>1</v>
      </c>
      <c r="D896" s="58">
        <f>+VLOOKUP(A896,[1]Base!$A$11:$O$1318,15,FALSE)</f>
        <v>15.768166089965396</v>
      </c>
      <c r="E896" s="58">
        <f>+VLOOKUP(A896,[1]Base!$A$11:$R$1579,18,FALSE)</f>
        <v>19.710207612456745</v>
      </c>
      <c r="F896">
        <f>+VLOOKUP(A896,[1]Base!$A$11:$O$1264,15,FALSE)</f>
        <v>15.768166089965396</v>
      </c>
      <c r="G896">
        <f t="shared" si="13"/>
        <v>1</v>
      </c>
    </row>
    <row r="897" spans="1:7" x14ac:dyDescent="0.25">
      <c r="A897" s="36" t="s">
        <v>1392</v>
      </c>
      <c r="B897" s="37" t="s">
        <v>1393</v>
      </c>
      <c r="C897" s="63">
        <v>1</v>
      </c>
      <c r="D897" s="58">
        <f>+VLOOKUP(A897,[1]Base!$A$11:$O$1318,15,FALSE)</f>
        <v>74.804930795847753</v>
      </c>
      <c r="E897" s="58">
        <f>+VLOOKUP(A897,[1]Base!$A$11:$R$1579,18,FALSE)</f>
        <v>93.506163494809684</v>
      </c>
      <c r="F897">
        <f>+VLOOKUP(A897,[1]Base!$A$11:$O$1264,15,FALSE)</f>
        <v>74.804930795847753</v>
      </c>
      <c r="G897">
        <f t="shared" si="13"/>
        <v>1</v>
      </c>
    </row>
    <row r="898" spans="1:7" x14ac:dyDescent="0.25">
      <c r="A898" s="43">
        <v>8509300</v>
      </c>
      <c r="B898" s="35" t="s">
        <v>1821</v>
      </c>
      <c r="C898" s="63">
        <v>1</v>
      </c>
      <c r="D898" s="58">
        <f>+VLOOKUP(A898,[1]Base!$A$11:$O$1318,15,FALSE)</f>
        <v>2268.4964175696596</v>
      </c>
      <c r="E898" s="58">
        <f>+VLOOKUP(A898,[1]Base!$A$11:$R$1579,18,FALSE)</f>
        <v>2835.6205219620742</v>
      </c>
      <c r="F898">
        <f>+VLOOKUP(A898,[1]Base!$A$11:$O$1264,15,FALSE)</f>
        <v>2268.4964175696596</v>
      </c>
      <c r="G898">
        <f t="shared" si="13"/>
        <v>1</v>
      </c>
    </row>
    <row r="899" spans="1:7" x14ac:dyDescent="0.25">
      <c r="A899" s="261">
        <v>3562411</v>
      </c>
      <c r="B899" s="32" t="s">
        <v>2034</v>
      </c>
      <c r="C899" s="299">
        <v>1</v>
      </c>
      <c r="D899" s="58">
        <f>+VLOOKUP(A899,[1]Base!$A$11:$O$1318,15,FALSE)</f>
        <v>1219.0189144736842</v>
      </c>
      <c r="E899" s="58">
        <f>+VLOOKUP(A899,[1]Base!$A$11:$R$1579,18,FALSE)</f>
        <v>1523.7736430921052</v>
      </c>
      <c r="F899">
        <f>+VLOOKUP(A899,[1]Base!$A$11:$O$1264,15,FALSE)</f>
        <v>1219.0189144736842</v>
      </c>
      <c r="G899">
        <f t="shared" si="13"/>
        <v>1</v>
      </c>
    </row>
    <row r="900" spans="1:7" x14ac:dyDescent="0.25">
      <c r="A900" s="261">
        <v>3562407</v>
      </c>
      <c r="B900" s="32" t="s">
        <v>2037</v>
      </c>
      <c r="C900" s="299">
        <v>1</v>
      </c>
      <c r="D900" s="58">
        <f>+VLOOKUP(A900,[1]Base!$A$11:$O$1318,15,FALSE)</f>
        <v>544.29520472136232</v>
      </c>
      <c r="E900" s="58">
        <f>+VLOOKUP(A900,[1]Base!$A$11:$R$1579,18,FALSE)</f>
        <v>680.36900590170285</v>
      </c>
      <c r="F900">
        <f>+VLOOKUP(A900,[1]Base!$A$11:$O$1264,15,FALSE)</f>
        <v>544.29520472136232</v>
      </c>
      <c r="G900">
        <f t="shared" ref="G900:G963" si="14">+F900/D900</f>
        <v>1</v>
      </c>
    </row>
    <row r="901" spans="1:7" x14ac:dyDescent="0.25">
      <c r="A901" s="261">
        <v>1997548</v>
      </c>
      <c r="B901" s="32" t="s">
        <v>2039</v>
      </c>
      <c r="C901" s="299">
        <v>1</v>
      </c>
      <c r="D901" s="58">
        <f>+VLOOKUP(A901,[1]Base!$A$11:$O$1318,15,FALSE)</f>
        <v>1401.8065634674922</v>
      </c>
      <c r="E901" s="58">
        <f>+VLOOKUP(A901,[1]Base!$A$11:$R$1579,18,FALSE)</f>
        <v>1752.2582043343652</v>
      </c>
      <c r="F901">
        <f>+VLOOKUP(A901,[1]Base!$A$11:$O$1264,15,FALSE)</f>
        <v>1401.8065634674922</v>
      </c>
      <c r="G901">
        <f t="shared" si="14"/>
        <v>1</v>
      </c>
    </row>
    <row r="902" spans="1:7" x14ac:dyDescent="0.25">
      <c r="A902" s="157">
        <v>3560511</v>
      </c>
      <c r="B902" s="157" t="s">
        <v>1880</v>
      </c>
      <c r="C902" s="300">
        <v>1</v>
      </c>
      <c r="D902" s="58">
        <f>+VLOOKUP(A902,[1]Base!$A$11:$O$1318,15,FALSE)</f>
        <v>12523.535407894737</v>
      </c>
      <c r="E902" s="58">
        <f>+VLOOKUP(A902,[1]Base!$A$11:$R$1579,18,FALSE)</f>
        <v>15654.41925986842</v>
      </c>
      <c r="F902">
        <f>+VLOOKUP(A902,[1]Base!$A$11:$O$1264,15,FALSE)</f>
        <v>12523.535407894737</v>
      </c>
      <c r="G902">
        <f t="shared" si="14"/>
        <v>1</v>
      </c>
    </row>
    <row r="903" spans="1:7" x14ac:dyDescent="0.25">
      <c r="A903" s="163">
        <v>8589528</v>
      </c>
      <c r="B903" s="407" t="s">
        <v>2068</v>
      </c>
      <c r="C903" s="327">
        <v>100</v>
      </c>
      <c r="D903" s="58">
        <f>+VLOOKUP(A903,[1]Base!$A$11:$O$1318,15,FALSE)</f>
        <v>856.80272491349479</v>
      </c>
      <c r="E903" s="58">
        <f>+VLOOKUP(A903,[1]Base!$A$11:$R$1579,18,FALSE)</f>
        <v>1071.0034061418685</v>
      </c>
      <c r="F903">
        <f>+VLOOKUP(A903,[1]Base!$A$11:$O$1264,15,FALSE)</f>
        <v>856.80272491349479</v>
      </c>
      <c r="G903">
        <f t="shared" si="14"/>
        <v>1</v>
      </c>
    </row>
    <row r="904" spans="1:7" x14ac:dyDescent="0.25">
      <c r="A904" s="164" t="s">
        <v>1939</v>
      </c>
      <c r="B904" s="260" t="s">
        <v>1940</v>
      </c>
      <c r="C904" s="327">
        <v>1</v>
      </c>
      <c r="D904" s="58">
        <f>+VLOOKUP(A904,[1]Base!$A$11:$O$1318,15,FALSE)</f>
        <v>2.7523897058823521</v>
      </c>
      <c r="E904" s="58">
        <f>+VLOOKUP(A904,[1]Base!$A$11:$R$1579,18,FALSE)</f>
        <v>3.4404871323529398</v>
      </c>
      <c r="F904">
        <f>+VLOOKUP(A904,[1]Base!$A$11:$O$1264,15,FALSE)</f>
        <v>2.7523897058823521</v>
      </c>
      <c r="G904">
        <f t="shared" si="14"/>
        <v>1</v>
      </c>
    </row>
    <row r="905" spans="1:7" x14ac:dyDescent="0.25">
      <c r="A905" s="163" t="s">
        <v>1943</v>
      </c>
      <c r="B905" s="260" t="s">
        <v>2164</v>
      </c>
      <c r="C905" s="327">
        <v>1</v>
      </c>
      <c r="D905" s="58">
        <f>+VLOOKUP(A905,[1]Base!$A$11:$O$1318,15,FALSE)</f>
        <v>4128.5845588235288</v>
      </c>
      <c r="E905" s="58">
        <f>+VLOOKUP(A905,[1]Base!$A$11:$R$1579,18,FALSE)</f>
        <v>5160.7306985294108</v>
      </c>
      <c r="F905">
        <f>+VLOOKUP(A905,[1]Base!$A$11:$O$1264,15,FALSE)</f>
        <v>4128.5845588235288</v>
      </c>
      <c r="G905">
        <f t="shared" si="14"/>
        <v>1</v>
      </c>
    </row>
    <row r="906" spans="1:7" x14ac:dyDescent="0.25">
      <c r="A906" s="168" t="s">
        <v>1959</v>
      </c>
      <c r="B906" s="260" t="s">
        <v>2165</v>
      </c>
      <c r="C906" s="327">
        <v>1</v>
      </c>
      <c r="D906" s="58">
        <f>+VLOOKUP(A906,[1]Base!$A$11:$O$1318,15,FALSE)</f>
        <v>8.2571691176470594</v>
      </c>
      <c r="E906" s="58">
        <f>+VLOOKUP(A906,[1]Base!$A$11:$R$1579,18,FALSE)</f>
        <v>10.321461397058824</v>
      </c>
      <c r="F906">
        <f>+VLOOKUP(A906,[1]Base!$A$11:$O$1264,15,FALSE)</f>
        <v>8.2571691176470594</v>
      </c>
      <c r="G906">
        <f t="shared" si="14"/>
        <v>1</v>
      </c>
    </row>
    <row r="907" spans="1:7" x14ac:dyDescent="0.25">
      <c r="A907" s="163">
        <v>3562341</v>
      </c>
      <c r="B907" s="260" t="s">
        <v>2166</v>
      </c>
      <c r="C907" s="327" t="s">
        <v>2167</v>
      </c>
      <c r="D907" s="58">
        <f>+VLOOKUP(A907,[1]Base!$A$11:$O$1318,15,FALSE)</f>
        <v>752.91620404411765</v>
      </c>
      <c r="E907" s="58">
        <f>+VLOOKUP(A907,[1]Base!$A$11:$R$1579,18,FALSE)</f>
        <v>836.57356004901953</v>
      </c>
      <c r="F907">
        <f>+VLOOKUP(A907,[1]Base!$A$11:$O$1264,15,FALSE)</f>
        <v>752.91620404411765</v>
      </c>
      <c r="G907">
        <f t="shared" si="14"/>
        <v>1</v>
      </c>
    </row>
    <row r="908" spans="1:7" x14ac:dyDescent="0.25">
      <c r="A908" s="168" t="s">
        <v>2019</v>
      </c>
      <c r="B908" s="260" t="s">
        <v>2177</v>
      </c>
      <c r="C908" s="327" t="s">
        <v>2167</v>
      </c>
      <c r="D908" s="58">
        <f>+VLOOKUP(A908,[1]Base!$A$11:$O$1318,15,FALSE)</f>
        <v>5.8075422794117637</v>
      </c>
      <c r="E908" s="58">
        <f>+VLOOKUP(A908,[1]Base!$A$11:$R$1579,18,FALSE)</f>
        <v>7.2594278492647044</v>
      </c>
      <c r="F908">
        <f>+VLOOKUP(A908,[1]Base!$A$11:$O$1264,15,FALSE)</f>
        <v>5.8075422794117637</v>
      </c>
      <c r="G908">
        <f t="shared" si="14"/>
        <v>1</v>
      </c>
    </row>
    <row r="909" spans="1:7" x14ac:dyDescent="0.25">
      <c r="A909" s="168" t="s">
        <v>2064</v>
      </c>
      <c r="B909" s="164" t="s">
        <v>2065</v>
      </c>
      <c r="C909" s="263">
        <v>1300</v>
      </c>
      <c r="D909" s="58">
        <f>+VLOOKUP(A909,[1]Base!$A$11:$O$1318,15,FALSE)</f>
        <v>1746.23053633218</v>
      </c>
      <c r="E909" s="58">
        <f>+VLOOKUP(A909,[1]Base!$A$11:$R$1579,18,FALSE)</f>
        <v>2182.7881704152251</v>
      </c>
      <c r="F909">
        <f>+VLOOKUP(A909,[1]Base!$A$11:$O$1264,15,FALSE)</f>
        <v>1746.23053633218</v>
      </c>
      <c r="G909">
        <f t="shared" si="14"/>
        <v>1</v>
      </c>
    </row>
    <row r="910" spans="1:7" x14ac:dyDescent="0.25">
      <c r="A910" s="168" t="s">
        <v>2059</v>
      </c>
      <c r="B910" s="164" t="s">
        <v>2060</v>
      </c>
      <c r="C910" s="263">
        <v>1300</v>
      </c>
      <c r="D910" s="58">
        <f>+VLOOKUP(A910,[1]Base!$A$11:$O$1318,15,FALSE)</f>
        <v>1418.7438725490194</v>
      </c>
      <c r="E910" s="58">
        <f>+VLOOKUP(A910,[1]Base!$A$11:$R$1579,18,FALSE)</f>
        <v>1773.4298406862742</v>
      </c>
      <c r="F910">
        <f>+VLOOKUP(A910,[1]Base!$A$11:$O$1264,15,FALSE)</f>
        <v>1418.7438725490194</v>
      </c>
      <c r="G910">
        <f t="shared" si="14"/>
        <v>1</v>
      </c>
    </row>
    <row r="911" spans="1:7" x14ac:dyDescent="0.25">
      <c r="A911" s="36">
        <v>8507620</v>
      </c>
      <c r="B911" s="35" t="s">
        <v>312</v>
      </c>
      <c r="C911" s="63">
        <v>20</v>
      </c>
      <c r="D911" s="58">
        <f>+VLOOKUP(A911,[1]Base!$A$11:$O$1318,15,FALSE)</f>
        <v>46.680529411764702</v>
      </c>
      <c r="E911" s="58">
        <f>+VLOOKUP(A911,[1]Base!$A$11:$R$1579,18,FALSE)</f>
        <v>58.350661764705876</v>
      </c>
      <c r="F911">
        <f>+VLOOKUP(A911,[1]Base!$A$11:$O$1264,15,FALSE)</f>
        <v>46.680529411764702</v>
      </c>
      <c r="G911">
        <f t="shared" si="14"/>
        <v>1</v>
      </c>
    </row>
    <row r="912" spans="1:7" x14ac:dyDescent="0.25">
      <c r="A912" s="36" t="s">
        <v>967</v>
      </c>
      <c r="B912" s="37" t="s">
        <v>968</v>
      </c>
      <c r="C912" s="63">
        <v>100</v>
      </c>
      <c r="D912" s="58">
        <f>+VLOOKUP(A912,[1]Base!$A$11:$O$1318,15,FALSE)</f>
        <v>5939.5424836601314</v>
      </c>
      <c r="E912" s="58">
        <f>+VLOOKUP(A912,[1]Base!$A$11:$R$1579,18,FALSE)</f>
        <v>7424.4281045751641</v>
      </c>
      <c r="F912">
        <f>+VLOOKUP(A912,[1]Base!$A$11:$O$1264,15,FALSE)</f>
        <v>5939.5424836601314</v>
      </c>
      <c r="G912">
        <f t="shared" si="14"/>
        <v>1</v>
      </c>
    </row>
    <row r="913" spans="1:7" x14ac:dyDescent="0.25">
      <c r="A913" s="36" t="s">
        <v>1177</v>
      </c>
      <c r="B913" s="55" t="s">
        <v>1178</v>
      </c>
      <c r="C913" s="63">
        <v>100</v>
      </c>
      <c r="D913" s="58">
        <f>+VLOOKUP(A913,[1]Base!$A$11:$O$1318,15,FALSE)</f>
        <v>13166.666666666666</v>
      </c>
      <c r="E913" s="58">
        <f>+VLOOKUP(A913,[1]Base!$A$11:$R$1579,18,FALSE)</f>
        <v>16458.333333333332</v>
      </c>
      <c r="F913">
        <f>+VLOOKUP(A913,[1]Base!$A$11:$O$1264,15,FALSE)</f>
        <v>13166.666666666666</v>
      </c>
      <c r="G913">
        <f t="shared" si="14"/>
        <v>1</v>
      </c>
    </row>
    <row r="914" spans="1:7" x14ac:dyDescent="0.25">
      <c r="A914" s="40" t="s">
        <v>1556</v>
      </c>
      <c r="B914" s="35" t="s">
        <v>1557</v>
      </c>
      <c r="C914" s="63">
        <v>100</v>
      </c>
      <c r="D914" s="58">
        <f>+VLOOKUP(A914,[1]Base!$A$11:$O$1318,15,FALSE)</f>
        <v>10277.777777777779</v>
      </c>
      <c r="E914" s="58">
        <f>+VLOOKUP(A914,[1]Base!$A$11:$R$1579,18,FALSE)</f>
        <v>12847.222222222223</v>
      </c>
      <c r="F914">
        <f>+VLOOKUP(A914,[1]Base!$A$11:$O$1264,15,FALSE)</f>
        <v>10277.777777777779</v>
      </c>
      <c r="G914">
        <f t="shared" si="14"/>
        <v>1</v>
      </c>
    </row>
    <row r="915" spans="1:7" x14ac:dyDescent="0.25">
      <c r="A915" s="163">
        <v>8589524</v>
      </c>
      <c r="B915" s="407" t="s">
        <v>2069</v>
      </c>
      <c r="C915" s="327">
        <v>100</v>
      </c>
      <c r="D915" s="58">
        <f>+VLOOKUP(A915,[1]Base!$A$11:$O$1318,15,FALSE)</f>
        <v>958.39504801038061</v>
      </c>
      <c r="E915" s="58">
        <f>+VLOOKUP(A915,[1]Base!$A$11:$R$1579,18,FALSE)</f>
        <v>1197.9938100129757</v>
      </c>
      <c r="F915">
        <f>+VLOOKUP(A915,[1]Base!$A$11:$O$1264,15,FALSE)</f>
        <v>958.39504801038061</v>
      </c>
      <c r="G915">
        <f t="shared" si="14"/>
        <v>1</v>
      </c>
    </row>
    <row r="916" spans="1:7" x14ac:dyDescent="0.25">
      <c r="A916" s="406">
        <v>8589532</v>
      </c>
      <c r="B916" s="35" t="s">
        <v>378</v>
      </c>
      <c r="C916" s="63">
        <v>100</v>
      </c>
      <c r="D916" s="58">
        <f>+VLOOKUP(A916,[1]Base!$A$11:$O$1318,15,FALSE)</f>
        <v>800.42933134191162</v>
      </c>
      <c r="E916" s="58">
        <f>+VLOOKUP(A916,[1]Base!$A$11:$R$1579,18,FALSE)</f>
        <v>1000.5366641773895</v>
      </c>
      <c r="F916">
        <f>+VLOOKUP(A916,[1]Base!$A$11:$O$1264,15,FALSE)</f>
        <v>800.42933134191162</v>
      </c>
      <c r="G916">
        <f t="shared" si="14"/>
        <v>1</v>
      </c>
    </row>
    <row r="917" spans="1:7" x14ac:dyDescent="0.25">
      <c r="A917" s="261">
        <v>3562409</v>
      </c>
      <c r="B917" s="32" t="s">
        <v>2035</v>
      </c>
      <c r="C917" s="299">
        <v>1</v>
      </c>
      <c r="D917" s="58">
        <f>+VLOOKUP(A917,[1]Base!$A$11:$O$1318,15,FALSE)</f>
        <v>388.71999816176458</v>
      </c>
      <c r="E917" s="58">
        <f>+VLOOKUP(A917,[1]Base!$A$11:$R$1579,18,FALSE)</f>
        <v>485.89999770220572</v>
      </c>
      <c r="F917">
        <f>+VLOOKUP(A917,[1]Base!$A$11:$O$1264,15,FALSE)</f>
        <v>388.71999816176458</v>
      </c>
      <c r="G917">
        <f t="shared" si="14"/>
        <v>1</v>
      </c>
    </row>
    <row r="918" spans="1:7" x14ac:dyDescent="0.25">
      <c r="A918" s="168">
        <v>3562409</v>
      </c>
      <c r="B918" s="260" t="s">
        <v>2035</v>
      </c>
      <c r="C918" s="327" t="s">
        <v>2167</v>
      </c>
      <c r="D918" s="58">
        <f>+VLOOKUP(A918,[1]Base!$A$11:$O$1318,15,FALSE)</f>
        <v>388.71999816176458</v>
      </c>
      <c r="E918" s="58">
        <f>+VLOOKUP(A918,[1]Base!$A$11:$R$1579,18,FALSE)</f>
        <v>485.89999770220572</v>
      </c>
      <c r="F918">
        <f>+VLOOKUP(A918,[1]Base!$A$11:$O$1264,15,FALSE)</f>
        <v>388.71999816176458</v>
      </c>
      <c r="G918">
        <f t="shared" si="14"/>
        <v>1</v>
      </c>
    </row>
    <row r="919" spans="1:7" x14ac:dyDescent="0.25">
      <c r="A919" s="38" t="s">
        <v>631</v>
      </c>
      <c r="B919" s="37" t="s">
        <v>1800</v>
      </c>
      <c r="C919" s="63"/>
      <c r="D919" s="58">
        <f>+VLOOKUP(A919,[1]Base!$A$11:$O$1318,15,FALSE)</f>
        <v>9.2383150951557091</v>
      </c>
      <c r="E919" s="58">
        <f>+VLOOKUP(A919,[1]Base!$A$11:$R$1579,18,FALSE)</f>
        <v>11.547893868944636</v>
      </c>
      <c r="F919">
        <f>+VLOOKUP(A919,[1]Base!$A$11:$O$1264,15,FALSE)</f>
        <v>9.2383150951557091</v>
      </c>
      <c r="G919">
        <f t="shared" si="14"/>
        <v>1</v>
      </c>
    </row>
    <row r="920" spans="1:7" x14ac:dyDescent="0.25">
      <c r="A920" s="261">
        <v>3562513</v>
      </c>
      <c r="B920" s="262" t="s">
        <v>2033</v>
      </c>
      <c r="C920" s="411">
        <v>1</v>
      </c>
      <c r="D920" s="58">
        <f>+VLOOKUP(A920,[1]Base!$A$11:$O$1318,15,FALSE)</f>
        <v>2416.551805727554</v>
      </c>
      <c r="E920" s="58">
        <f>+VLOOKUP(A920,[1]Base!$A$11:$R$1579,18,FALSE)</f>
        <v>3020.6897571594423</v>
      </c>
      <c r="F920">
        <f>+VLOOKUP(A920,[1]Base!$A$11:$O$1264,15,FALSE)</f>
        <v>2416.551805727554</v>
      </c>
      <c r="G920">
        <f t="shared" si="14"/>
        <v>1</v>
      </c>
    </row>
    <row r="921" spans="1:7" x14ac:dyDescent="0.25">
      <c r="A921" s="40">
        <v>3554174</v>
      </c>
      <c r="B921" s="41" t="s">
        <v>96</v>
      </c>
      <c r="C921" s="63">
        <v>1</v>
      </c>
      <c r="D921" s="58">
        <f>+VLOOKUP(A921,[1]Base!$A$11:$O$1318,15,FALSE)</f>
        <v>91.188290008650526</v>
      </c>
      <c r="E921" s="58">
        <f>+VLOOKUP(A921,[1]Base!$A$11:$R$1579,18,FALSE)</f>
        <v>113.98536251081315</v>
      </c>
      <c r="F921">
        <f>+VLOOKUP(A921,[1]Base!$A$11:$O$1264,15,FALSE)</f>
        <v>91.188290008650526</v>
      </c>
      <c r="G921">
        <f t="shared" si="14"/>
        <v>1</v>
      </c>
    </row>
    <row r="922" spans="1:7" x14ac:dyDescent="0.25">
      <c r="A922" s="36">
        <v>8590222</v>
      </c>
      <c r="B922" s="35" t="s">
        <v>466</v>
      </c>
      <c r="C922" s="63">
        <v>140</v>
      </c>
      <c r="D922" s="58">
        <f>+VLOOKUP(A922,[1]Base!$A$11:$O$1318,15,FALSE)</f>
        <v>609.08765138408307</v>
      </c>
      <c r="E922" s="58">
        <f>+VLOOKUP(A922,[1]Base!$A$11:$R$1579,18,FALSE)</f>
        <v>761.35956423010384</v>
      </c>
      <c r="F922">
        <f>+VLOOKUP(A922,[1]Base!$A$11:$O$1264,15,FALSE)</f>
        <v>609.08765138408307</v>
      </c>
      <c r="G922">
        <f t="shared" si="14"/>
        <v>1</v>
      </c>
    </row>
    <row r="923" spans="1:7" x14ac:dyDescent="0.25">
      <c r="A923" s="38">
        <v>8590224</v>
      </c>
      <c r="B923" s="37" t="s">
        <v>8</v>
      </c>
      <c r="C923" s="63" t="s">
        <v>467</v>
      </c>
      <c r="D923" s="58">
        <f>+VLOOKUP(A923,[1]Base!$A$11:$O$1318,15,FALSE)</f>
        <v>1846.3224433390999</v>
      </c>
      <c r="E923" s="58">
        <f>+VLOOKUP(A923,[1]Base!$A$11:$R$1579,18,FALSE)</f>
        <v>2307.9030541738748</v>
      </c>
      <c r="F923">
        <f>+VLOOKUP(A923,[1]Base!$A$11:$O$1264,15,FALSE)</f>
        <v>1846.3224433390999</v>
      </c>
      <c r="G923">
        <f t="shared" si="14"/>
        <v>1</v>
      </c>
    </row>
    <row r="924" spans="1:7" x14ac:dyDescent="0.25">
      <c r="A924" s="36" t="s">
        <v>571</v>
      </c>
      <c r="B924" s="35" t="s">
        <v>572</v>
      </c>
      <c r="C924" s="63">
        <v>1300</v>
      </c>
      <c r="D924" s="58">
        <f>+VLOOKUP(A924,[1]Base!$A$11:$O$1318,15,FALSE)</f>
        <v>1477.5986842105262</v>
      </c>
      <c r="E924" s="58">
        <f>+VLOOKUP(A924,[1]Base!$A$11:$R$1579,18,FALSE)</f>
        <v>1846.9983552631577</v>
      </c>
      <c r="F924">
        <f>+VLOOKUP(A924,[1]Base!$A$11:$O$1264,15,FALSE)</f>
        <v>1477.5986842105262</v>
      </c>
      <c r="G924">
        <f t="shared" si="14"/>
        <v>1</v>
      </c>
    </row>
    <row r="925" spans="1:7" x14ac:dyDescent="0.25">
      <c r="A925" s="36">
        <v>8512007</v>
      </c>
      <c r="B925" s="35" t="s">
        <v>357</v>
      </c>
      <c r="C925" s="63">
        <v>100</v>
      </c>
      <c r="D925" s="58">
        <f>+VLOOKUP(A925,[1]Base!$A$11:$O$1318,15,FALSE)</f>
        <v>287.99063019031138</v>
      </c>
      <c r="E925" s="58">
        <f>+VLOOKUP(A925,[1]Base!$A$11:$R$1579,18,FALSE)</f>
        <v>359.98828773788921</v>
      </c>
      <c r="F925" t="e">
        <f>+VLOOKUP(A925,[1]Base!$A$11:$O$1264,15,FALSE)</f>
        <v>#N/A</v>
      </c>
      <c r="G925" t="e">
        <f t="shared" si="14"/>
        <v>#N/A</v>
      </c>
    </row>
    <row r="926" spans="1:7" x14ac:dyDescent="0.25">
      <c r="A926" s="36" t="s">
        <v>814</v>
      </c>
      <c r="B926" s="37" t="s">
        <v>815</v>
      </c>
      <c r="C926" s="63">
        <v>1</v>
      </c>
      <c r="D926" s="58">
        <f>+VLOOKUP(A926,[1]Base!$A$11:$O$1318,15,FALSE)</f>
        <v>0.64412443177963241</v>
      </c>
      <c r="E926" s="58">
        <f>+VLOOKUP(A926,[1]Base!$A$11:$R$1579,18,FALSE)</f>
        <v>0.80515553972454046</v>
      </c>
      <c r="F926">
        <f>+VLOOKUP(A926,[1]Base!$A$11:$O$1264,15,FALSE)</f>
        <v>0.64412443177963241</v>
      </c>
      <c r="G926">
        <f t="shared" si="14"/>
        <v>1</v>
      </c>
    </row>
    <row r="927" spans="1:7" x14ac:dyDescent="0.25">
      <c r="A927" s="36" t="s">
        <v>816</v>
      </c>
      <c r="B927" s="37" t="s">
        <v>817</v>
      </c>
      <c r="C927" s="63">
        <v>1</v>
      </c>
      <c r="D927" s="58">
        <f>+VLOOKUP(A927,[1]Base!$A$11:$O$1318,15,FALSE)</f>
        <v>1.2882488635592648</v>
      </c>
      <c r="E927" s="58">
        <f>+VLOOKUP(A927,[1]Base!$A$11:$R$1579,18,FALSE)</f>
        <v>1.6103110794490809</v>
      </c>
      <c r="F927">
        <f>+VLOOKUP(A927,[1]Base!$A$11:$O$1264,15,FALSE)</f>
        <v>1.2882488635592648</v>
      </c>
      <c r="G927">
        <f t="shared" si="14"/>
        <v>1</v>
      </c>
    </row>
    <row r="928" spans="1:7" x14ac:dyDescent="0.25">
      <c r="A928" s="36" t="s">
        <v>834</v>
      </c>
      <c r="B928" s="37" t="s">
        <v>835</v>
      </c>
      <c r="C928" s="63">
        <v>1</v>
      </c>
      <c r="D928" s="58">
        <f>+VLOOKUP(A928,[1]Base!$A$11:$O$1318,15,FALSE)</f>
        <v>0.16563199674333404</v>
      </c>
      <c r="E928" s="58">
        <f>+VLOOKUP(A928,[1]Base!$A$11:$R$1579,18,FALSE)</f>
        <v>0.20703999592916753</v>
      </c>
      <c r="F928">
        <f>+VLOOKUP(A928,[1]Base!$A$11:$O$1264,15,FALSE)</f>
        <v>0.16563199674333404</v>
      </c>
      <c r="G928">
        <f t="shared" si="14"/>
        <v>1</v>
      </c>
    </row>
    <row r="929" spans="1:7" x14ac:dyDescent="0.25">
      <c r="A929" s="36" t="s">
        <v>971</v>
      </c>
      <c r="B929" s="37" t="s">
        <v>972</v>
      </c>
      <c r="C929" s="63">
        <v>100</v>
      </c>
      <c r="D929" s="58">
        <f>+VLOOKUP(A929,[1]Base!$A$11:$O$1318,15,FALSE)</f>
        <v>0.64412443177963241</v>
      </c>
      <c r="E929" s="58">
        <f>+VLOOKUP(A929,[1]Base!$A$11:$R$1579,18,FALSE)</f>
        <v>0.80515553972454046</v>
      </c>
      <c r="F929">
        <f>+VLOOKUP(A929,[1]Base!$A$11:$O$1264,15,FALSE)</f>
        <v>0.64412443177963241</v>
      </c>
      <c r="G929">
        <f t="shared" si="14"/>
        <v>1</v>
      </c>
    </row>
    <row r="930" spans="1:7" x14ac:dyDescent="0.25">
      <c r="A930" s="36" t="s">
        <v>1179</v>
      </c>
      <c r="B930" s="37" t="s">
        <v>1180</v>
      </c>
      <c r="C930" s="63">
        <v>1</v>
      </c>
      <c r="D930" s="58">
        <f>+VLOOKUP(A930,[1]Base!$A$11:$O$1318,15,FALSE)</f>
        <v>0.64412443177963241</v>
      </c>
      <c r="E930" s="58">
        <f>+VLOOKUP(A930,[1]Base!$A$11:$R$1579,18,FALSE)</f>
        <v>0.80515553972454046</v>
      </c>
      <c r="F930">
        <f>+VLOOKUP(A930,[1]Base!$A$11:$O$1264,15,FALSE)</f>
        <v>0.64412443177963241</v>
      </c>
      <c r="G930">
        <f t="shared" si="14"/>
        <v>1</v>
      </c>
    </row>
    <row r="931" spans="1:7" x14ac:dyDescent="0.25">
      <c r="A931" s="36" t="s">
        <v>1310</v>
      </c>
      <c r="B931" s="37" t="s">
        <v>1311</v>
      </c>
      <c r="C931" s="63">
        <v>1</v>
      </c>
      <c r="D931" s="58">
        <f>+VLOOKUP(A931,[1]Base!$A$11:$O$1318,15,FALSE)</f>
        <v>1.3250559739466723</v>
      </c>
      <c r="E931" s="58">
        <f>+VLOOKUP(A931,[1]Base!$A$11:$R$1579,18,FALSE)</f>
        <v>1.6563199674333402</v>
      </c>
      <c r="F931">
        <f>+VLOOKUP(A931,[1]Base!$A$11:$O$1264,15,FALSE)</f>
        <v>1.3250559739466723</v>
      </c>
      <c r="G931">
        <f t="shared" si="14"/>
        <v>1</v>
      </c>
    </row>
    <row r="932" spans="1:7" x14ac:dyDescent="0.25">
      <c r="A932" s="36" t="s">
        <v>1342</v>
      </c>
      <c r="B932" s="37" t="s">
        <v>1343</v>
      </c>
      <c r="C932" s="63">
        <v>1</v>
      </c>
      <c r="D932" s="58">
        <f>+VLOOKUP(A932,[1]Base!$A$11:$O$1318,15,FALSE)</f>
        <v>0.64412443177963241</v>
      </c>
      <c r="E932" s="58">
        <f>+VLOOKUP(A932,[1]Base!$A$11:$R$1579,18,FALSE)</f>
        <v>0.80515553972454046</v>
      </c>
      <c r="F932">
        <f>+VLOOKUP(A932,[1]Base!$A$11:$O$1264,15,FALSE)</f>
        <v>0.64412443177963241</v>
      </c>
      <c r="G932">
        <f t="shared" si="14"/>
        <v>1</v>
      </c>
    </row>
    <row r="933" spans="1:7" x14ac:dyDescent="0.25">
      <c r="A933" s="36" t="s">
        <v>1344</v>
      </c>
      <c r="B933" s="37" t="s">
        <v>1345</v>
      </c>
      <c r="C933" s="63">
        <v>1</v>
      </c>
      <c r="D933" s="58">
        <f>+VLOOKUP(A933,[1]Base!$A$11:$O$1318,15,FALSE)</f>
        <v>0.64412443177963241</v>
      </c>
      <c r="E933" s="58">
        <f>+VLOOKUP(A933,[1]Base!$A$11:$R$1579,18,FALSE)</f>
        <v>0.80515553972454046</v>
      </c>
      <c r="F933">
        <f>+VLOOKUP(A933,[1]Base!$A$11:$O$1264,15,FALSE)</f>
        <v>0.64412443177963241</v>
      </c>
      <c r="G933">
        <f t="shared" si="14"/>
        <v>1</v>
      </c>
    </row>
    <row r="934" spans="1:7" x14ac:dyDescent="0.25">
      <c r="A934" s="36" t="s">
        <v>1400</v>
      </c>
      <c r="B934" s="37" t="s">
        <v>1401</v>
      </c>
      <c r="C934" s="63">
        <v>1</v>
      </c>
      <c r="D934" s="58">
        <f>+VLOOKUP(A934,[1]Base!$A$11:$O$1318,15,FALSE)</f>
        <v>0.33126399348666807</v>
      </c>
      <c r="E934" s="58">
        <f>+VLOOKUP(A934,[1]Base!$A$11:$R$1579,18,FALSE)</f>
        <v>0.41407999185833505</v>
      </c>
      <c r="F934">
        <f>+VLOOKUP(A934,[1]Base!$A$11:$O$1264,15,FALSE)</f>
        <v>0.33126399348666807</v>
      </c>
      <c r="G934">
        <f t="shared" si="14"/>
        <v>1</v>
      </c>
    </row>
    <row r="935" spans="1:7" x14ac:dyDescent="0.25">
      <c r="A935" s="40" t="s">
        <v>1530</v>
      </c>
      <c r="B935" s="35" t="s">
        <v>1531</v>
      </c>
      <c r="C935" s="63">
        <v>1</v>
      </c>
      <c r="D935" s="58">
        <f>+VLOOKUP(A935,[1]Base!$A$11:$O$1318,15,FALSE)</f>
        <v>0.64412443177963241</v>
      </c>
      <c r="E935" s="58">
        <f>+VLOOKUP(A935,[1]Base!$A$11:$R$1579,18,FALSE)</f>
        <v>0.80515553972454046</v>
      </c>
      <c r="F935">
        <f>+VLOOKUP(A935,[1]Base!$A$11:$O$1264,15,FALSE)</f>
        <v>0.64412443177963241</v>
      </c>
      <c r="G935">
        <f t="shared" si="14"/>
        <v>1</v>
      </c>
    </row>
    <row r="936" spans="1:7" x14ac:dyDescent="0.25">
      <c r="A936" s="40" t="s">
        <v>1532</v>
      </c>
      <c r="B936" s="35" t="s">
        <v>1533</v>
      </c>
      <c r="C936" s="63">
        <v>1</v>
      </c>
      <c r="D936" s="58">
        <f>+VLOOKUP(A936,[1]Base!$A$11:$O$1318,15,FALSE)</f>
        <v>0.64412443177963241</v>
      </c>
      <c r="E936" s="58">
        <f>+VLOOKUP(A936,[1]Base!$A$11:$R$1579,18,FALSE)</f>
        <v>0.80515553972454046</v>
      </c>
      <c r="F936">
        <f>+VLOOKUP(A936,[1]Base!$A$11:$O$1264,15,FALSE)</f>
        <v>0.64412443177963241</v>
      </c>
      <c r="G936">
        <f t="shared" si="14"/>
        <v>1</v>
      </c>
    </row>
    <row r="937" spans="1:7" x14ac:dyDescent="0.25">
      <c r="A937" s="36" t="s">
        <v>869</v>
      </c>
      <c r="B937" s="49" t="s">
        <v>870</v>
      </c>
      <c r="C937" s="62">
        <v>1</v>
      </c>
      <c r="D937" s="58">
        <f>+VLOOKUP(A937,[1]Base!$A$11:$O$1318,15,FALSE)</f>
        <v>7.8215109573241057E-2</v>
      </c>
      <c r="E937" s="58">
        <f>+VLOOKUP(A937,[1]Base!$A$11:$R$1579,18,FALSE)</f>
        <v>9.7768886966551311E-2</v>
      </c>
      <c r="F937">
        <f>+VLOOKUP(A937,[1]Base!$A$11:$O$1264,15,FALSE)</f>
        <v>7.8215109573241057E-2</v>
      </c>
      <c r="G937">
        <f t="shared" si="14"/>
        <v>1</v>
      </c>
    </row>
    <row r="938" spans="1:7" x14ac:dyDescent="0.25">
      <c r="A938" s="36" t="s">
        <v>1063</v>
      </c>
      <c r="B938" s="51" t="s">
        <v>1064</v>
      </c>
      <c r="C938" s="63">
        <v>1</v>
      </c>
      <c r="D938" s="58">
        <f>+VLOOKUP(A938,[1]Base!$A$11:$O$1318,15,FALSE)</f>
        <v>1.3831724640320522E-2</v>
      </c>
      <c r="E938" s="58">
        <f>+VLOOKUP(A938,[1]Base!$A$11:$R$1579,18,FALSE)</f>
        <v>1.7289655800400653E-2</v>
      </c>
      <c r="F938">
        <f>+VLOOKUP(A938,[1]Base!$A$11:$O$1264,15,FALSE)</f>
        <v>1.3831724640320522E-2</v>
      </c>
      <c r="G938">
        <f t="shared" si="14"/>
        <v>1</v>
      </c>
    </row>
    <row r="939" spans="1:7" x14ac:dyDescent="0.25">
      <c r="A939" s="36" t="s">
        <v>1065</v>
      </c>
      <c r="B939" s="51" t="s">
        <v>1066</v>
      </c>
      <c r="C939" s="63">
        <v>1</v>
      </c>
      <c r="D939" s="58">
        <f>+VLOOKUP(A939,[1]Base!$A$11:$O$1318,15,FALSE)</f>
        <v>1.3831724640320522E-2</v>
      </c>
      <c r="E939" s="58">
        <f>+VLOOKUP(A939,[1]Base!$A$11:$R$1579,18,FALSE)</f>
        <v>1.7289655800400653E-2</v>
      </c>
      <c r="F939">
        <f>+VLOOKUP(A939,[1]Base!$A$11:$O$1264,15,FALSE)</f>
        <v>1.3831724640320522E-2</v>
      </c>
      <c r="G939">
        <f t="shared" si="14"/>
        <v>1</v>
      </c>
    </row>
    <row r="940" spans="1:7" x14ac:dyDescent="0.25">
      <c r="A940" s="36" t="s">
        <v>1097</v>
      </c>
      <c r="B940" s="37" t="s">
        <v>1098</v>
      </c>
      <c r="C940" s="63">
        <v>4</v>
      </c>
      <c r="D940" s="58">
        <f>+VLOOKUP(A940,[1]Base!$A$11:$O$1318,15,FALSE)</f>
        <v>2.0582923571905543</v>
      </c>
      <c r="E940" s="58">
        <f>+VLOOKUP(A940,[1]Base!$A$11:$R$1579,18,FALSE)</f>
        <v>2.5728654464881928</v>
      </c>
      <c r="F940">
        <f>+VLOOKUP(A940,[1]Base!$A$11:$O$1264,15,FALSE)</f>
        <v>2.0582923571905543</v>
      </c>
      <c r="G940">
        <f t="shared" si="14"/>
        <v>1</v>
      </c>
    </row>
    <row r="941" spans="1:7" x14ac:dyDescent="0.25">
      <c r="A941" s="36" t="s">
        <v>1111</v>
      </c>
      <c r="B941" s="37" t="s">
        <v>1112</v>
      </c>
      <c r="C941" s="63">
        <v>1</v>
      </c>
      <c r="D941" s="58">
        <f>+VLOOKUP(A941,[1]Base!$A$11:$O$1318,15,FALSE)</f>
        <v>0.85358756247597067</v>
      </c>
      <c r="E941" s="58">
        <f>+VLOOKUP(A941,[1]Base!$A$11:$R$1579,18,FALSE)</f>
        <v>1.0669844530949633</v>
      </c>
      <c r="F941">
        <f>+VLOOKUP(A941,[1]Base!$A$11:$O$1264,15,FALSE)</f>
        <v>0.85358756247597067</v>
      </c>
      <c r="G941">
        <f t="shared" si="14"/>
        <v>1</v>
      </c>
    </row>
    <row r="942" spans="1:7" x14ac:dyDescent="0.25">
      <c r="A942" s="36" t="s">
        <v>1161</v>
      </c>
      <c r="B942" s="37" t="s">
        <v>1162</v>
      </c>
      <c r="C942" s="63">
        <v>100</v>
      </c>
      <c r="D942" s="58">
        <f>+VLOOKUP(A942,[1]Base!$A$11:$O$1318,15,FALSE)</f>
        <v>0.94833519913155573</v>
      </c>
      <c r="E942" s="58">
        <f>+VLOOKUP(A942,[1]Base!$A$11:$R$1579,18,FALSE)</f>
        <v>1.1854189989144446</v>
      </c>
      <c r="F942">
        <f>+VLOOKUP(A942,[1]Base!$A$11:$O$1264,15,FALSE)</f>
        <v>0.94833519913155573</v>
      </c>
      <c r="G942">
        <f t="shared" si="14"/>
        <v>1</v>
      </c>
    </row>
    <row r="943" spans="1:7" x14ac:dyDescent="0.25">
      <c r="A943" s="36" t="s">
        <v>1442</v>
      </c>
      <c r="B943" s="37" t="s">
        <v>1443</v>
      </c>
      <c r="C943" s="63">
        <v>1</v>
      </c>
      <c r="D943" s="58">
        <f>+VLOOKUP(A943,[1]Base!$A$11:$O$1318,15,FALSE)</f>
        <v>6.6252798697333609E-2</v>
      </c>
      <c r="E943" s="58">
        <f>+VLOOKUP(A943,[1]Base!$A$11:$R$1579,18,FALSE)</f>
        <v>8.2815998371667005E-2</v>
      </c>
      <c r="F943">
        <f>+VLOOKUP(A943,[1]Base!$A$11:$O$1264,15,FALSE)</f>
        <v>6.6252798697333609E-2</v>
      </c>
      <c r="G943">
        <f t="shared" si="14"/>
        <v>1</v>
      </c>
    </row>
    <row r="944" spans="1:7" x14ac:dyDescent="0.25">
      <c r="A944" s="36" t="s">
        <v>1446</v>
      </c>
      <c r="B944" s="37" t="s">
        <v>1447</v>
      </c>
      <c r="C944" s="63">
        <v>1</v>
      </c>
      <c r="D944" s="58">
        <f>+VLOOKUP(A944,[1]Base!$A$11:$O$1318,15,FALSE)</f>
        <v>6.6252798697333609E-2</v>
      </c>
      <c r="E944" s="58">
        <f>+VLOOKUP(A944,[1]Base!$A$11:$R$1579,18,FALSE)</f>
        <v>8.2815998371667005E-2</v>
      </c>
      <c r="F944">
        <f>+VLOOKUP(A944,[1]Base!$A$11:$O$1264,15,FALSE)</f>
        <v>6.6252798697333609E-2</v>
      </c>
      <c r="G944">
        <f t="shared" si="14"/>
        <v>1</v>
      </c>
    </row>
    <row r="945" spans="1:7" x14ac:dyDescent="0.25">
      <c r="A945" s="36" t="s">
        <v>1462</v>
      </c>
      <c r="B945" s="37" t="s">
        <v>1463</v>
      </c>
      <c r="C945" s="63">
        <v>1</v>
      </c>
      <c r="D945" s="58">
        <f>+VLOOKUP(A945,[1]Base!$A$11:$O$1318,15,FALSE)</f>
        <v>3.3126399348666805E-2</v>
      </c>
      <c r="E945" s="58">
        <f>+VLOOKUP(A945,[1]Base!$A$11:$R$1579,18,FALSE)</f>
        <v>4.1407999185833502E-2</v>
      </c>
      <c r="F945">
        <f>+VLOOKUP(A945,[1]Base!$A$11:$O$1264,15,FALSE)</f>
        <v>3.3126399348666805E-2</v>
      </c>
      <c r="G945">
        <f t="shared" si="14"/>
        <v>1</v>
      </c>
    </row>
    <row r="946" spans="1:7" x14ac:dyDescent="0.25">
      <c r="A946" s="36" t="s">
        <v>1472</v>
      </c>
      <c r="B946" s="37" t="s">
        <v>1473</v>
      </c>
      <c r="C946" s="63">
        <v>1</v>
      </c>
      <c r="D946" s="58">
        <f>+VLOOKUP(A946,[1]Base!$A$11:$O$1318,15,FALSE)</f>
        <v>6.6252798697333609E-2</v>
      </c>
      <c r="E946" s="58">
        <f>+VLOOKUP(A946,[1]Base!$A$11:$R$1579,18,FALSE)</f>
        <v>8.2815998371667005E-2</v>
      </c>
      <c r="F946">
        <f>+VLOOKUP(A946,[1]Base!$A$11:$O$1264,15,FALSE)</f>
        <v>6.6252798697333609E-2</v>
      </c>
      <c r="G946">
        <f t="shared" si="14"/>
        <v>1</v>
      </c>
    </row>
    <row r="947" spans="1:7" x14ac:dyDescent="0.25">
      <c r="A947" s="36" t="s">
        <v>1516</v>
      </c>
      <c r="B947" s="37" t="s">
        <v>1517</v>
      </c>
      <c r="C947" s="63">
        <v>1</v>
      </c>
      <c r="D947" s="58">
        <f>+VLOOKUP(A947,[1]Base!$A$11:$O$1318,15,FALSE)</f>
        <v>6.6252798697333609E-2</v>
      </c>
      <c r="E947" s="58">
        <f>+VLOOKUP(A947,[1]Base!$A$11:$R$1579,18,FALSE)</f>
        <v>8.2815998371667005E-2</v>
      </c>
      <c r="F947">
        <f>+VLOOKUP(A947,[1]Base!$A$11:$O$1264,15,FALSE)</f>
        <v>6.6252798697333609E-2</v>
      </c>
      <c r="G947">
        <f t="shared" si="14"/>
        <v>1</v>
      </c>
    </row>
    <row r="948" spans="1:7" x14ac:dyDescent="0.25">
      <c r="A948" s="36" t="s">
        <v>830</v>
      </c>
      <c r="B948" s="37" t="s">
        <v>831</v>
      </c>
      <c r="C948" s="63">
        <v>1</v>
      </c>
      <c r="D948" s="58">
        <f>+VLOOKUP(A948,[1]Base!$A$11:$O$1318,15,FALSE)</f>
        <v>4.4536603568763145</v>
      </c>
      <c r="E948" s="58">
        <f>+VLOOKUP(A948,[1]Base!$A$11:$R$1579,18,FALSE)</f>
        <v>5.5670754460953926</v>
      </c>
      <c r="F948">
        <f>+VLOOKUP(A948,[1]Base!$A$11:$O$1264,15,FALSE)</f>
        <v>4.4536603568763145</v>
      </c>
      <c r="G948">
        <f t="shared" si="14"/>
        <v>1</v>
      </c>
    </row>
    <row r="949" spans="1:7" x14ac:dyDescent="0.25">
      <c r="A949" s="36" t="s">
        <v>1498</v>
      </c>
      <c r="B949" s="37" t="s">
        <v>1499</v>
      </c>
      <c r="C949" s="63">
        <v>1</v>
      </c>
      <c r="D949" s="58">
        <f>+VLOOKUP(A949,[1]Base!$A$11:$O$1318,15,FALSE)</f>
        <v>2.3924621751814907</v>
      </c>
      <c r="E949" s="58">
        <f>+VLOOKUP(A949,[1]Base!$A$11:$R$1579,18,FALSE)</f>
        <v>2.9905777189768634</v>
      </c>
      <c r="F949">
        <f>+VLOOKUP(A949,[1]Base!$A$11:$O$1264,15,FALSE)</f>
        <v>2.3924621751814907</v>
      </c>
      <c r="G949">
        <f t="shared" si="14"/>
        <v>1</v>
      </c>
    </row>
    <row r="950" spans="1:7" x14ac:dyDescent="0.25">
      <c r="A950" s="36" t="s">
        <v>511</v>
      </c>
      <c r="B950" s="35" t="s">
        <v>512</v>
      </c>
      <c r="C950" s="63">
        <v>4</v>
      </c>
      <c r="D950" s="58">
        <f>+VLOOKUP(A950,[1]Base!$A$11:$O$1318,15,FALSE)</f>
        <v>0.20857362552864281</v>
      </c>
      <c r="E950" s="58">
        <f>+VLOOKUP(A950,[1]Base!$A$11:$R$1579,18,FALSE)</f>
        <v>0.26071703191080348</v>
      </c>
      <c r="F950">
        <f>+VLOOKUP(A950,[1]Base!$A$11:$O$1264,15,FALSE)</f>
        <v>0.20857362552864281</v>
      </c>
      <c r="G950">
        <f t="shared" si="14"/>
        <v>1</v>
      </c>
    </row>
    <row r="951" spans="1:7" x14ac:dyDescent="0.25">
      <c r="A951" s="36" t="s">
        <v>792</v>
      </c>
      <c r="B951" s="37" t="s">
        <v>793</v>
      </c>
      <c r="C951" s="63">
        <v>1</v>
      </c>
      <c r="D951" s="58">
        <f>+VLOOKUP(A951,[1]Base!$A$11:$O$1318,15,FALSE)</f>
        <v>0.20857362552864281</v>
      </c>
      <c r="E951" s="58">
        <f>+VLOOKUP(A951,[1]Base!$A$11:$R$1579,18,FALSE)</f>
        <v>0.26071703191080348</v>
      </c>
      <c r="F951">
        <f>+VLOOKUP(A951,[1]Base!$A$11:$O$1264,15,FALSE)</f>
        <v>0.20857362552864281</v>
      </c>
      <c r="G951">
        <f t="shared" si="14"/>
        <v>1</v>
      </c>
    </row>
    <row r="952" spans="1:7" x14ac:dyDescent="0.25">
      <c r="A952" s="36" t="s">
        <v>861</v>
      </c>
      <c r="B952" s="49" t="s">
        <v>862</v>
      </c>
      <c r="C952" s="62">
        <v>1</v>
      </c>
      <c r="D952" s="58">
        <f>+VLOOKUP(A952,[1]Base!$A$11:$O$1318,15,FALSE)</f>
        <v>5.2143406382160702E-2</v>
      </c>
      <c r="E952" s="58">
        <f>+VLOOKUP(A952,[1]Base!$A$11:$R$1579,18,FALSE)</f>
        <v>6.5179257977700869E-2</v>
      </c>
      <c r="F952">
        <f>+VLOOKUP(A952,[1]Base!$A$11:$O$1264,15,FALSE)</f>
        <v>5.2143406382160702E-2</v>
      </c>
      <c r="G952">
        <f t="shared" si="14"/>
        <v>1</v>
      </c>
    </row>
    <row r="953" spans="1:7" x14ac:dyDescent="0.25">
      <c r="A953" s="36" t="s">
        <v>1029</v>
      </c>
      <c r="B953" s="37" t="s">
        <v>1030</v>
      </c>
      <c r="C953" s="63">
        <v>1</v>
      </c>
      <c r="D953" s="58">
        <f>+VLOOKUP(A953,[1]Base!$A$11:$O$1318,15,FALSE)</f>
        <v>0.1042868127643214</v>
      </c>
      <c r="E953" s="58">
        <f>+VLOOKUP(A953,[1]Base!$A$11:$R$1579,18,FALSE)</f>
        <v>0.13035851595540174</v>
      </c>
      <c r="F953">
        <f>+VLOOKUP(A953,[1]Base!$A$11:$O$1264,15,FALSE)</f>
        <v>0.1042868127643214</v>
      </c>
      <c r="G953">
        <f t="shared" si="14"/>
        <v>1</v>
      </c>
    </row>
    <row r="954" spans="1:7" x14ac:dyDescent="0.25">
      <c r="A954" s="36" t="s">
        <v>1047</v>
      </c>
      <c r="B954" s="37" t="s">
        <v>1048</v>
      </c>
      <c r="C954" s="63">
        <v>1</v>
      </c>
      <c r="D954" s="58">
        <f>+VLOOKUP(A954,[1]Base!$A$11:$O$1318,15,FALSE)</f>
        <v>0.31378061605264945</v>
      </c>
      <c r="E954" s="58">
        <f>+VLOOKUP(A954,[1]Base!$A$11:$R$1579,18,FALSE)</f>
        <v>0.39222577006581177</v>
      </c>
      <c r="F954">
        <f>+VLOOKUP(A954,[1]Base!$A$11:$O$1264,15,FALSE)</f>
        <v>0.31378061605264945</v>
      </c>
      <c r="G954">
        <f t="shared" si="14"/>
        <v>1</v>
      </c>
    </row>
    <row r="955" spans="1:7" x14ac:dyDescent="0.25">
      <c r="A955" s="36" t="s">
        <v>1051</v>
      </c>
      <c r="B955" s="37" t="s">
        <v>1052</v>
      </c>
      <c r="C955" s="63">
        <v>1</v>
      </c>
      <c r="D955" s="58">
        <f>+VLOOKUP(A955,[1]Base!$A$11:$O$1318,15,FALSE)</f>
        <v>9.879803314514661E-2</v>
      </c>
      <c r="E955" s="58">
        <f>+VLOOKUP(A955,[1]Base!$A$11:$R$1579,18,FALSE)</f>
        <v>0.12349754143143325</v>
      </c>
      <c r="F955">
        <f>+VLOOKUP(A955,[1]Base!$A$11:$O$1264,15,FALSE)</f>
        <v>9.879803314514661E-2</v>
      </c>
      <c r="G955">
        <f t="shared" si="14"/>
        <v>1</v>
      </c>
    </row>
    <row r="956" spans="1:7" x14ac:dyDescent="0.25">
      <c r="A956" s="36" t="s">
        <v>1053</v>
      </c>
      <c r="B956" s="37" t="s">
        <v>1054</v>
      </c>
      <c r="C956" s="63">
        <v>1</v>
      </c>
      <c r="D956" s="58">
        <f>+VLOOKUP(A956,[1]Base!$A$11:$O$1318,15,FALSE)</f>
        <v>4.9399016572573305E-2</v>
      </c>
      <c r="E956" s="58">
        <f>+VLOOKUP(A956,[1]Base!$A$11:$R$1579,18,FALSE)</f>
        <v>6.1748770715716626E-2</v>
      </c>
      <c r="F956">
        <f>+VLOOKUP(A956,[1]Base!$A$11:$O$1264,15,FALSE)</f>
        <v>4.9399016572573305E-2</v>
      </c>
      <c r="G956">
        <f t="shared" si="14"/>
        <v>1</v>
      </c>
    </row>
    <row r="957" spans="1:7" x14ac:dyDescent="0.25">
      <c r="A957" s="36" t="s">
        <v>1095</v>
      </c>
      <c r="B957" s="37" t="s">
        <v>1096</v>
      </c>
      <c r="C957" s="63">
        <v>1</v>
      </c>
      <c r="D957" s="58">
        <f>+VLOOKUP(A957,[1]Base!$A$11:$O$1318,15,FALSE)</f>
        <v>6.9158623201602626E-2</v>
      </c>
      <c r="E957" s="58">
        <f>+VLOOKUP(A957,[1]Base!$A$11:$R$1579,18,FALSE)</f>
        <v>8.6448279002003275E-2</v>
      </c>
      <c r="F957">
        <f>+VLOOKUP(A957,[1]Base!$A$11:$O$1264,15,FALSE)</f>
        <v>6.9158623201602626E-2</v>
      </c>
      <c r="G957">
        <f t="shared" si="14"/>
        <v>1</v>
      </c>
    </row>
    <row r="958" spans="1:7" x14ac:dyDescent="0.25">
      <c r="A958" s="36" t="s">
        <v>1197</v>
      </c>
      <c r="B958" s="37" t="s">
        <v>1198</v>
      </c>
      <c r="C958" s="63">
        <v>1</v>
      </c>
      <c r="D958" s="58">
        <f>+VLOOKUP(A958,[1]Base!$A$11:$O$1318,15,FALSE)</f>
        <v>0.11662741894143275</v>
      </c>
      <c r="E958" s="58">
        <f>+VLOOKUP(A958,[1]Base!$A$11:$R$1579,18,FALSE)</f>
        <v>0.14578427367679092</v>
      </c>
      <c r="F958">
        <f>+VLOOKUP(A958,[1]Base!$A$11:$O$1264,15,FALSE)</f>
        <v>0.11662741894143275</v>
      </c>
      <c r="G958">
        <f t="shared" si="14"/>
        <v>1</v>
      </c>
    </row>
    <row r="959" spans="1:7" x14ac:dyDescent="0.25">
      <c r="A959" s="36" t="s">
        <v>1199</v>
      </c>
      <c r="B959" s="37" t="s">
        <v>1200</v>
      </c>
      <c r="C959" s="63">
        <v>1</v>
      </c>
      <c r="D959" s="58">
        <f>+VLOOKUP(A959,[1]Base!$A$11:$O$1318,15,FALSE)</f>
        <v>0.24576925541458416</v>
      </c>
      <c r="E959" s="58">
        <f>+VLOOKUP(A959,[1]Base!$A$11:$R$1579,18,FALSE)</f>
        <v>0.30721156926823018</v>
      </c>
      <c r="F959">
        <f>+VLOOKUP(A959,[1]Base!$A$11:$O$1264,15,FALSE)</f>
        <v>0.24576925541458416</v>
      </c>
      <c r="G959">
        <f t="shared" si="14"/>
        <v>1</v>
      </c>
    </row>
    <row r="960" spans="1:7" x14ac:dyDescent="0.25">
      <c r="A960" s="36" t="s">
        <v>1302</v>
      </c>
      <c r="B960" s="37" t="s">
        <v>1303</v>
      </c>
      <c r="C960" s="63">
        <v>1</v>
      </c>
      <c r="D960" s="58">
        <f>+VLOOKUP(A960,[1]Base!$A$11:$O$1318,15,FALSE)</f>
        <v>7.7294931813555887E-2</v>
      </c>
      <c r="E960" s="58">
        <f>+VLOOKUP(A960,[1]Base!$A$11:$R$1579,18,FALSE)</f>
        <v>9.6618664766944848E-2</v>
      </c>
      <c r="F960">
        <f>+VLOOKUP(A960,[1]Base!$A$11:$O$1264,15,FALSE)</f>
        <v>7.7294931813555887E-2</v>
      </c>
      <c r="G960">
        <f t="shared" si="14"/>
        <v>1</v>
      </c>
    </row>
    <row r="961" spans="1:7" x14ac:dyDescent="0.25">
      <c r="A961" s="36" t="s">
        <v>1374</v>
      </c>
      <c r="B961" s="37" t="s">
        <v>1375</v>
      </c>
      <c r="C961" s="63">
        <v>1</v>
      </c>
      <c r="D961" s="58">
        <f>+VLOOKUP(A961,[1]Base!$A$11:$O$1318,15,FALSE)</f>
        <v>0.62756123210529891</v>
      </c>
      <c r="E961" s="58">
        <f>+VLOOKUP(A961,[1]Base!$A$11:$R$1579,18,FALSE)</f>
        <v>0.78445154013162355</v>
      </c>
      <c r="F961">
        <f>+VLOOKUP(A961,[1]Base!$A$11:$O$1264,15,FALSE)</f>
        <v>0.62756123210529891</v>
      </c>
      <c r="G961">
        <f t="shared" si="14"/>
        <v>1</v>
      </c>
    </row>
    <row r="962" spans="1:7" x14ac:dyDescent="0.25">
      <c r="A962" s="36" t="s">
        <v>1406</v>
      </c>
      <c r="B962" s="37" t="s">
        <v>1407</v>
      </c>
      <c r="C962" s="63">
        <v>1</v>
      </c>
      <c r="D962" s="58">
        <f>+VLOOKUP(A962,[1]Base!$A$11:$O$1318,15,FALSE)</f>
        <v>1.900167073749915</v>
      </c>
      <c r="E962" s="58">
        <f>+VLOOKUP(A962,[1]Base!$A$11:$R$1579,18,FALSE)</f>
        <v>2.3752088421873938</v>
      </c>
      <c r="F962">
        <f>+VLOOKUP(A962,[1]Base!$A$11:$O$1264,15,FALSE)</f>
        <v>1.900167073749915</v>
      </c>
      <c r="G962">
        <f t="shared" si="14"/>
        <v>1</v>
      </c>
    </row>
    <row r="963" spans="1:7" x14ac:dyDescent="0.25">
      <c r="A963" s="36" t="s">
        <v>1408</v>
      </c>
      <c r="B963" s="37" t="s">
        <v>1409</v>
      </c>
      <c r="C963" s="63">
        <v>1</v>
      </c>
      <c r="D963" s="58">
        <f>+VLOOKUP(A963,[1]Base!$A$11:$O$1318,15,FALSE)</f>
        <v>0.14317965940701538</v>
      </c>
      <c r="E963" s="58">
        <f>+VLOOKUP(A963,[1]Base!$A$11:$R$1579,18,FALSE)</f>
        <v>0.17897457425876923</v>
      </c>
      <c r="F963">
        <f>+VLOOKUP(A963,[1]Base!$A$11:$O$1264,15,FALSE)</f>
        <v>0.14317965940701538</v>
      </c>
      <c r="G963">
        <f t="shared" si="14"/>
        <v>1</v>
      </c>
    </row>
    <row r="964" spans="1:7" x14ac:dyDescent="0.25">
      <c r="A964" s="36" t="s">
        <v>1422</v>
      </c>
      <c r="B964" s="37" t="s">
        <v>1423</v>
      </c>
      <c r="C964" s="63">
        <v>1</v>
      </c>
      <c r="D964" s="58">
        <f>+VLOOKUP(A964,[1]Base!$A$11:$O$1318,15,FALSE)</f>
        <v>4.5088710224574253</v>
      </c>
      <c r="E964" s="58">
        <f>+VLOOKUP(A964,[1]Base!$A$11:$R$1579,18,FALSE)</f>
        <v>5.6360887780717812</v>
      </c>
      <c r="F964">
        <f>+VLOOKUP(A964,[1]Base!$A$11:$O$1264,15,FALSE)</f>
        <v>4.5088710224574253</v>
      </c>
      <c r="G964">
        <f t="shared" ref="G964:G1027" si="15">+F964/D964</f>
        <v>1</v>
      </c>
    </row>
    <row r="965" spans="1:7" x14ac:dyDescent="0.25">
      <c r="A965" s="40" t="s">
        <v>1576</v>
      </c>
      <c r="B965" s="35" t="s">
        <v>1577</v>
      </c>
      <c r="C965" s="63">
        <v>2500</v>
      </c>
      <c r="D965" s="58">
        <f>+VLOOKUP(A965,[1]Base!$A$11:$O$1318,15,FALSE)</f>
        <v>1.8121205912705638</v>
      </c>
      <c r="E965" s="58">
        <f>+VLOOKUP(A965,[1]Base!$A$11:$R$1579,18,FALSE)</f>
        <v>2.2651507390882046</v>
      </c>
      <c r="F965">
        <f>+VLOOKUP(A965,[1]Base!$A$11:$O$1264,15,FALSE)</f>
        <v>1.8121205912705638</v>
      </c>
      <c r="G965">
        <f t="shared" si="15"/>
        <v>1</v>
      </c>
    </row>
    <row r="966" spans="1:7" x14ac:dyDescent="0.25">
      <c r="A966" s="36" t="s">
        <v>750</v>
      </c>
      <c r="B966" s="35" t="s">
        <v>751</v>
      </c>
      <c r="C966" s="63">
        <v>1</v>
      </c>
      <c r="D966" s="58">
        <f>+VLOOKUP(A966,[1]Base!$A$11:$O$1318,15,FALSE)</f>
        <v>36.500384467512497</v>
      </c>
      <c r="E966" s="58">
        <f>+VLOOKUP(A966,[1]Base!$A$11:$R$1579,18,FALSE)</f>
        <v>45.625480584390615</v>
      </c>
      <c r="F966">
        <f>+VLOOKUP(A966,[1]Base!$A$11:$O$1264,15,FALSE)</f>
        <v>36.500384467512497</v>
      </c>
      <c r="G966">
        <f t="shared" si="15"/>
        <v>1</v>
      </c>
    </row>
    <row r="967" spans="1:7" x14ac:dyDescent="0.25">
      <c r="A967" s="36" t="s">
        <v>21</v>
      </c>
      <c r="B967" s="37" t="s">
        <v>45</v>
      </c>
      <c r="C967" s="63">
        <v>1</v>
      </c>
      <c r="D967" s="58">
        <f>+VLOOKUP(A967,[1]Base!$A$11:$O$1318,15,FALSE)</f>
        <v>4.2880283601329792</v>
      </c>
      <c r="E967" s="58">
        <f>+VLOOKUP(A967,[1]Base!$A$11:$R$1579,18,FALSE)</f>
        <v>5.3600354501662233</v>
      </c>
      <c r="F967">
        <f>+VLOOKUP(A967,[1]Base!$A$11:$O$1264,15,FALSE)</f>
        <v>4.2880283601329792</v>
      </c>
      <c r="G967">
        <f t="shared" si="15"/>
        <v>1</v>
      </c>
    </row>
    <row r="968" spans="1:7" x14ac:dyDescent="0.25">
      <c r="A968" s="36" t="s">
        <v>16</v>
      </c>
      <c r="B968" s="37" t="s">
        <v>46</v>
      </c>
      <c r="C968" s="63">
        <v>1</v>
      </c>
      <c r="D968" s="58">
        <f>+VLOOKUP(A968,[1]Base!$A$11:$O$1318,15,FALSE)</f>
        <v>9.2017775968518887</v>
      </c>
      <c r="E968" s="58">
        <f>+VLOOKUP(A968,[1]Base!$A$11:$R$1579,18,FALSE)</f>
        <v>11.50222199606486</v>
      </c>
      <c r="F968">
        <f>+VLOOKUP(A968,[1]Base!$A$11:$O$1264,15,FALSE)</f>
        <v>9.2017775968518887</v>
      </c>
      <c r="G968">
        <f t="shared" si="15"/>
        <v>1</v>
      </c>
    </row>
    <row r="969" spans="1:7" x14ac:dyDescent="0.25">
      <c r="A969" s="36" t="s">
        <v>802</v>
      </c>
      <c r="B969" s="37" t="s">
        <v>803</v>
      </c>
      <c r="C969" s="63">
        <v>1</v>
      </c>
      <c r="D969" s="58">
        <f>+VLOOKUP(A969,[1]Base!$A$11:$O$1318,15,FALSE)</f>
        <v>0.22084266232444535</v>
      </c>
      <c r="E969" s="58">
        <f>+VLOOKUP(A969,[1]Base!$A$11:$R$1579,18,FALSE)</f>
        <v>0.2760533279055567</v>
      </c>
      <c r="F969">
        <f>+VLOOKUP(A969,[1]Base!$A$11:$O$1264,15,FALSE)</f>
        <v>0.22084266232444535</v>
      </c>
      <c r="G969">
        <f t="shared" si="15"/>
        <v>1</v>
      </c>
    </row>
    <row r="970" spans="1:7" x14ac:dyDescent="0.25">
      <c r="A970" s="36" t="s">
        <v>810</v>
      </c>
      <c r="B970" s="37" t="s">
        <v>811</v>
      </c>
      <c r="C970" s="63">
        <v>1</v>
      </c>
      <c r="D970" s="58">
        <f>+VLOOKUP(A970,[1]Base!$A$11:$O$1318,15,FALSE)</f>
        <v>0.80975642852296614</v>
      </c>
      <c r="E970" s="58">
        <f>+VLOOKUP(A970,[1]Base!$A$11:$R$1579,18,FALSE)</f>
        <v>1.0121955356537076</v>
      </c>
      <c r="F970">
        <f>+VLOOKUP(A970,[1]Base!$A$11:$O$1264,15,FALSE)</f>
        <v>0.80975642852296614</v>
      </c>
      <c r="G970">
        <f t="shared" si="15"/>
        <v>1</v>
      </c>
    </row>
    <row r="971" spans="1:7" x14ac:dyDescent="0.25">
      <c r="A971" s="36" t="s">
        <v>840</v>
      </c>
      <c r="B971" s="37" t="s">
        <v>841</v>
      </c>
      <c r="C971" s="63">
        <v>1</v>
      </c>
      <c r="D971" s="58">
        <f>+VLOOKUP(A971,[1]Base!$A$11:$O$1318,15,FALSE)</f>
        <v>9.2017775968518886E-2</v>
      </c>
      <c r="E971" s="58">
        <f>+VLOOKUP(A971,[1]Base!$A$11:$R$1579,18,FALSE)</f>
        <v>0.1150222199606486</v>
      </c>
      <c r="F971">
        <f>+VLOOKUP(A971,[1]Base!$A$11:$O$1264,15,FALSE)</f>
        <v>9.2017775968518886E-2</v>
      </c>
      <c r="G971">
        <f t="shared" si="15"/>
        <v>1</v>
      </c>
    </row>
    <row r="972" spans="1:7" x14ac:dyDescent="0.25">
      <c r="A972" s="36" t="s">
        <v>61</v>
      </c>
      <c r="B972" s="37" t="s">
        <v>842</v>
      </c>
      <c r="C972" s="63">
        <v>1</v>
      </c>
      <c r="D972" s="58">
        <f>+VLOOKUP(A972,[1]Base!$A$11:$O$1318,15,FALSE)</f>
        <v>0.18403555193703777</v>
      </c>
      <c r="E972" s="58">
        <f>+VLOOKUP(A972,[1]Base!$A$11:$R$1579,18,FALSE)</f>
        <v>0.23004443992129719</v>
      </c>
      <c r="F972">
        <f>+VLOOKUP(A972,[1]Base!$A$11:$O$1264,15,FALSE)</f>
        <v>0.18403555193703777</v>
      </c>
      <c r="G972">
        <f t="shared" si="15"/>
        <v>1</v>
      </c>
    </row>
    <row r="973" spans="1:7" x14ac:dyDescent="0.25">
      <c r="A973" s="36" t="s">
        <v>845</v>
      </c>
      <c r="B973" s="37" t="s">
        <v>846</v>
      </c>
      <c r="C973" s="63">
        <v>1</v>
      </c>
      <c r="D973" s="58">
        <f>+VLOOKUP(A973,[1]Base!$A$11:$O$1318,15,FALSE)</f>
        <v>0.73614220774815109</v>
      </c>
      <c r="E973" s="58">
        <f>+VLOOKUP(A973,[1]Base!$A$11:$R$1579,18,FALSE)</f>
        <v>0.92017775968518878</v>
      </c>
      <c r="F973">
        <f>+VLOOKUP(A973,[1]Base!$A$11:$O$1264,15,FALSE)</f>
        <v>0.73614220774815109</v>
      </c>
      <c r="G973">
        <f t="shared" si="15"/>
        <v>1</v>
      </c>
    </row>
    <row r="974" spans="1:7" x14ac:dyDescent="0.25">
      <c r="A974" s="36" t="s">
        <v>853</v>
      </c>
      <c r="B974" s="49" t="s">
        <v>854</v>
      </c>
      <c r="C974" s="62">
        <v>1</v>
      </c>
      <c r="D974" s="58">
        <f>+VLOOKUP(A974,[1]Base!$A$11:$O$1318,15,FALSE)</f>
        <v>0.26071703191080353</v>
      </c>
      <c r="E974" s="58">
        <f>+VLOOKUP(A974,[1]Base!$A$11:$R$1579,18,FALSE)</f>
        <v>0.32589628988850439</v>
      </c>
      <c r="F974">
        <f>+VLOOKUP(A974,[1]Base!$A$11:$O$1264,15,FALSE)</f>
        <v>0.26071703191080353</v>
      </c>
      <c r="G974">
        <f t="shared" si="15"/>
        <v>1</v>
      </c>
    </row>
    <row r="975" spans="1:7" x14ac:dyDescent="0.25">
      <c r="A975" s="36" t="s">
        <v>857</v>
      </c>
      <c r="B975" s="49" t="s">
        <v>858</v>
      </c>
      <c r="C975" s="62">
        <v>1</v>
      </c>
      <c r="D975" s="58">
        <f>+VLOOKUP(A975,[1]Base!$A$11:$O$1318,15,FALSE)</f>
        <v>0.60833974112520828</v>
      </c>
      <c r="E975" s="58">
        <f>+VLOOKUP(A975,[1]Base!$A$11:$R$1579,18,FALSE)</f>
        <v>0.76042467640651035</v>
      </c>
      <c r="F975">
        <f>+VLOOKUP(A975,[1]Base!$A$11:$O$1264,15,FALSE)</f>
        <v>0.60833974112520828</v>
      </c>
      <c r="G975">
        <f t="shared" si="15"/>
        <v>1</v>
      </c>
    </row>
    <row r="976" spans="1:7" x14ac:dyDescent="0.25">
      <c r="A976" s="36" t="s">
        <v>879</v>
      </c>
      <c r="B976" s="37" t="s">
        <v>880</v>
      </c>
      <c r="C976" s="63">
        <v>1</v>
      </c>
      <c r="D976" s="58">
        <f>+VLOOKUP(A976,[1]Base!$A$11:$O$1318,15,FALSE)</f>
        <v>22.525951557093425</v>
      </c>
      <c r="E976" s="58">
        <f>+VLOOKUP(A976,[1]Base!$A$11:$R$1579,18,FALSE)</f>
        <v>28.15743944636678</v>
      </c>
      <c r="F976">
        <f>+VLOOKUP(A976,[1]Base!$A$11:$O$1264,15,FALSE)</f>
        <v>22.525951557093425</v>
      </c>
      <c r="G976">
        <f t="shared" si="15"/>
        <v>1</v>
      </c>
    </row>
    <row r="977" spans="1:7" x14ac:dyDescent="0.25">
      <c r="A977" s="36" t="s">
        <v>881</v>
      </c>
      <c r="B977" s="37" t="s">
        <v>882</v>
      </c>
      <c r="C977" s="63">
        <v>1</v>
      </c>
      <c r="D977" s="58">
        <f>+VLOOKUP(A977,[1]Base!$A$11:$O$1318,15,FALSE)</f>
        <v>26.245514545687556</v>
      </c>
      <c r="E977" s="58">
        <f>+VLOOKUP(A977,[1]Base!$A$11:$R$1579,18,FALSE)</f>
        <v>32.806893182109441</v>
      </c>
      <c r="F977">
        <f>+VLOOKUP(A977,[1]Base!$A$11:$O$1264,15,FALSE)</f>
        <v>26.245514545687556</v>
      </c>
      <c r="G977">
        <f t="shared" si="15"/>
        <v>1</v>
      </c>
    </row>
    <row r="978" spans="1:7" x14ac:dyDescent="0.25">
      <c r="A978" s="36" t="s">
        <v>889</v>
      </c>
      <c r="B978" s="37" t="s">
        <v>890</v>
      </c>
      <c r="C978" s="63">
        <v>1</v>
      </c>
      <c r="D978" s="58">
        <f>+VLOOKUP(A978,[1]Base!$A$11:$O$1318,15,FALSE)</f>
        <v>38.93374343201333</v>
      </c>
      <c r="E978" s="58">
        <f>+VLOOKUP(A978,[1]Base!$A$11:$R$1579,18,FALSE)</f>
        <v>48.667179290016662</v>
      </c>
      <c r="F978">
        <f>+VLOOKUP(A978,[1]Base!$A$11:$O$1264,15,FALSE)</f>
        <v>38.93374343201333</v>
      </c>
      <c r="G978">
        <f t="shared" si="15"/>
        <v>1</v>
      </c>
    </row>
    <row r="979" spans="1:7" x14ac:dyDescent="0.25">
      <c r="A979" s="36" t="s">
        <v>891</v>
      </c>
      <c r="B979" s="37" t="s">
        <v>892</v>
      </c>
      <c r="C979" s="63">
        <v>1</v>
      </c>
      <c r="D979" s="58">
        <f>+VLOOKUP(A979,[1]Base!$A$11:$O$1318,15,FALSE)</f>
        <v>0.60833974112520828</v>
      </c>
      <c r="E979" s="58">
        <f>+VLOOKUP(A979,[1]Base!$A$11:$R$1579,18,FALSE)</f>
        <v>0.76042467640651035</v>
      </c>
      <c r="F979">
        <f>+VLOOKUP(A979,[1]Base!$A$11:$O$1264,15,FALSE)</f>
        <v>0.60833974112520828</v>
      </c>
      <c r="G979">
        <f t="shared" si="15"/>
        <v>1</v>
      </c>
    </row>
    <row r="980" spans="1:7" x14ac:dyDescent="0.25">
      <c r="A980" s="36" t="s">
        <v>901</v>
      </c>
      <c r="B980" s="50" t="s">
        <v>902</v>
      </c>
      <c r="C980" s="63">
        <v>1</v>
      </c>
      <c r="D980" s="58">
        <f>+VLOOKUP(A980,[1]Base!$A$11:$O$1318,15,FALSE)</f>
        <v>5.3881519928232736E-2</v>
      </c>
      <c r="E980" s="58">
        <f>+VLOOKUP(A980,[1]Base!$A$11:$R$1579,18,FALSE)</f>
        <v>6.7351899910290919E-2</v>
      </c>
      <c r="F980">
        <f>+VLOOKUP(A980,[1]Base!$A$11:$O$1264,15,FALSE)</f>
        <v>5.3881519928232736E-2</v>
      </c>
      <c r="G980">
        <f t="shared" si="15"/>
        <v>1</v>
      </c>
    </row>
    <row r="981" spans="1:7" x14ac:dyDescent="0.25">
      <c r="A981" s="36" t="s">
        <v>913</v>
      </c>
      <c r="B981" s="37" t="s">
        <v>914</v>
      </c>
      <c r="C981" s="63">
        <v>1</v>
      </c>
      <c r="D981" s="58">
        <f>+VLOOKUP(A981,[1]Base!$A$11:$O$1318,15,FALSE)</f>
        <v>53.881519928232727</v>
      </c>
      <c r="E981" s="58">
        <f>+VLOOKUP(A981,[1]Base!$A$11:$R$1579,18,FALSE)</f>
        <v>67.351899910290911</v>
      </c>
      <c r="F981">
        <f>+VLOOKUP(A981,[1]Base!$A$11:$O$1264,15,FALSE)</f>
        <v>53.881519928232727</v>
      </c>
      <c r="G981">
        <f t="shared" si="15"/>
        <v>1</v>
      </c>
    </row>
    <row r="982" spans="1:7" x14ac:dyDescent="0.25">
      <c r="A982" s="36" t="s">
        <v>917</v>
      </c>
      <c r="B982" s="37" t="s">
        <v>918</v>
      </c>
      <c r="C982" s="63">
        <v>1</v>
      </c>
      <c r="D982" s="58">
        <f>+VLOOKUP(A982,[1]Base!$A$11:$O$1318,15,FALSE)</f>
        <v>1.4704440599769319</v>
      </c>
      <c r="E982" s="58">
        <f>+VLOOKUP(A982,[1]Base!$A$11:$R$1579,18,FALSE)</f>
        <v>1.8380550749711648</v>
      </c>
      <c r="F982">
        <f>+VLOOKUP(A982,[1]Base!$A$11:$O$1264,15,FALSE)</f>
        <v>1.4704440599769319</v>
      </c>
      <c r="G982">
        <f t="shared" si="15"/>
        <v>1</v>
      </c>
    </row>
    <row r="983" spans="1:7" x14ac:dyDescent="0.25">
      <c r="A983" s="36" t="s">
        <v>953</v>
      </c>
      <c r="B983" s="37" t="s">
        <v>954</v>
      </c>
      <c r="C983" s="63">
        <v>1</v>
      </c>
      <c r="D983" s="58">
        <f>+VLOOKUP(A983,[1]Base!$A$11:$O$1318,15,FALSE)</f>
        <v>0.18403555193703777</v>
      </c>
      <c r="E983" s="58">
        <f>+VLOOKUP(A983,[1]Base!$A$11:$R$1579,18,FALSE)</f>
        <v>0.23004443992129719</v>
      </c>
      <c r="F983">
        <f>+VLOOKUP(A983,[1]Base!$A$11:$O$1264,15,FALSE)</f>
        <v>0.18403555193703777</v>
      </c>
      <c r="G983">
        <f t="shared" si="15"/>
        <v>1</v>
      </c>
    </row>
    <row r="984" spans="1:7" x14ac:dyDescent="0.25">
      <c r="A984" s="36" t="s">
        <v>991</v>
      </c>
      <c r="B984" s="37" t="s">
        <v>992</v>
      </c>
      <c r="C984" s="63">
        <v>1</v>
      </c>
      <c r="D984" s="58">
        <f>+VLOOKUP(A984,[1]Base!$A$11:$O$1318,15,FALSE)</f>
        <v>0.52143406382160706</v>
      </c>
      <c r="E984" s="58">
        <f>+VLOOKUP(A984,[1]Base!$A$11:$R$1579,18,FALSE)</f>
        <v>0.65179257977700877</v>
      </c>
      <c r="F984">
        <f>+VLOOKUP(A984,[1]Base!$A$11:$O$1264,15,FALSE)</f>
        <v>0.52143406382160706</v>
      </c>
      <c r="G984">
        <f t="shared" si="15"/>
        <v>1</v>
      </c>
    </row>
    <row r="985" spans="1:7" x14ac:dyDescent="0.25">
      <c r="A985" s="36" t="s">
        <v>1057</v>
      </c>
      <c r="B985" s="37" t="s">
        <v>1058</v>
      </c>
      <c r="C985" s="63">
        <v>1</v>
      </c>
      <c r="D985" s="58">
        <f>+VLOOKUP(A985,[1]Base!$A$11:$O$1318,15,FALSE)</f>
        <v>8.2331694287622187E-2</v>
      </c>
      <c r="E985" s="58">
        <f>+VLOOKUP(A985,[1]Base!$A$11:$R$1579,18,FALSE)</f>
        <v>0.10291461785952773</v>
      </c>
      <c r="F985">
        <f>+VLOOKUP(A985,[1]Base!$A$11:$O$1264,15,FALSE)</f>
        <v>8.2331694287622187E-2</v>
      </c>
      <c r="G985">
        <f t="shared" si="15"/>
        <v>1</v>
      </c>
    </row>
    <row r="986" spans="1:7" x14ac:dyDescent="0.25">
      <c r="A986" s="36" t="s">
        <v>1115</v>
      </c>
      <c r="B986" s="37" t="s">
        <v>1116</v>
      </c>
      <c r="C986" s="63">
        <v>1</v>
      </c>
      <c r="D986" s="58">
        <f>+VLOOKUP(A986,[1]Base!$A$11:$O$1318,15,FALSE)</f>
        <v>1.615576541073946</v>
      </c>
      <c r="E986" s="58">
        <f>+VLOOKUP(A986,[1]Base!$A$11:$R$1579,18,FALSE)</f>
        <v>2.0194706763424324</v>
      </c>
      <c r="F986">
        <f>+VLOOKUP(A986,[1]Base!$A$11:$O$1264,15,FALSE)</f>
        <v>1.615576541073946</v>
      </c>
      <c r="G986">
        <f t="shared" si="15"/>
        <v>1</v>
      </c>
    </row>
    <row r="987" spans="1:7" x14ac:dyDescent="0.25">
      <c r="A987" s="36" t="s">
        <v>1147</v>
      </c>
      <c r="B987" s="37" t="s">
        <v>1148</v>
      </c>
      <c r="C987" s="63">
        <v>10</v>
      </c>
      <c r="D987" s="58">
        <f>+VLOOKUP(A987,[1]Base!$A$11:$O$1318,15,FALSE)</f>
        <v>0.28296488530052549</v>
      </c>
      <c r="E987" s="58">
        <f>+VLOOKUP(A987,[1]Base!$A$11:$R$1579,18,FALSE)</f>
        <v>0.35370610662565682</v>
      </c>
      <c r="F987">
        <f>+VLOOKUP(A987,[1]Base!$A$11:$O$1264,15,FALSE)</f>
        <v>0.28296488530052549</v>
      </c>
      <c r="G987">
        <f t="shared" si="15"/>
        <v>1</v>
      </c>
    </row>
    <row r="988" spans="1:7" x14ac:dyDescent="0.25">
      <c r="A988" s="36" t="s">
        <v>1165</v>
      </c>
      <c r="B988" s="37" t="s">
        <v>1166</v>
      </c>
      <c r="C988" s="63">
        <v>100</v>
      </c>
      <c r="D988" s="58">
        <f>+VLOOKUP(A988,[1]Base!$A$11:$O$1318,15,FALSE)</f>
        <v>0.64099582739670258</v>
      </c>
      <c r="E988" s="58">
        <f>+VLOOKUP(A988,[1]Base!$A$11:$R$1579,18,FALSE)</f>
        <v>0.80124478424587819</v>
      </c>
      <c r="F988">
        <f>+VLOOKUP(A988,[1]Base!$A$11:$O$1264,15,FALSE)</f>
        <v>0.64099582739670258</v>
      </c>
      <c r="G988">
        <f t="shared" si="15"/>
        <v>1</v>
      </c>
    </row>
    <row r="989" spans="1:7" x14ac:dyDescent="0.25">
      <c r="A989" s="36" t="s">
        <v>1205</v>
      </c>
      <c r="B989" s="37" t="s">
        <v>1206</v>
      </c>
      <c r="C989" s="63">
        <v>1</v>
      </c>
      <c r="D989" s="58">
        <f>+VLOOKUP(A989,[1]Base!$A$11:$O$1318,15,FALSE)</f>
        <v>0.23516676278354476</v>
      </c>
      <c r="E989" s="58">
        <f>+VLOOKUP(A989,[1]Base!$A$11:$R$1579,18,FALSE)</f>
        <v>0.29395845347943095</v>
      </c>
      <c r="F989">
        <f>+VLOOKUP(A989,[1]Base!$A$11:$O$1264,15,FALSE)</f>
        <v>0.23516676278354476</v>
      </c>
      <c r="G989">
        <f t="shared" si="15"/>
        <v>1</v>
      </c>
    </row>
    <row r="990" spans="1:7" x14ac:dyDescent="0.25">
      <c r="A990" s="36" t="s">
        <v>1215</v>
      </c>
      <c r="B990" s="37" t="s">
        <v>1216</v>
      </c>
      <c r="C990" s="63">
        <v>1</v>
      </c>
      <c r="D990" s="58">
        <f>+VLOOKUP(A990,[1]Base!$A$11:$O$1318,15,FALSE)</f>
        <v>0.2007521145713187</v>
      </c>
      <c r="E990" s="58">
        <f>+VLOOKUP(A990,[1]Base!$A$11:$R$1579,18,FALSE)</f>
        <v>0.25094014321414837</v>
      </c>
      <c r="F990">
        <f>+VLOOKUP(A990,[1]Base!$A$11:$O$1264,15,FALSE)</f>
        <v>0.2007521145713187</v>
      </c>
      <c r="G990">
        <f t="shared" si="15"/>
        <v>1</v>
      </c>
    </row>
    <row r="991" spans="1:7" x14ac:dyDescent="0.25">
      <c r="A991" s="36" t="s">
        <v>1225</v>
      </c>
      <c r="B991" s="37" t="s">
        <v>1226</v>
      </c>
      <c r="C991" s="63">
        <v>1</v>
      </c>
      <c r="D991" s="58">
        <f>+VLOOKUP(A991,[1]Base!$A$11:$O$1318,15,FALSE)</f>
        <v>4.3452838651800585</v>
      </c>
      <c r="E991" s="58">
        <f>+VLOOKUP(A991,[1]Base!$A$11:$R$1579,18,FALSE)</f>
        <v>5.4316048314750729</v>
      </c>
      <c r="F991">
        <f>+VLOOKUP(A991,[1]Base!$A$11:$O$1264,15,FALSE)</f>
        <v>4.3452838651800585</v>
      </c>
      <c r="G991">
        <f t="shared" si="15"/>
        <v>1</v>
      </c>
    </row>
    <row r="992" spans="1:7" x14ac:dyDescent="0.25">
      <c r="A992" s="36" t="s">
        <v>1247</v>
      </c>
      <c r="B992" s="37" t="s">
        <v>1248</v>
      </c>
      <c r="C992" s="63">
        <v>1</v>
      </c>
      <c r="D992" s="58">
        <f>+VLOOKUP(A992,[1]Base!$A$11:$O$1318,15,FALSE)</f>
        <v>17.381135460720234</v>
      </c>
      <c r="E992" s="58">
        <f>+VLOOKUP(A992,[1]Base!$A$11:$R$1579,18,FALSE)</f>
        <v>21.726419325900292</v>
      </c>
      <c r="F992">
        <f>+VLOOKUP(A992,[1]Base!$A$11:$O$1264,15,FALSE)</f>
        <v>17.381135460720234</v>
      </c>
      <c r="G992">
        <f t="shared" si="15"/>
        <v>1</v>
      </c>
    </row>
    <row r="993" spans="1:7" x14ac:dyDescent="0.25">
      <c r="A993" s="36" t="s">
        <v>1255</v>
      </c>
      <c r="B993" s="37" t="s">
        <v>972</v>
      </c>
      <c r="C993" s="63">
        <v>100</v>
      </c>
      <c r="D993" s="58">
        <f>+VLOOKUP(A993,[1]Base!$A$11:$O$1318,15,FALSE)</f>
        <v>0.73614220774815109</v>
      </c>
      <c r="E993" s="58">
        <f>+VLOOKUP(A993,[1]Base!$A$11:$R$1579,18,FALSE)</f>
        <v>0.92017775968518878</v>
      </c>
      <c r="F993">
        <f>+VLOOKUP(A993,[1]Base!$A$11:$O$1264,15,FALSE)</f>
        <v>0.73614220774815109</v>
      </c>
      <c r="G993">
        <f t="shared" si="15"/>
        <v>1</v>
      </c>
    </row>
    <row r="994" spans="1:7" x14ac:dyDescent="0.25">
      <c r="A994" s="36" t="s">
        <v>1278</v>
      </c>
      <c r="B994" s="37" t="s">
        <v>1279</v>
      </c>
      <c r="C994" s="63">
        <v>1</v>
      </c>
      <c r="D994" s="58">
        <f>+VLOOKUP(A994,[1]Base!$A$11:$O$1318,15,FALSE)</f>
        <v>0.36807110387407554</v>
      </c>
      <c r="E994" s="58">
        <f>+VLOOKUP(A994,[1]Base!$A$11:$R$1579,18,FALSE)</f>
        <v>0.46008887984259439</v>
      </c>
      <c r="F994">
        <f>+VLOOKUP(A994,[1]Base!$A$11:$O$1264,15,FALSE)</f>
        <v>0.36807110387407554</v>
      </c>
      <c r="G994">
        <f t="shared" si="15"/>
        <v>1</v>
      </c>
    </row>
    <row r="995" spans="1:7" x14ac:dyDescent="0.25">
      <c r="A995" s="36" t="s">
        <v>1284</v>
      </c>
      <c r="B995" s="37" t="s">
        <v>1285</v>
      </c>
      <c r="C995" s="63">
        <v>1</v>
      </c>
      <c r="D995" s="58">
        <f>+VLOOKUP(A995,[1]Base!$A$11:$O$1318,15,FALSE)</f>
        <v>0.73614220774815109</v>
      </c>
      <c r="E995" s="58">
        <f>+VLOOKUP(A995,[1]Base!$A$11:$R$1579,18,FALSE)</f>
        <v>0.92017775968518878</v>
      </c>
      <c r="F995">
        <f>+VLOOKUP(A995,[1]Base!$A$11:$O$1264,15,FALSE)</f>
        <v>0.73614220774815109</v>
      </c>
      <c r="G995">
        <f t="shared" si="15"/>
        <v>1</v>
      </c>
    </row>
    <row r="996" spans="1:7" x14ac:dyDescent="0.25">
      <c r="A996" s="36" t="s">
        <v>1346</v>
      </c>
      <c r="B996" s="37" t="s">
        <v>1347</v>
      </c>
      <c r="C996" s="63">
        <v>1</v>
      </c>
      <c r="D996" s="58">
        <f>+VLOOKUP(A996,[1]Base!$A$11:$O$1318,15,FALSE)</f>
        <v>5.5210665581111339E-2</v>
      </c>
      <c r="E996" s="58">
        <f>+VLOOKUP(A996,[1]Base!$A$11:$R$1579,18,FALSE)</f>
        <v>6.9013331976389175E-2</v>
      </c>
      <c r="F996">
        <f>+VLOOKUP(A996,[1]Base!$A$11:$O$1264,15,FALSE)</f>
        <v>5.5210665581111339E-2</v>
      </c>
      <c r="G996">
        <f t="shared" si="15"/>
        <v>1</v>
      </c>
    </row>
    <row r="997" spans="1:7" x14ac:dyDescent="0.25">
      <c r="A997" s="36" t="s">
        <v>1355</v>
      </c>
      <c r="B997" s="37" t="s">
        <v>1356</v>
      </c>
      <c r="C997" s="63">
        <v>1</v>
      </c>
      <c r="D997" s="58">
        <f>+VLOOKUP(A997,[1]Base!$A$11:$O$1318,15,FALSE)</f>
        <v>0.10121955356537077</v>
      </c>
      <c r="E997" s="58">
        <f>+VLOOKUP(A997,[1]Base!$A$11:$R$1579,18,FALSE)</f>
        <v>0.12652444195671345</v>
      </c>
      <c r="F997">
        <f>+VLOOKUP(A997,[1]Base!$A$11:$O$1264,15,FALSE)</f>
        <v>0.10121955356537077</v>
      </c>
      <c r="G997">
        <f t="shared" si="15"/>
        <v>1</v>
      </c>
    </row>
    <row r="998" spans="1:7" x14ac:dyDescent="0.25">
      <c r="A998" s="36" t="s">
        <v>1368</v>
      </c>
      <c r="B998" s="37" t="s">
        <v>1369</v>
      </c>
      <c r="C998" s="63">
        <v>1</v>
      </c>
      <c r="D998" s="58">
        <f>+VLOOKUP(A998,[1]Base!$A$11:$O$1318,15,FALSE)</f>
        <v>1.2330381979781531</v>
      </c>
      <c r="E998" s="58">
        <f>+VLOOKUP(A998,[1]Base!$A$11:$R$1579,18,FALSE)</f>
        <v>1.5412977474726912</v>
      </c>
      <c r="F998">
        <f>+VLOOKUP(A998,[1]Base!$A$11:$O$1264,15,FALSE)</f>
        <v>1.2330381979781531</v>
      </c>
      <c r="G998">
        <f t="shared" si="15"/>
        <v>1</v>
      </c>
    </row>
    <row r="999" spans="1:7" x14ac:dyDescent="0.25">
      <c r="A999" s="36" t="s">
        <v>1370</v>
      </c>
      <c r="B999" s="37" t="s">
        <v>1371</v>
      </c>
      <c r="C999" s="63">
        <v>1</v>
      </c>
      <c r="D999" s="58">
        <f>+VLOOKUP(A999,[1]Base!$A$11:$O$1318,15,FALSE)</f>
        <v>1.2330381979781531</v>
      </c>
      <c r="E999" s="58">
        <f>+VLOOKUP(A999,[1]Base!$A$11:$R$1579,18,FALSE)</f>
        <v>1.5412977474726912</v>
      </c>
      <c r="F999">
        <f>+VLOOKUP(A999,[1]Base!$A$11:$O$1264,15,FALSE)</f>
        <v>1.2330381979781531</v>
      </c>
      <c r="G999">
        <f t="shared" si="15"/>
        <v>1</v>
      </c>
    </row>
    <row r="1000" spans="1:7" x14ac:dyDescent="0.25">
      <c r="A1000" s="36" t="s">
        <v>1378</v>
      </c>
      <c r="B1000" s="37" t="s">
        <v>1379</v>
      </c>
      <c r="C1000" s="63">
        <v>1</v>
      </c>
      <c r="D1000" s="58">
        <f>+VLOOKUP(A1000,[1]Base!$A$11:$O$1318,15,FALSE)</f>
        <v>0.48695807042540201</v>
      </c>
      <c r="E1000" s="58">
        <f>+VLOOKUP(A1000,[1]Base!$A$11:$R$1579,18,FALSE)</f>
        <v>0.60869758803175245</v>
      </c>
      <c r="F1000">
        <f>+VLOOKUP(A1000,[1]Base!$A$11:$O$1264,15,FALSE)</f>
        <v>0.48695807042540201</v>
      </c>
      <c r="G1000">
        <f t="shared" si="15"/>
        <v>1</v>
      </c>
    </row>
    <row r="1001" spans="1:7" x14ac:dyDescent="0.25">
      <c r="A1001" s="36" t="s">
        <v>1380</v>
      </c>
      <c r="B1001" s="37" t="s">
        <v>1381</v>
      </c>
      <c r="C1001" s="63">
        <v>1</v>
      </c>
      <c r="D1001" s="58">
        <f>+VLOOKUP(A1001,[1]Base!$A$11:$O$1318,15,FALSE)</f>
        <v>0.48695807042540201</v>
      </c>
      <c r="E1001" s="58">
        <f>+VLOOKUP(A1001,[1]Base!$A$11:$R$1579,18,FALSE)</f>
        <v>0.60869758803175245</v>
      </c>
      <c r="F1001">
        <f>+VLOOKUP(A1001,[1]Base!$A$11:$O$1264,15,FALSE)</f>
        <v>0.48695807042540201</v>
      </c>
      <c r="G1001">
        <f t="shared" si="15"/>
        <v>1</v>
      </c>
    </row>
    <row r="1002" spans="1:7" x14ac:dyDescent="0.25">
      <c r="A1002" s="36" t="s">
        <v>1382</v>
      </c>
      <c r="B1002" s="37" t="s">
        <v>1383</v>
      </c>
      <c r="C1002" s="63">
        <v>1</v>
      </c>
      <c r="D1002" s="58">
        <f>+VLOOKUP(A1002,[1]Base!$A$11:$O$1318,15,FALSE)</f>
        <v>5.5210665581111339E-2</v>
      </c>
      <c r="E1002" s="58">
        <f>+VLOOKUP(A1002,[1]Base!$A$11:$R$1579,18,FALSE)</f>
        <v>6.9013331976389175E-2</v>
      </c>
      <c r="F1002">
        <f>+VLOOKUP(A1002,[1]Base!$A$11:$O$1264,15,FALSE)</f>
        <v>5.5210665581111339E-2</v>
      </c>
      <c r="G1002">
        <f t="shared" si="15"/>
        <v>1</v>
      </c>
    </row>
    <row r="1003" spans="1:7" x14ac:dyDescent="0.25">
      <c r="A1003" s="36" t="s">
        <v>1396</v>
      </c>
      <c r="B1003" s="37" t="s">
        <v>1397</v>
      </c>
      <c r="C1003" s="63">
        <v>1</v>
      </c>
      <c r="D1003" s="58">
        <f>+VLOOKUP(A1003,[1]Base!$A$11:$O$1318,15,FALSE)</f>
        <v>0.99379198046000405</v>
      </c>
      <c r="E1003" s="58">
        <f>+VLOOKUP(A1003,[1]Base!$A$11:$R$1579,18,FALSE)</f>
        <v>1.2422399755750051</v>
      </c>
      <c r="F1003">
        <f>+VLOOKUP(A1003,[1]Base!$A$11:$O$1264,15,FALSE)</f>
        <v>0.99379198046000405</v>
      </c>
      <c r="G1003">
        <f t="shared" si="15"/>
        <v>1</v>
      </c>
    </row>
    <row r="1004" spans="1:7" x14ac:dyDescent="0.25">
      <c r="A1004" s="36" t="s">
        <v>1414</v>
      </c>
      <c r="B1004" s="37" t="s">
        <v>1415</v>
      </c>
      <c r="C1004" s="63">
        <v>1</v>
      </c>
      <c r="D1004" s="58">
        <f>+VLOOKUP(A1004,[1]Base!$A$11:$O$1318,15,FALSE)</f>
        <v>0.25672959495216768</v>
      </c>
      <c r="E1004" s="58">
        <f>+VLOOKUP(A1004,[1]Base!$A$11:$R$1579,18,FALSE)</f>
        <v>0.32091199369020956</v>
      </c>
      <c r="F1004">
        <f>+VLOOKUP(A1004,[1]Base!$A$11:$O$1264,15,FALSE)</f>
        <v>0.25672959495216768</v>
      </c>
      <c r="G1004">
        <f t="shared" si="15"/>
        <v>1</v>
      </c>
    </row>
    <row r="1005" spans="1:7" x14ac:dyDescent="0.25">
      <c r="A1005" s="36" t="s">
        <v>1436</v>
      </c>
      <c r="B1005" s="37" t="s">
        <v>1437</v>
      </c>
      <c r="C1005" s="63">
        <v>1</v>
      </c>
      <c r="D1005" s="58">
        <f>+VLOOKUP(A1005,[1]Base!$A$11:$O$1318,15,FALSE)</f>
        <v>0.10582044236379672</v>
      </c>
      <c r="E1005" s="58">
        <f>+VLOOKUP(A1005,[1]Base!$A$11:$R$1579,18,FALSE)</f>
        <v>0.13227555295474588</v>
      </c>
      <c r="F1005">
        <f>+VLOOKUP(A1005,[1]Base!$A$11:$O$1264,15,FALSE)</f>
        <v>0.10582044236379672</v>
      </c>
      <c r="G1005">
        <f t="shared" si="15"/>
        <v>1</v>
      </c>
    </row>
    <row r="1006" spans="1:7" x14ac:dyDescent="0.25">
      <c r="A1006" s="36" t="s">
        <v>1438</v>
      </c>
      <c r="B1006" s="37" t="s">
        <v>1439</v>
      </c>
      <c r="C1006" s="63">
        <v>1</v>
      </c>
      <c r="D1006" s="58">
        <f>+VLOOKUP(A1006,[1]Base!$A$11:$O$1318,15,FALSE)</f>
        <v>0.10121955356537077</v>
      </c>
      <c r="E1006" s="58">
        <f>+VLOOKUP(A1006,[1]Base!$A$11:$R$1579,18,FALSE)</f>
        <v>0.12652444195671345</v>
      </c>
      <c r="F1006">
        <f>+VLOOKUP(A1006,[1]Base!$A$11:$O$1264,15,FALSE)</f>
        <v>0.10121955356537077</v>
      </c>
      <c r="G1006">
        <f t="shared" si="15"/>
        <v>1</v>
      </c>
    </row>
    <row r="1007" spans="1:7" x14ac:dyDescent="0.25">
      <c r="A1007" s="36" t="s">
        <v>1440</v>
      </c>
      <c r="B1007" s="37" t="s">
        <v>1441</v>
      </c>
      <c r="C1007" s="63">
        <v>1</v>
      </c>
      <c r="D1007" s="58">
        <f>+VLOOKUP(A1007,[1]Base!$A$11:$O$1318,15,FALSE)</f>
        <v>0.18403555193703777</v>
      </c>
      <c r="E1007" s="58">
        <f>+VLOOKUP(A1007,[1]Base!$A$11:$R$1579,18,FALSE)</f>
        <v>0.23004443992129719</v>
      </c>
      <c r="F1007">
        <f>+VLOOKUP(A1007,[1]Base!$A$11:$O$1264,15,FALSE)</f>
        <v>0.18403555193703777</v>
      </c>
      <c r="G1007">
        <f t="shared" si="15"/>
        <v>1</v>
      </c>
    </row>
    <row r="1008" spans="1:7" x14ac:dyDescent="0.25">
      <c r="A1008" s="36" t="s">
        <v>1448</v>
      </c>
      <c r="B1008" s="37" t="s">
        <v>1449</v>
      </c>
      <c r="C1008" s="63">
        <v>1</v>
      </c>
      <c r="D1008" s="58">
        <f>+VLOOKUP(A1008,[1]Base!$A$11:$O$1318,15,FALSE)</f>
        <v>0.24844799511500101</v>
      </c>
      <c r="E1008" s="58">
        <f>+VLOOKUP(A1008,[1]Base!$A$11:$R$1579,18,FALSE)</f>
        <v>0.31055999389375127</v>
      </c>
      <c r="F1008">
        <f>+VLOOKUP(A1008,[1]Base!$A$11:$O$1264,15,FALSE)</f>
        <v>0.24844799511500101</v>
      </c>
      <c r="G1008">
        <f t="shared" si="15"/>
        <v>1</v>
      </c>
    </row>
    <row r="1009" spans="1:7" x14ac:dyDescent="0.25">
      <c r="A1009" s="36" t="s">
        <v>1454</v>
      </c>
      <c r="B1009" s="37" t="s">
        <v>1455</v>
      </c>
      <c r="C1009" s="63">
        <v>1</v>
      </c>
      <c r="D1009" s="58">
        <f>+VLOOKUP(A1009,[1]Base!$A$11:$O$1318,15,FALSE)</f>
        <v>5.5210665581111339E-2</v>
      </c>
      <c r="E1009" s="58">
        <f>+VLOOKUP(A1009,[1]Base!$A$11:$R$1579,18,FALSE)</f>
        <v>6.9013331976389175E-2</v>
      </c>
      <c r="F1009">
        <f>+VLOOKUP(A1009,[1]Base!$A$11:$O$1264,15,FALSE)</f>
        <v>5.5210665581111339E-2</v>
      </c>
      <c r="G1009">
        <f t="shared" si="15"/>
        <v>1</v>
      </c>
    </row>
    <row r="1010" spans="1:7" x14ac:dyDescent="0.25">
      <c r="A1010" s="36" t="s">
        <v>1464</v>
      </c>
      <c r="B1010" s="37" t="s">
        <v>1465</v>
      </c>
      <c r="C1010" s="63">
        <v>1</v>
      </c>
      <c r="D1010" s="58">
        <f>+VLOOKUP(A1010,[1]Base!$A$11:$O$1318,15,FALSE)</f>
        <v>0.18403555193703777</v>
      </c>
      <c r="E1010" s="58">
        <f>+VLOOKUP(A1010,[1]Base!$A$11:$R$1579,18,FALSE)</f>
        <v>0.23004443992129719</v>
      </c>
      <c r="F1010">
        <f>+VLOOKUP(A1010,[1]Base!$A$11:$O$1264,15,FALSE)</f>
        <v>0.18403555193703777</v>
      </c>
      <c r="G1010">
        <f t="shared" si="15"/>
        <v>1</v>
      </c>
    </row>
    <row r="1011" spans="1:7" x14ac:dyDescent="0.25">
      <c r="A1011" s="36" t="s">
        <v>1468</v>
      </c>
      <c r="B1011" s="37" t="s">
        <v>1469</v>
      </c>
      <c r="C1011" s="63">
        <v>1</v>
      </c>
      <c r="D1011" s="58">
        <f>+VLOOKUP(A1011,[1]Base!$A$11:$O$1318,15,FALSE)</f>
        <v>0.20243910713074154</v>
      </c>
      <c r="E1011" s="58">
        <f>+VLOOKUP(A1011,[1]Base!$A$11:$R$1579,18,FALSE)</f>
        <v>0.25304888391342689</v>
      </c>
      <c r="F1011">
        <f>+VLOOKUP(A1011,[1]Base!$A$11:$O$1264,15,FALSE)</f>
        <v>0.20243910713074154</v>
      </c>
      <c r="G1011">
        <f t="shared" si="15"/>
        <v>1</v>
      </c>
    </row>
    <row r="1012" spans="1:7" x14ac:dyDescent="0.25">
      <c r="A1012" s="36" t="s">
        <v>1470</v>
      </c>
      <c r="B1012" s="37" t="s">
        <v>1471</v>
      </c>
      <c r="C1012" s="63">
        <v>1</v>
      </c>
      <c r="D1012" s="58">
        <f>+VLOOKUP(A1012,[1]Base!$A$11:$O$1318,15,FALSE)</f>
        <v>5.5210665581111339E-2</v>
      </c>
      <c r="E1012" s="58">
        <f>+VLOOKUP(A1012,[1]Base!$A$11:$R$1579,18,FALSE)</f>
        <v>6.9013331976389175E-2</v>
      </c>
      <c r="F1012">
        <f>+VLOOKUP(A1012,[1]Base!$A$11:$O$1264,15,FALSE)</f>
        <v>5.5210665581111339E-2</v>
      </c>
      <c r="G1012">
        <f t="shared" si="15"/>
        <v>1</v>
      </c>
    </row>
    <row r="1013" spans="1:7" x14ac:dyDescent="0.25">
      <c r="A1013" s="36" t="s">
        <v>1494</v>
      </c>
      <c r="B1013" s="37" t="s">
        <v>1495</v>
      </c>
      <c r="C1013" s="63">
        <v>1</v>
      </c>
      <c r="D1013" s="58">
        <f>+VLOOKUP(A1013,[1]Base!$A$11:$O$1318,15,FALSE)</f>
        <v>9.2017775968518886E-2</v>
      </c>
      <c r="E1013" s="58">
        <f>+VLOOKUP(A1013,[1]Base!$A$11:$R$1579,18,FALSE)</f>
        <v>0.1150222199606486</v>
      </c>
      <c r="F1013">
        <f>+VLOOKUP(A1013,[1]Base!$A$11:$O$1264,15,FALSE)</f>
        <v>9.2017775968518886E-2</v>
      </c>
      <c r="G1013">
        <f t="shared" si="15"/>
        <v>1</v>
      </c>
    </row>
    <row r="1014" spans="1:7" x14ac:dyDescent="0.25">
      <c r="A1014" s="36" t="s">
        <v>1508</v>
      </c>
      <c r="B1014" s="37" t="s">
        <v>1509</v>
      </c>
      <c r="C1014" s="63">
        <v>1</v>
      </c>
      <c r="D1014" s="58">
        <f>+VLOOKUP(A1014,[1]Base!$A$11:$O$1318,15,FALSE)</f>
        <v>9.2017775968518886E-2</v>
      </c>
      <c r="E1014" s="58">
        <f>+VLOOKUP(A1014,[1]Base!$A$11:$R$1579,18,FALSE)</f>
        <v>0.1150222199606486</v>
      </c>
      <c r="F1014">
        <f>+VLOOKUP(A1014,[1]Base!$A$11:$O$1264,15,FALSE)</f>
        <v>9.2017775968518886E-2</v>
      </c>
      <c r="G1014">
        <f t="shared" si="15"/>
        <v>1</v>
      </c>
    </row>
    <row r="1015" spans="1:7" x14ac:dyDescent="0.25">
      <c r="A1015" s="36" t="s">
        <v>1520</v>
      </c>
      <c r="B1015" s="37" t="s">
        <v>1521</v>
      </c>
      <c r="C1015" s="63">
        <v>1</v>
      </c>
      <c r="D1015" s="58">
        <f>+VLOOKUP(A1015,[1]Base!$A$11:$O$1318,15,FALSE)</f>
        <v>0.10582044236379672</v>
      </c>
      <c r="E1015" s="58">
        <f>+VLOOKUP(A1015,[1]Base!$A$11:$R$1579,18,FALSE)</f>
        <v>0.13227555295474588</v>
      </c>
      <c r="F1015">
        <f>+VLOOKUP(A1015,[1]Base!$A$11:$O$1264,15,FALSE)</f>
        <v>0.10582044236379672</v>
      </c>
      <c r="G1015">
        <f t="shared" si="15"/>
        <v>1</v>
      </c>
    </row>
    <row r="1016" spans="1:7" x14ac:dyDescent="0.25">
      <c r="A1016" s="36" t="s">
        <v>1528</v>
      </c>
      <c r="B1016" s="37" t="s">
        <v>1529</v>
      </c>
      <c r="C1016" s="63">
        <v>1</v>
      </c>
      <c r="D1016" s="58">
        <f>+VLOOKUP(A1016,[1]Base!$A$11:$O$1318,15,FALSE)</f>
        <v>4.6008887984259443E-2</v>
      </c>
      <c r="E1016" s="58">
        <f>+VLOOKUP(A1016,[1]Base!$A$11:$R$1579,18,FALSE)</f>
        <v>5.7511109980324299E-2</v>
      </c>
      <c r="F1016">
        <f>+VLOOKUP(A1016,[1]Base!$A$11:$O$1264,15,FALSE)</f>
        <v>4.6008887984259443E-2</v>
      </c>
      <c r="G1016">
        <f t="shared" si="15"/>
        <v>1</v>
      </c>
    </row>
    <row r="1017" spans="1:7" x14ac:dyDescent="0.25">
      <c r="A1017" s="40" t="s">
        <v>23</v>
      </c>
      <c r="B1017" s="35" t="s">
        <v>50</v>
      </c>
      <c r="C1017" s="63">
        <v>1</v>
      </c>
      <c r="D1017" s="58">
        <f>+VLOOKUP(A1017,[1]Base!$A$11:$O$1318,15,FALSE)</f>
        <v>0.73614220774815109</v>
      </c>
      <c r="E1017" s="58">
        <f>+VLOOKUP(A1017,[1]Base!$A$11:$R$1579,18,FALSE)</f>
        <v>0.92017775968518878</v>
      </c>
      <c r="F1017">
        <f>+VLOOKUP(A1017,[1]Base!$A$11:$O$1264,15,FALSE)</f>
        <v>0.73614220774815109</v>
      </c>
      <c r="G1017">
        <f t="shared" si="15"/>
        <v>1</v>
      </c>
    </row>
    <row r="1018" spans="1:7" x14ac:dyDescent="0.25">
      <c r="A1018" s="40" t="s">
        <v>1534</v>
      </c>
      <c r="B1018" s="35" t="s">
        <v>1535</v>
      </c>
      <c r="C1018" s="63">
        <v>1</v>
      </c>
      <c r="D1018" s="58">
        <f>+VLOOKUP(A1018,[1]Base!$A$11:$O$1318,15,FALSE)</f>
        <v>4.6008887984259443</v>
      </c>
      <c r="E1018" s="58">
        <f>+VLOOKUP(A1018,[1]Base!$A$11:$R$1579,18,FALSE)</f>
        <v>5.7511109980324298</v>
      </c>
      <c r="F1018">
        <f>+VLOOKUP(A1018,[1]Base!$A$11:$O$1264,15,FALSE)</f>
        <v>4.6008887984259443</v>
      </c>
      <c r="G1018">
        <f t="shared" si="15"/>
        <v>1</v>
      </c>
    </row>
    <row r="1019" spans="1:7" x14ac:dyDescent="0.25">
      <c r="A1019" s="40" t="s">
        <v>1536</v>
      </c>
      <c r="B1019" s="35" t="s">
        <v>1537</v>
      </c>
      <c r="C1019" s="63">
        <v>1</v>
      </c>
      <c r="D1019" s="58">
        <f>+VLOOKUP(A1019,[1]Base!$A$11:$O$1318,15,FALSE)</f>
        <v>0.36807110387407554</v>
      </c>
      <c r="E1019" s="58">
        <f>+VLOOKUP(A1019,[1]Base!$A$11:$R$1579,18,FALSE)</f>
        <v>0.46008887984259439</v>
      </c>
      <c r="F1019">
        <f>+VLOOKUP(A1019,[1]Base!$A$11:$O$1264,15,FALSE)</f>
        <v>0.36807110387407554</v>
      </c>
      <c r="G1019">
        <f t="shared" si="15"/>
        <v>1</v>
      </c>
    </row>
    <row r="1020" spans="1:7" x14ac:dyDescent="0.25">
      <c r="A1020" s="40" t="s">
        <v>1540</v>
      </c>
      <c r="B1020" s="35" t="s">
        <v>1541</v>
      </c>
      <c r="C1020" s="63">
        <v>1</v>
      </c>
      <c r="D1020" s="58">
        <f>+VLOOKUP(A1020,[1]Base!$A$11:$O$1318,15,FALSE)</f>
        <v>1.4722844154963022</v>
      </c>
      <c r="E1020" s="58">
        <f>+VLOOKUP(A1020,[1]Base!$A$11:$R$1579,18,FALSE)</f>
        <v>1.8403555193703776</v>
      </c>
      <c r="F1020">
        <f>+VLOOKUP(A1020,[1]Base!$A$11:$O$1264,15,FALSE)</f>
        <v>1.4722844154963022</v>
      </c>
      <c r="G1020">
        <f t="shared" si="15"/>
        <v>1</v>
      </c>
    </row>
    <row r="1021" spans="1:7" x14ac:dyDescent="0.25">
      <c r="A1021" s="40" t="s">
        <v>1542</v>
      </c>
      <c r="B1021" s="35" t="s">
        <v>1543</v>
      </c>
      <c r="C1021" s="63">
        <v>1</v>
      </c>
      <c r="D1021" s="58">
        <f>+VLOOKUP(A1021,[1]Base!$A$11:$O$1318,15,FALSE)</f>
        <v>28.52551055024086</v>
      </c>
      <c r="E1021" s="58">
        <f>+VLOOKUP(A1021,[1]Base!$A$11:$R$1579,18,FALSE)</f>
        <v>35.656888187801073</v>
      </c>
      <c r="F1021">
        <f>+VLOOKUP(A1021,[1]Base!$A$11:$O$1264,15,FALSE)</f>
        <v>28.52551055024086</v>
      </c>
      <c r="G1021">
        <f t="shared" si="15"/>
        <v>1</v>
      </c>
    </row>
    <row r="1022" spans="1:7" x14ac:dyDescent="0.25">
      <c r="A1022" s="40" t="s">
        <v>1548</v>
      </c>
      <c r="B1022" s="35" t="s">
        <v>1549</v>
      </c>
      <c r="C1022" s="63">
        <v>1</v>
      </c>
      <c r="D1022" s="58">
        <f>+VLOOKUP(A1022,[1]Base!$A$11:$O$1318,15,FALSE)</f>
        <v>1.4722844154963022</v>
      </c>
      <c r="E1022" s="58">
        <f>+VLOOKUP(A1022,[1]Base!$A$11:$R$1579,18,FALSE)</f>
        <v>1.8403555193703776</v>
      </c>
      <c r="F1022">
        <f>+VLOOKUP(A1022,[1]Base!$A$11:$O$1264,15,FALSE)</f>
        <v>1.4722844154963022</v>
      </c>
      <c r="G1022">
        <f t="shared" si="15"/>
        <v>1</v>
      </c>
    </row>
    <row r="1023" spans="1:7" x14ac:dyDescent="0.25">
      <c r="A1023" s="40" t="s">
        <v>1550</v>
      </c>
      <c r="B1023" s="35" t="s">
        <v>1551</v>
      </c>
      <c r="C1023" s="63">
        <v>1</v>
      </c>
      <c r="D1023" s="58">
        <f>+VLOOKUP(A1023,[1]Base!$A$11:$O$1318,15,FALSE)</f>
        <v>36.807110387407555</v>
      </c>
      <c r="E1023" s="58">
        <f>+VLOOKUP(A1023,[1]Base!$A$11:$R$1579,18,FALSE)</f>
        <v>46.008887984259438</v>
      </c>
      <c r="F1023">
        <f>+VLOOKUP(A1023,[1]Base!$A$11:$O$1264,15,FALSE)</f>
        <v>36.807110387407555</v>
      </c>
      <c r="G1023">
        <f t="shared" si="15"/>
        <v>1</v>
      </c>
    </row>
    <row r="1024" spans="1:7" x14ac:dyDescent="0.25">
      <c r="A1024" s="40" t="s">
        <v>1552</v>
      </c>
      <c r="B1024" s="35" t="s">
        <v>1553</v>
      </c>
      <c r="C1024" s="63">
        <v>1</v>
      </c>
      <c r="D1024" s="58">
        <f>+VLOOKUP(A1024,[1]Base!$A$11:$O$1318,15,FALSE)</f>
        <v>36.807110387407555</v>
      </c>
      <c r="E1024" s="58">
        <f>+VLOOKUP(A1024,[1]Base!$A$11:$R$1579,18,FALSE)</f>
        <v>46.008887984259438</v>
      </c>
      <c r="F1024">
        <f>+VLOOKUP(A1024,[1]Base!$A$11:$O$1264,15,FALSE)</f>
        <v>36.807110387407555</v>
      </c>
      <c r="G1024">
        <f t="shared" si="15"/>
        <v>1</v>
      </c>
    </row>
    <row r="1025" spans="1:7" x14ac:dyDescent="0.25">
      <c r="A1025" s="40" t="s">
        <v>1558</v>
      </c>
      <c r="B1025" s="35" t="s">
        <v>1559</v>
      </c>
      <c r="C1025" s="63">
        <v>6</v>
      </c>
      <c r="D1025" s="58">
        <f>+VLOOKUP(A1025,[1]Base!$A$11:$O$1318,15,FALSE)</f>
        <v>4.3452838651800585</v>
      </c>
      <c r="E1025" s="58">
        <f>+VLOOKUP(A1025,[1]Base!$A$11:$R$1579,18,FALSE)</f>
        <v>5.4316048314750729</v>
      </c>
      <c r="F1025">
        <f>+VLOOKUP(A1025,[1]Base!$A$11:$O$1264,15,FALSE)</f>
        <v>4.3452838651800585</v>
      </c>
      <c r="G1025">
        <f t="shared" si="15"/>
        <v>1</v>
      </c>
    </row>
    <row r="1026" spans="1:7" x14ac:dyDescent="0.25">
      <c r="A1026" s="36" t="s">
        <v>754</v>
      </c>
      <c r="B1026" s="37" t="s">
        <v>755</v>
      </c>
      <c r="C1026" s="63">
        <v>1</v>
      </c>
      <c r="D1026" s="58">
        <f>+VLOOKUP(A1026,[1]Base!$A$11:$O$1318,15,FALSE)</f>
        <v>32.298239364950128</v>
      </c>
      <c r="E1026" s="58">
        <f>+VLOOKUP(A1026,[1]Base!$A$11:$R$1579,18,FALSE)</f>
        <v>40.372799206187658</v>
      </c>
      <c r="F1026">
        <f>+VLOOKUP(A1026,[1]Base!$A$11:$O$1264,15,FALSE)</f>
        <v>32.298239364950128</v>
      </c>
      <c r="G1026">
        <f t="shared" si="15"/>
        <v>1</v>
      </c>
    </row>
    <row r="1027" spans="1:7" x14ac:dyDescent="0.25">
      <c r="A1027" s="36" t="s">
        <v>812</v>
      </c>
      <c r="B1027" s="37" t="s">
        <v>813</v>
      </c>
      <c r="C1027" s="63">
        <v>1</v>
      </c>
      <c r="D1027" s="58">
        <f>+VLOOKUP(A1027,[1]Base!$A$11:$O$1318,15,FALSE)</f>
        <v>0.5521066558111134</v>
      </c>
      <c r="E1027" s="58">
        <f>+VLOOKUP(A1027,[1]Base!$A$11:$R$1579,18,FALSE)</f>
        <v>0.69013331976389169</v>
      </c>
      <c r="F1027">
        <f>+VLOOKUP(A1027,[1]Base!$A$11:$O$1264,15,FALSE)</f>
        <v>0.5521066558111134</v>
      </c>
      <c r="G1027">
        <f t="shared" si="15"/>
        <v>1</v>
      </c>
    </row>
    <row r="1028" spans="1:7" x14ac:dyDescent="0.25">
      <c r="A1028" s="36" t="s">
        <v>818</v>
      </c>
      <c r="B1028" s="37" t="s">
        <v>819</v>
      </c>
      <c r="C1028" s="63">
        <v>1</v>
      </c>
      <c r="D1028" s="58">
        <f>+VLOOKUP(A1028,[1]Base!$A$11:$O$1318,15,FALSE)</f>
        <v>0.5521066558111134</v>
      </c>
      <c r="E1028" s="58">
        <f>+VLOOKUP(A1028,[1]Base!$A$11:$R$1579,18,FALSE)</f>
        <v>0.69013331976389169</v>
      </c>
      <c r="F1028">
        <f>+VLOOKUP(A1028,[1]Base!$A$11:$O$1264,15,FALSE)</f>
        <v>0.5521066558111134</v>
      </c>
      <c r="G1028">
        <f t="shared" ref="G1028:G1091" si="16">+F1028/D1028</f>
        <v>1</v>
      </c>
    </row>
    <row r="1029" spans="1:7" x14ac:dyDescent="0.25">
      <c r="A1029" s="36" t="s">
        <v>863</v>
      </c>
      <c r="B1029" s="49" t="s">
        <v>864</v>
      </c>
      <c r="C1029" s="62">
        <v>1</v>
      </c>
      <c r="D1029" s="58">
        <f>+VLOOKUP(A1029,[1]Base!$A$11:$O$1318,15,FALSE)</f>
        <v>6.2572087658592845E-2</v>
      </c>
      <c r="E1029" s="58">
        <f>+VLOOKUP(A1029,[1]Base!$A$11:$R$1579,18,FALSE)</f>
        <v>7.8215109573241057E-2</v>
      </c>
      <c r="F1029">
        <f>+VLOOKUP(A1029,[1]Base!$A$11:$O$1264,15,FALSE)</f>
        <v>6.2572087658592845E-2</v>
      </c>
      <c r="G1029">
        <f t="shared" si="16"/>
        <v>1</v>
      </c>
    </row>
    <row r="1030" spans="1:7" x14ac:dyDescent="0.25">
      <c r="A1030" s="36" t="s">
        <v>907</v>
      </c>
      <c r="B1030" s="37" t="s">
        <v>908</v>
      </c>
      <c r="C1030" s="63">
        <v>1</v>
      </c>
      <c r="D1030" s="58">
        <f>+VLOOKUP(A1030,[1]Base!$A$11:$O$1318,15,FALSE)</f>
        <v>43.626650006407793</v>
      </c>
      <c r="E1030" s="58">
        <f>+VLOOKUP(A1030,[1]Base!$A$11:$R$1579,18,FALSE)</f>
        <v>54.533312508009736</v>
      </c>
      <c r="F1030">
        <f>+VLOOKUP(A1030,[1]Base!$A$11:$O$1264,15,FALSE)</f>
        <v>43.626650006407793</v>
      </c>
      <c r="G1030">
        <f t="shared" si="16"/>
        <v>1</v>
      </c>
    </row>
    <row r="1031" spans="1:7" x14ac:dyDescent="0.25">
      <c r="A1031" s="36" t="s">
        <v>931</v>
      </c>
      <c r="B1031" s="37" t="s">
        <v>932</v>
      </c>
      <c r="C1031" s="63">
        <v>1</v>
      </c>
      <c r="D1031" s="58">
        <f>+VLOOKUP(A1031,[1]Base!$A$11:$O$1318,15,FALSE)</f>
        <v>8.97561835191593</v>
      </c>
      <c r="E1031" s="58">
        <f>+VLOOKUP(A1031,[1]Base!$A$11:$R$1579,18,FALSE)</f>
        <v>11.219522939894912</v>
      </c>
      <c r="F1031">
        <f>+VLOOKUP(A1031,[1]Base!$A$11:$O$1264,15,FALSE)</f>
        <v>8.97561835191593</v>
      </c>
      <c r="G1031">
        <f t="shared" si="16"/>
        <v>1</v>
      </c>
    </row>
    <row r="1032" spans="1:7" x14ac:dyDescent="0.25">
      <c r="A1032" s="36" t="s">
        <v>1121</v>
      </c>
      <c r="B1032" s="37" t="s">
        <v>1122</v>
      </c>
      <c r="C1032" s="63">
        <v>2</v>
      </c>
      <c r="D1032" s="58">
        <f>+VLOOKUP(A1032,[1]Base!$A$11:$O$1318,15,FALSE)</f>
        <v>1.1156950852236318</v>
      </c>
      <c r="E1032" s="58">
        <f>+VLOOKUP(A1032,[1]Base!$A$11:$R$1579,18,FALSE)</f>
        <v>1.3946188565295397</v>
      </c>
      <c r="F1032">
        <f>+VLOOKUP(A1032,[1]Base!$A$11:$O$1264,15,FALSE)</f>
        <v>1.1156950852236318</v>
      </c>
      <c r="G1032">
        <f t="shared" si="16"/>
        <v>1</v>
      </c>
    </row>
    <row r="1033" spans="1:7" x14ac:dyDescent="0.25">
      <c r="A1033" s="36" t="s">
        <v>1280</v>
      </c>
      <c r="B1033" s="37" t="s">
        <v>1281</v>
      </c>
      <c r="C1033" s="63">
        <v>1</v>
      </c>
      <c r="D1033" s="58">
        <f>+VLOOKUP(A1033,[1]Base!$A$11:$O$1318,15,FALSE)</f>
        <v>0.5521066558111134</v>
      </c>
      <c r="E1033" s="58">
        <f>+VLOOKUP(A1033,[1]Base!$A$11:$R$1579,18,FALSE)</f>
        <v>0.69013331976389169</v>
      </c>
      <c r="F1033">
        <f>+VLOOKUP(A1033,[1]Base!$A$11:$O$1264,15,FALSE)</f>
        <v>0.5521066558111134</v>
      </c>
      <c r="G1033">
        <f t="shared" si="16"/>
        <v>1</v>
      </c>
    </row>
    <row r="1034" spans="1:7" x14ac:dyDescent="0.25">
      <c r="A1034" s="36" t="s">
        <v>1316</v>
      </c>
      <c r="B1034" s="37" t="s">
        <v>1317</v>
      </c>
      <c r="C1034" s="63">
        <v>1</v>
      </c>
      <c r="D1034" s="58">
        <f>+VLOOKUP(A1034,[1]Base!$A$11:$O$1318,15,FALSE)</f>
        <v>0.12054328651875977</v>
      </c>
      <c r="E1034" s="58">
        <f>+VLOOKUP(A1034,[1]Base!$A$11:$R$1579,18,FALSE)</f>
        <v>0.1506791081484497</v>
      </c>
      <c r="F1034">
        <f>+VLOOKUP(A1034,[1]Base!$A$11:$O$1264,15,FALSE)</f>
        <v>0.12054328651875977</v>
      </c>
      <c r="G1034">
        <f t="shared" si="16"/>
        <v>1</v>
      </c>
    </row>
    <row r="1035" spans="1:7" x14ac:dyDescent="0.25">
      <c r="A1035" s="36" t="s">
        <v>1474</v>
      </c>
      <c r="B1035" s="37" t="s">
        <v>1475</v>
      </c>
      <c r="C1035" s="63">
        <v>1</v>
      </c>
      <c r="D1035" s="58">
        <f>+VLOOKUP(A1035,[1]Base!$A$11:$O$1318,15,FALSE)</f>
        <v>6.8093154216703963E-2</v>
      </c>
      <c r="E1035" s="58">
        <f>+VLOOKUP(A1035,[1]Base!$A$11:$R$1579,18,FALSE)</f>
        <v>8.5116442770879944E-2</v>
      </c>
      <c r="F1035">
        <f>+VLOOKUP(A1035,[1]Base!$A$11:$O$1264,15,FALSE)</f>
        <v>6.8093154216703963E-2</v>
      </c>
      <c r="G1035">
        <f t="shared" si="16"/>
        <v>1</v>
      </c>
    </row>
    <row r="1036" spans="1:7" x14ac:dyDescent="0.25">
      <c r="A1036" s="36" t="s">
        <v>1486</v>
      </c>
      <c r="B1036" s="37" t="s">
        <v>1487</v>
      </c>
      <c r="C1036" s="63">
        <v>1</v>
      </c>
      <c r="D1036" s="58">
        <f>+VLOOKUP(A1036,[1]Base!$A$11:$O$1318,15,FALSE)</f>
        <v>6.8093154216703963E-2</v>
      </c>
      <c r="E1036" s="58">
        <f>+VLOOKUP(A1036,[1]Base!$A$11:$R$1579,18,FALSE)</f>
        <v>8.5116442770879944E-2</v>
      </c>
      <c r="F1036">
        <f>+VLOOKUP(A1036,[1]Base!$A$11:$O$1264,15,FALSE)</f>
        <v>6.8093154216703963E-2</v>
      </c>
      <c r="G1036">
        <f t="shared" si="16"/>
        <v>1</v>
      </c>
    </row>
    <row r="1037" spans="1:7" x14ac:dyDescent="0.25">
      <c r="A1037" s="36" t="s">
        <v>1496</v>
      </c>
      <c r="B1037" s="37" t="s">
        <v>1497</v>
      </c>
      <c r="C1037" s="63">
        <v>1</v>
      </c>
      <c r="D1037" s="58">
        <f>+VLOOKUP(A1037,[1]Base!$A$11:$O$1318,15,FALSE)</f>
        <v>6.8093154216703963E-2</v>
      </c>
      <c r="E1037" s="58">
        <f>+VLOOKUP(A1037,[1]Base!$A$11:$R$1579,18,FALSE)</f>
        <v>8.5116442770879944E-2</v>
      </c>
      <c r="F1037">
        <f>+VLOOKUP(A1037,[1]Base!$A$11:$O$1264,15,FALSE)</f>
        <v>6.8093154216703963E-2</v>
      </c>
      <c r="G1037">
        <f t="shared" si="16"/>
        <v>1</v>
      </c>
    </row>
    <row r="1038" spans="1:7" x14ac:dyDescent="0.25">
      <c r="A1038" s="36" t="s">
        <v>1500</v>
      </c>
      <c r="B1038" s="37" t="s">
        <v>1501</v>
      </c>
      <c r="C1038" s="63">
        <v>1</v>
      </c>
      <c r="D1038" s="58">
        <f>+VLOOKUP(A1038,[1]Base!$A$11:$O$1318,15,FALSE)</f>
        <v>0.24108657303751954</v>
      </c>
      <c r="E1038" s="58">
        <f>+VLOOKUP(A1038,[1]Base!$A$11:$R$1579,18,FALSE)</f>
        <v>0.30135821629689941</v>
      </c>
      <c r="F1038">
        <f>+VLOOKUP(A1038,[1]Base!$A$11:$O$1264,15,FALSE)</f>
        <v>0.24108657303751954</v>
      </c>
      <c r="G1038">
        <f t="shared" si="16"/>
        <v>1</v>
      </c>
    </row>
    <row r="1039" spans="1:7" x14ac:dyDescent="0.25">
      <c r="A1039" s="36" t="s">
        <v>1510</v>
      </c>
      <c r="B1039" s="37" t="s">
        <v>1511</v>
      </c>
      <c r="C1039" s="63">
        <v>1</v>
      </c>
      <c r="D1039" s="58">
        <f>+VLOOKUP(A1039,[1]Base!$A$11:$O$1318,15,FALSE)</f>
        <v>0.13618630843340793</v>
      </c>
      <c r="E1039" s="58">
        <f>+VLOOKUP(A1039,[1]Base!$A$11:$R$1579,18,FALSE)</f>
        <v>0.17023288554175989</v>
      </c>
      <c r="F1039">
        <f>+VLOOKUP(A1039,[1]Base!$A$11:$O$1264,15,FALSE)</f>
        <v>0.13618630843340793</v>
      </c>
      <c r="G1039">
        <f t="shared" si="16"/>
        <v>1</v>
      </c>
    </row>
    <row r="1040" spans="1:7" x14ac:dyDescent="0.25">
      <c r="A1040" s="40" t="s">
        <v>22</v>
      </c>
      <c r="B1040" s="35" t="s">
        <v>47</v>
      </c>
      <c r="C1040" s="63">
        <v>1</v>
      </c>
      <c r="D1040" s="58">
        <f>+VLOOKUP(A1040,[1]Base!$A$11:$O$1318,15,FALSE)</f>
        <v>0.5521066558111134</v>
      </c>
      <c r="E1040" s="58">
        <f>+VLOOKUP(A1040,[1]Base!$A$11:$R$1579,18,FALSE)</f>
        <v>0.69013331976389169</v>
      </c>
      <c r="F1040">
        <f>+VLOOKUP(A1040,[1]Base!$A$11:$O$1264,15,FALSE)</f>
        <v>0.5521066558111134</v>
      </c>
      <c r="G1040">
        <f t="shared" si="16"/>
        <v>1</v>
      </c>
    </row>
    <row r="1041" spans="1:7" x14ac:dyDescent="0.25">
      <c r="A1041" s="36" t="s">
        <v>1123</v>
      </c>
      <c r="B1041" s="37" t="s">
        <v>1124</v>
      </c>
      <c r="C1041" s="63">
        <v>2</v>
      </c>
      <c r="D1041" s="58">
        <f>+VLOOKUP(A1041,[1]Base!$A$11:$O$1318,15,FALSE)</f>
        <v>1.3035851595540178</v>
      </c>
      <c r="E1041" s="58">
        <f>+VLOOKUP(A1041,[1]Base!$A$11:$R$1579,18,FALSE)</f>
        <v>1.629481449442522</v>
      </c>
      <c r="F1041">
        <f>+VLOOKUP(A1041,[1]Base!$A$11:$O$1264,15,FALSE)</f>
        <v>1.3035851595540178</v>
      </c>
      <c r="G1041">
        <f t="shared" si="16"/>
        <v>1</v>
      </c>
    </row>
    <row r="1042" spans="1:7" x14ac:dyDescent="0.25">
      <c r="A1042" s="36" t="s">
        <v>1237</v>
      </c>
      <c r="B1042" s="37" t="s">
        <v>1238</v>
      </c>
      <c r="C1042" s="63">
        <v>1</v>
      </c>
      <c r="D1042" s="58">
        <f>+VLOOKUP(A1042,[1]Base!$A$11:$O$1318,15,FALSE)</f>
        <v>2.6071703191080355</v>
      </c>
      <c r="E1042" s="58">
        <f>+VLOOKUP(A1042,[1]Base!$A$11:$R$1579,18,FALSE)</f>
        <v>3.2589628988850441</v>
      </c>
      <c r="F1042">
        <f>+VLOOKUP(A1042,[1]Base!$A$11:$O$1264,15,FALSE)</f>
        <v>2.6071703191080355</v>
      </c>
      <c r="G1042">
        <f t="shared" si="16"/>
        <v>1</v>
      </c>
    </row>
    <row r="1043" spans="1:7" x14ac:dyDescent="0.25">
      <c r="A1043" s="40" t="s">
        <v>20</v>
      </c>
      <c r="B1043" s="35" t="s">
        <v>44</v>
      </c>
      <c r="C1043" s="63">
        <v>1</v>
      </c>
      <c r="D1043" s="58">
        <f>+VLOOKUP(A1043,[1]Base!$A$11:$O$1318,15,FALSE)</f>
        <v>5.5210665581111344</v>
      </c>
      <c r="E1043" s="58">
        <f>+VLOOKUP(A1043,[1]Base!$A$11:$R$1579,18,FALSE)</f>
        <v>6.9013331976389178</v>
      </c>
      <c r="F1043">
        <f>+VLOOKUP(A1043,[1]Base!$A$11:$O$1264,15,FALSE)</f>
        <v>5.5210665581111344</v>
      </c>
      <c r="G1043">
        <f t="shared" si="16"/>
        <v>1</v>
      </c>
    </row>
    <row r="1044" spans="1:7" x14ac:dyDescent="0.25">
      <c r="A1044" s="40" t="s">
        <v>26</v>
      </c>
      <c r="B1044" s="35" t="s">
        <v>56</v>
      </c>
      <c r="C1044" s="63">
        <v>1</v>
      </c>
      <c r="D1044" s="58">
        <f>+VLOOKUP(A1044,[1]Base!$A$11:$O$1318,15,FALSE)</f>
        <v>5.5210665581111344</v>
      </c>
      <c r="E1044" s="58">
        <f>+VLOOKUP(A1044,[1]Base!$A$11:$R$1579,18,FALSE)</f>
        <v>6.9013331976389178</v>
      </c>
      <c r="F1044">
        <f>+VLOOKUP(A1044,[1]Base!$A$11:$O$1264,15,FALSE)</f>
        <v>5.5210665581111344</v>
      </c>
      <c r="G1044">
        <f t="shared" si="16"/>
        <v>1</v>
      </c>
    </row>
    <row r="1045" spans="1:7" x14ac:dyDescent="0.25">
      <c r="A1045" s="40" t="s">
        <v>1544</v>
      </c>
      <c r="B1045" s="35" t="s">
        <v>1545</v>
      </c>
      <c r="C1045" s="63">
        <v>1</v>
      </c>
      <c r="D1045" s="58">
        <f>+VLOOKUP(A1045,[1]Base!$A$11:$O$1318,15,FALSE)</f>
        <v>2.7605332790555672</v>
      </c>
      <c r="E1045" s="58">
        <f>+VLOOKUP(A1045,[1]Base!$A$11:$R$1579,18,FALSE)</f>
        <v>3.4506665988194589</v>
      </c>
      <c r="F1045">
        <f>+VLOOKUP(A1045,[1]Base!$A$11:$O$1264,15,FALSE)</f>
        <v>2.7605332790555672</v>
      </c>
      <c r="G1045">
        <f t="shared" si="16"/>
        <v>1</v>
      </c>
    </row>
    <row r="1046" spans="1:7" x14ac:dyDescent="0.25">
      <c r="A1046" s="36" t="s">
        <v>1069</v>
      </c>
      <c r="B1046" s="53" t="s">
        <v>1070</v>
      </c>
      <c r="C1046" s="63">
        <v>1</v>
      </c>
      <c r="D1046" s="58">
        <f>+VLOOKUP(A1046,[1]Base!$A$11:$O$1318,15,FALSE)</f>
        <v>0.16079379894372611</v>
      </c>
      <c r="E1046" s="58">
        <f>+VLOOKUP(A1046,[1]Base!$A$11:$R$1579,18,FALSE)</f>
        <v>0.20099224867965762</v>
      </c>
      <c r="F1046">
        <f>+VLOOKUP(A1046,[1]Base!$A$11:$O$1264,15,FALSE)</f>
        <v>0.16079379894372611</v>
      </c>
      <c r="G1046">
        <f t="shared" si="16"/>
        <v>1</v>
      </c>
    </row>
    <row r="1047" spans="1:7" x14ac:dyDescent="0.25">
      <c r="A1047" s="36" t="s">
        <v>1083</v>
      </c>
      <c r="B1047" s="37" t="s">
        <v>1084</v>
      </c>
      <c r="C1047" s="63">
        <v>1</v>
      </c>
      <c r="D1047" s="58">
        <f>+VLOOKUP(A1047,[1]Base!$A$11:$O$1318,15,FALSE)</f>
        <v>0.28009242396649059</v>
      </c>
      <c r="E1047" s="58">
        <f>+VLOOKUP(A1047,[1]Base!$A$11:$R$1579,18,FALSE)</f>
        <v>0.35011552995811324</v>
      </c>
      <c r="F1047">
        <f>+VLOOKUP(A1047,[1]Base!$A$11:$O$1264,15,FALSE)</f>
        <v>0.28009242396649059</v>
      </c>
      <c r="G1047">
        <f t="shared" si="16"/>
        <v>1</v>
      </c>
    </row>
    <row r="1048" spans="1:7" x14ac:dyDescent="0.25">
      <c r="A1048" s="36" t="s">
        <v>1085</v>
      </c>
      <c r="B1048" s="37" t="s">
        <v>1086</v>
      </c>
      <c r="C1048" s="63">
        <v>1</v>
      </c>
      <c r="D1048" s="58">
        <f>+VLOOKUP(A1048,[1]Base!$A$11:$O$1318,15,FALSE)</f>
        <v>5.0485794937169905E-2</v>
      </c>
      <c r="E1048" s="58">
        <f>+VLOOKUP(A1048,[1]Base!$A$11:$R$1579,18,FALSE)</f>
        <v>6.3107243671462379E-2</v>
      </c>
      <c r="F1048">
        <f>+VLOOKUP(A1048,[1]Base!$A$11:$O$1264,15,FALSE)</f>
        <v>5.0485794937169905E-2</v>
      </c>
      <c r="G1048">
        <f t="shared" si="16"/>
        <v>1</v>
      </c>
    </row>
    <row r="1049" spans="1:7" x14ac:dyDescent="0.25">
      <c r="A1049" s="36" t="s">
        <v>1372</v>
      </c>
      <c r="B1049" s="37" t="s">
        <v>1373</v>
      </c>
      <c r="C1049" s="63">
        <v>1</v>
      </c>
      <c r="D1049" s="58">
        <f>+VLOOKUP(A1049,[1]Base!$A$11:$O$1318,15,FALSE)</f>
        <v>3.8982410611303346</v>
      </c>
      <c r="E1049" s="58">
        <f>+VLOOKUP(A1049,[1]Base!$A$11:$R$1579,18,FALSE)</f>
        <v>4.872801326412918</v>
      </c>
      <c r="F1049">
        <f>+VLOOKUP(A1049,[1]Base!$A$11:$O$1264,15,FALSE)</f>
        <v>3.8982410611303346</v>
      </c>
      <c r="G1049">
        <f t="shared" si="16"/>
        <v>1</v>
      </c>
    </row>
    <row r="1050" spans="1:7" x14ac:dyDescent="0.25">
      <c r="A1050" s="36" t="s">
        <v>1404</v>
      </c>
      <c r="B1050" s="37" t="s">
        <v>1405</v>
      </c>
      <c r="C1050" s="63">
        <v>1</v>
      </c>
      <c r="D1050" s="58">
        <f>+VLOOKUP(A1050,[1]Base!$A$11:$O$1318,15,FALSE)</f>
        <v>0.21992248456476016</v>
      </c>
      <c r="E1050" s="58">
        <f>+VLOOKUP(A1050,[1]Base!$A$11:$R$1579,18,FALSE)</f>
        <v>0.27490310570595017</v>
      </c>
      <c r="F1050">
        <f>+VLOOKUP(A1050,[1]Base!$A$11:$O$1264,15,FALSE)</f>
        <v>0.21992248456476016</v>
      </c>
      <c r="G1050">
        <f t="shared" si="16"/>
        <v>1</v>
      </c>
    </row>
    <row r="1051" spans="1:7" x14ac:dyDescent="0.25">
      <c r="A1051" s="36" t="s">
        <v>724</v>
      </c>
      <c r="B1051" s="37" t="s">
        <v>725</v>
      </c>
      <c r="C1051" s="63">
        <v>50</v>
      </c>
      <c r="D1051" s="58">
        <f>+VLOOKUP(A1051,[1]Base!$A$11:$O$1318,15,FALSE)</f>
        <v>1.9323732953388968</v>
      </c>
      <c r="E1051" s="58">
        <f>+VLOOKUP(A1051,[1]Base!$A$11:$R$1579,18,FALSE)</f>
        <v>2.4154666191736207</v>
      </c>
      <c r="F1051">
        <f>+VLOOKUP(A1051,[1]Base!$A$11:$O$1264,15,FALSE)</f>
        <v>1.9323732953388968</v>
      </c>
      <c r="G1051">
        <f t="shared" si="16"/>
        <v>1</v>
      </c>
    </row>
    <row r="1052" spans="1:7" x14ac:dyDescent="0.25">
      <c r="A1052" s="36" t="s">
        <v>758</v>
      </c>
      <c r="B1052" s="37" t="s">
        <v>759</v>
      </c>
      <c r="C1052" s="63">
        <v>1</v>
      </c>
      <c r="D1052" s="58">
        <f>+VLOOKUP(A1052,[1]Base!$A$11:$O$1318,15,FALSE)</f>
        <v>53.922416717552068</v>
      </c>
      <c r="E1052" s="58">
        <f>+VLOOKUP(A1052,[1]Base!$A$11:$R$1579,18,FALSE)</f>
        <v>67.403020896940077</v>
      </c>
      <c r="F1052">
        <f>+VLOOKUP(A1052,[1]Base!$A$11:$O$1264,15,FALSE)</f>
        <v>53.922416717552068</v>
      </c>
      <c r="G1052">
        <f t="shared" si="16"/>
        <v>1</v>
      </c>
    </row>
    <row r="1053" spans="1:7" x14ac:dyDescent="0.25">
      <c r="A1053" s="36" t="s">
        <v>764</v>
      </c>
      <c r="B1053" s="37" t="s">
        <v>765</v>
      </c>
      <c r="C1053" s="63">
        <v>1</v>
      </c>
      <c r="D1053" s="58">
        <f>+VLOOKUP(A1053,[1]Base!$A$11:$O$1318,15,FALSE)</f>
        <v>0.86905677303601181</v>
      </c>
      <c r="E1053" s="58">
        <f>+VLOOKUP(A1053,[1]Base!$A$11:$R$1579,18,FALSE)</f>
        <v>1.0863209662950146</v>
      </c>
      <c r="F1053">
        <f>+VLOOKUP(A1053,[1]Base!$A$11:$O$1264,15,FALSE)</f>
        <v>0.86905677303601181</v>
      </c>
      <c r="G1053">
        <f t="shared" si="16"/>
        <v>1</v>
      </c>
    </row>
    <row r="1054" spans="1:7" x14ac:dyDescent="0.25">
      <c r="A1054" s="36" t="s">
        <v>855</v>
      </c>
      <c r="B1054" s="49" t="s">
        <v>856</v>
      </c>
      <c r="C1054" s="62">
        <v>1</v>
      </c>
      <c r="D1054" s="58">
        <f>+VLOOKUP(A1054,[1]Base!$A$11:$O$1318,15,FALSE)</f>
        <v>0.4345283865180059</v>
      </c>
      <c r="E1054" s="58">
        <f>+VLOOKUP(A1054,[1]Base!$A$11:$R$1579,18,FALSE)</f>
        <v>0.54316048314750731</v>
      </c>
      <c r="F1054">
        <f>+VLOOKUP(A1054,[1]Base!$A$11:$O$1264,15,FALSE)</f>
        <v>0.4345283865180059</v>
      </c>
      <c r="G1054">
        <f t="shared" si="16"/>
        <v>1</v>
      </c>
    </row>
    <row r="1055" spans="1:7" x14ac:dyDescent="0.25">
      <c r="A1055" s="36" t="s">
        <v>859</v>
      </c>
      <c r="B1055" s="49" t="s">
        <v>860</v>
      </c>
      <c r="C1055" s="62">
        <v>1</v>
      </c>
      <c r="D1055" s="58">
        <f>+VLOOKUP(A1055,[1]Base!$A$11:$O$1318,15,FALSE)</f>
        <v>0.73000768935024996</v>
      </c>
      <c r="E1055" s="58">
        <f>+VLOOKUP(A1055,[1]Base!$A$11:$R$1579,18,FALSE)</f>
        <v>0.91250961168781242</v>
      </c>
      <c r="F1055">
        <f>+VLOOKUP(A1055,[1]Base!$A$11:$O$1264,15,FALSE)</f>
        <v>0.73000768935024996</v>
      </c>
      <c r="G1055">
        <f t="shared" si="16"/>
        <v>1</v>
      </c>
    </row>
    <row r="1056" spans="1:7" x14ac:dyDescent="0.25">
      <c r="A1056" s="36" t="s">
        <v>925</v>
      </c>
      <c r="B1056" s="37" t="s">
        <v>926</v>
      </c>
      <c r="C1056" s="63">
        <v>1</v>
      </c>
      <c r="D1056" s="58">
        <f>+VLOOKUP(A1056,[1]Base!$A$11:$O$1318,15,FALSE)</f>
        <v>5.0961489170831724</v>
      </c>
      <c r="E1056" s="58">
        <f>+VLOOKUP(A1056,[1]Base!$A$11:$R$1579,18,FALSE)</f>
        <v>6.3701861463539649</v>
      </c>
      <c r="F1056">
        <f>+VLOOKUP(A1056,[1]Base!$A$11:$O$1264,15,FALSE)</f>
        <v>5.0961489170831724</v>
      </c>
      <c r="G1056">
        <f t="shared" si="16"/>
        <v>1</v>
      </c>
    </row>
    <row r="1057" spans="1:7" x14ac:dyDescent="0.25">
      <c r="A1057" s="36" t="s">
        <v>961</v>
      </c>
      <c r="B1057" s="37" t="s">
        <v>962</v>
      </c>
      <c r="C1057" s="63">
        <v>1</v>
      </c>
      <c r="D1057" s="58">
        <f>+VLOOKUP(A1057,[1]Base!$A$11:$O$1318,15,FALSE)</f>
        <v>0.86905677303601181</v>
      </c>
      <c r="E1057" s="58">
        <f>+VLOOKUP(A1057,[1]Base!$A$11:$R$1579,18,FALSE)</f>
        <v>1.0863209662950146</v>
      </c>
      <c r="F1057">
        <f>+VLOOKUP(A1057,[1]Base!$A$11:$O$1264,15,FALSE)</f>
        <v>0.86905677303601181</v>
      </c>
      <c r="G1057">
        <f t="shared" si="16"/>
        <v>1</v>
      </c>
    </row>
    <row r="1058" spans="1:7" x14ac:dyDescent="0.25">
      <c r="A1058" s="36" t="s">
        <v>1075</v>
      </c>
      <c r="B1058" s="54" t="s">
        <v>1076</v>
      </c>
      <c r="C1058" s="63">
        <v>1</v>
      </c>
      <c r="D1058" s="58">
        <f>+VLOOKUP(A1058,[1]Base!$A$11:$O$1318,15,FALSE)</f>
        <v>8.6794072118011295E-2</v>
      </c>
      <c r="E1058" s="58">
        <f>+VLOOKUP(A1058,[1]Base!$A$11:$R$1579,18,FALSE)</f>
        <v>0.10849259014751411</v>
      </c>
      <c r="F1058">
        <f>+VLOOKUP(A1058,[1]Base!$A$11:$O$1264,15,FALSE)</f>
        <v>8.6794072118011295E-2</v>
      </c>
      <c r="G1058">
        <f t="shared" si="16"/>
        <v>1</v>
      </c>
    </row>
    <row r="1059" spans="1:7" x14ac:dyDescent="0.25">
      <c r="A1059" s="36" t="s">
        <v>1079</v>
      </c>
      <c r="B1059" s="37" t="s">
        <v>1080</v>
      </c>
      <c r="C1059" s="63">
        <v>1</v>
      </c>
      <c r="D1059" s="58">
        <f>+VLOOKUP(A1059,[1]Base!$A$11:$O$1318,15,FALSE)</f>
        <v>6.0513795301402287E-2</v>
      </c>
      <c r="E1059" s="58">
        <f>+VLOOKUP(A1059,[1]Base!$A$11:$R$1579,18,FALSE)</f>
        <v>7.5642244126752856E-2</v>
      </c>
      <c r="F1059">
        <f>+VLOOKUP(A1059,[1]Base!$A$11:$O$1264,15,FALSE)</f>
        <v>6.0513795301402287E-2</v>
      </c>
      <c r="G1059">
        <f t="shared" si="16"/>
        <v>1</v>
      </c>
    </row>
    <row r="1060" spans="1:7" x14ac:dyDescent="0.25">
      <c r="A1060" s="36" t="s">
        <v>1081</v>
      </c>
      <c r="B1060" s="37" t="s">
        <v>1082</v>
      </c>
      <c r="C1060" s="63">
        <v>1</v>
      </c>
      <c r="D1060" s="58">
        <f>+VLOOKUP(A1060,[1]Base!$A$11:$O$1318,15,FALSE)</f>
        <v>7.4691313057730829E-2</v>
      </c>
      <c r="E1060" s="58">
        <f>+VLOOKUP(A1060,[1]Base!$A$11:$R$1579,18,FALSE)</f>
        <v>9.336414132216353E-2</v>
      </c>
      <c r="F1060">
        <f>+VLOOKUP(A1060,[1]Base!$A$11:$O$1264,15,FALSE)</f>
        <v>7.4691313057730829E-2</v>
      </c>
      <c r="G1060">
        <f t="shared" si="16"/>
        <v>1</v>
      </c>
    </row>
    <row r="1061" spans="1:7" x14ac:dyDescent="0.25">
      <c r="A1061" s="36" t="s">
        <v>1093</v>
      </c>
      <c r="B1061" s="37" t="s">
        <v>1094</v>
      </c>
      <c r="C1061" s="63">
        <v>1</v>
      </c>
      <c r="D1061" s="58">
        <f>+VLOOKUP(A1061,[1]Base!$A$11:$O$1318,15,FALSE)</f>
        <v>0.17739186851211075</v>
      </c>
      <c r="E1061" s="58">
        <f>+VLOOKUP(A1061,[1]Base!$A$11:$R$1579,18,FALSE)</f>
        <v>0.22173983564013844</v>
      </c>
      <c r="F1061">
        <f>+VLOOKUP(A1061,[1]Base!$A$11:$O$1264,15,FALSE)</f>
        <v>0.17739186851211075</v>
      </c>
      <c r="G1061">
        <f t="shared" si="16"/>
        <v>1</v>
      </c>
    </row>
    <row r="1062" spans="1:7" x14ac:dyDescent="0.25">
      <c r="A1062" s="36" t="s">
        <v>1105</v>
      </c>
      <c r="B1062" s="37" t="s">
        <v>1106</v>
      </c>
      <c r="C1062" s="63">
        <v>1</v>
      </c>
      <c r="D1062" s="58">
        <f>+VLOOKUP(A1062,[1]Base!$A$11:$O$1318,15,FALSE)</f>
        <v>1.1683599256696142</v>
      </c>
      <c r="E1062" s="58">
        <f>+VLOOKUP(A1062,[1]Base!$A$11:$R$1579,18,FALSE)</f>
        <v>1.4604499070870176</v>
      </c>
      <c r="F1062">
        <f>+VLOOKUP(A1062,[1]Base!$A$11:$O$1264,15,FALSE)</f>
        <v>1.1683599256696142</v>
      </c>
      <c r="G1062">
        <f t="shared" si="16"/>
        <v>1</v>
      </c>
    </row>
    <row r="1063" spans="1:7" x14ac:dyDescent="0.25">
      <c r="A1063" s="36" t="s">
        <v>1109</v>
      </c>
      <c r="B1063" s="37" t="s">
        <v>1110</v>
      </c>
      <c r="C1063" s="63">
        <v>1</v>
      </c>
      <c r="D1063" s="58">
        <f>+VLOOKUP(A1063,[1]Base!$A$11:$O$1318,15,FALSE)</f>
        <v>0.9460552031270022</v>
      </c>
      <c r="E1063" s="58">
        <f>+VLOOKUP(A1063,[1]Base!$A$11:$R$1579,18,FALSE)</f>
        <v>1.1825690039087526</v>
      </c>
      <c r="F1063">
        <f>+VLOOKUP(A1063,[1]Base!$A$11:$O$1264,15,FALSE)</f>
        <v>0.9460552031270022</v>
      </c>
      <c r="G1063">
        <f t="shared" si="16"/>
        <v>1</v>
      </c>
    </row>
    <row r="1064" spans="1:7" x14ac:dyDescent="0.25">
      <c r="A1064" s="36" t="s">
        <v>1113</v>
      </c>
      <c r="B1064" s="37" t="s">
        <v>1114</v>
      </c>
      <c r="C1064" s="63">
        <v>1</v>
      </c>
      <c r="D1064" s="58">
        <f>+VLOOKUP(A1064,[1]Base!$A$11:$O$1318,15,FALSE)</f>
        <v>0.93440984236831981</v>
      </c>
      <c r="E1064" s="58">
        <f>+VLOOKUP(A1064,[1]Base!$A$11:$R$1579,18,FALSE)</f>
        <v>1.1680123029603997</v>
      </c>
      <c r="F1064">
        <f>+VLOOKUP(A1064,[1]Base!$A$11:$O$1264,15,FALSE)</f>
        <v>0.93440984236831981</v>
      </c>
      <c r="G1064">
        <f t="shared" si="16"/>
        <v>1</v>
      </c>
    </row>
    <row r="1065" spans="1:7" x14ac:dyDescent="0.25">
      <c r="A1065" s="36" t="s">
        <v>1157</v>
      </c>
      <c r="B1065" s="37" t="s">
        <v>1158</v>
      </c>
      <c r="C1065" s="63">
        <v>100</v>
      </c>
      <c r="D1065" s="58">
        <f>+VLOOKUP(A1065,[1]Base!$A$11:$O$1318,15,FALSE)</f>
        <v>0.87085623176606264</v>
      </c>
      <c r="E1065" s="58">
        <f>+VLOOKUP(A1065,[1]Base!$A$11:$R$1579,18,FALSE)</f>
        <v>1.0885702897075782</v>
      </c>
      <c r="F1065">
        <f>+VLOOKUP(A1065,[1]Base!$A$11:$O$1264,15,FALSE)</f>
        <v>0.87085623176606264</v>
      </c>
      <c r="G1065">
        <f t="shared" si="16"/>
        <v>1</v>
      </c>
    </row>
    <row r="1066" spans="1:7" x14ac:dyDescent="0.25">
      <c r="A1066" s="36" t="s">
        <v>1163</v>
      </c>
      <c r="B1066" s="37" t="s">
        <v>1164</v>
      </c>
      <c r="C1066" s="63">
        <v>100</v>
      </c>
      <c r="D1066" s="58">
        <f>+VLOOKUP(A1066,[1]Base!$A$11:$O$1318,15,FALSE)</f>
        <v>1.3797145328719724</v>
      </c>
      <c r="E1066" s="58">
        <f>+VLOOKUP(A1066,[1]Base!$A$11:$R$1579,18,FALSE)</f>
        <v>1.7246431660899655</v>
      </c>
      <c r="F1066">
        <f>+VLOOKUP(A1066,[1]Base!$A$11:$O$1264,15,FALSE)</f>
        <v>1.3797145328719724</v>
      </c>
      <c r="G1066">
        <f t="shared" si="16"/>
        <v>1</v>
      </c>
    </row>
    <row r="1067" spans="1:7" x14ac:dyDescent="0.25">
      <c r="A1067" s="36" t="s">
        <v>1207</v>
      </c>
      <c r="B1067" s="37" t="s">
        <v>1208</v>
      </c>
      <c r="C1067" s="63">
        <v>1</v>
      </c>
      <c r="D1067" s="58">
        <f>+VLOOKUP(A1067,[1]Base!$A$11:$O$1318,15,FALSE)</f>
        <v>0.20457596437267717</v>
      </c>
      <c r="E1067" s="58">
        <f>+VLOOKUP(A1067,[1]Base!$A$11:$R$1579,18,FALSE)</f>
        <v>0.25571995546584642</v>
      </c>
      <c r="F1067">
        <f>+VLOOKUP(A1067,[1]Base!$A$11:$O$1264,15,FALSE)</f>
        <v>0.20457596437267717</v>
      </c>
      <c r="G1067">
        <f t="shared" si="16"/>
        <v>1</v>
      </c>
    </row>
    <row r="1068" spans="1:7" x14ac:dyDescent="0.25">
      <c r="A1068" s="36" t="s">
        <v>1211</v>
      </c>
      <c r="B1068" s="37" t="s">
        <v>1212</v>
      </c>
      <c r="C1068" s="63">
        <v>1</v>
      </c>
      <c r="D1068" s="58">
        <f>+VLOOKUP(A1068,[1]Base!$A$11:$O$1318,15,FALSE)</f>
        <v>0.35561803152633603</v>
      </c>
      <c r="E1068" s="58">
        <f>+VLOOKUP(A1068,[1]Base!$A$11:$R$1579,18,FALSE)</f>
        <v>0.44452253940792003</v>
      </c>
      <c r="F1068">
        <f>+VLOOKUP(A1068,[1]Base!$A$11:$O$1264,15,FALSE)</f>
        <v>0.35561803152633603</v>
      </c>
      <c r="G1068">
        <f t="shared" si="16"/>
        <v>1</v>
      </c>
    </row>
    <row r="1069" spans="1:7" x14ac:dyDescent="0.25">
      <c r="A1069" s="36" t="s">
        <v>1239</v>
      </c>
      <c r="B1069" s="37" t="s">
        <v>1240</v>
      </c>
      <c r="C1069" s="63">
        <v>1</v>
      </c>
      <c r="D1069" s="58">
        <f>+VLOOKUP(A1069,[1]Base!$A$11:$O$1318,15,FALSE)</f>
        <v>6.9524541842880945</v>
      </c>
      <c r="E1069" s="58">
        <f>+VLOOKUP(A1069,[1]Base!$A$11:$R$1579,18,FALSE)</f>
        <v>8.690567730360117</v>
      </c>
      <c r="F1069">
        <f>+VLOOKUP(A1069,[1]Base!$A$11:$O$1264,15,FALSE)</f>
        <v>6.9524541842880945</v>
      </c>
      <c r="G1069">
        <f t="shared" si="16"/>
        <v>1</v>
      </c>
    </row>
    <row r="1070" spans="1:7" x14ac:dyDescent="0.25">
      <c r="A1070" s="36" t="s">
        <v>1245</v>
      </c>
      <c r="B1070" s="37" t="s">
        <v>1246</v>
      </c>
      <c r="C1070" s="63">
        <v>1</v>
      </c>
      <c r="D1070" s="58">
        <f>+VLOOKUP(A1070,[1]Base!$A$11:$O$1318,15,FALSE)</f>
        <v>52.143406382160698</v>
      </c>
      <c r="E1070" s="58">
        <f>+VLOOKUP(A1070,[1]Base!$A$11:$R$1579,18,FALSE)</f>
        <v>65.179257977700871</v>
      </c>
      <c r="F1070">
        <f>+VLOOKUP(A1070,[1]Base!$A$11:$O$1264,15,FALSE)</f>
        <v>52.143406382160698</v>
      </c>
      <c r="G1070">
        <f t="shared" si="16"/>
        <v>1</v>
      </c>
    </row>
    <row r="1071" spans="1:7" x14ac:dyDescent="0.25">
      <c r="A1071" s="36" t="s">
        <v>1251</v>
      </c>
      <c r="B1071" s="37" t="s">
        <v>1252</v>
      </c>
      <c r="C1071" s="63">
        <v>100</v>
      </c>
      <c r="D1071" s="58">
        <f>+VLOOKUP(A1071,[1]Base!$A$11:$O$1318,15,FALSE)</f>
        <v>1.7840406404776441</v>
      </c>
      <c r="E1071" s="58">
        <f>+VLOOKUP(A1071,[1]Base!$A$11:$R$1579,18,FALSE)</f>
        <v>2.2300508005970552</v>
      </c>
      <c r="F1071">
        <f>+VLOOKUP(A1071,[1]Base!$A$11:$O$1264,15,FALSE)</f>
        <v>1.7840406404776441</v>
      </c>
      <c r="G1071">
        <f t="shared" si="16"/>
        <v>1</v>
      </c>
    </row>
    <row r="1072" spans="1:7" x14ac:dyDescent="0.25">
      <c r="A1072" s="36" t="s">
        <v>1268</v>
      </c>
      <c r="B1072" s="37" t="s">
        <v>1269</v>
      </c>
      <c r="C1072" s="63">
        <v>1</v>
      </c>
      <c r="D1072" s="58">
        <f>+VLOOKUP(A1072,[1]Base!$A$11:$O$1318,15,FALSE)</f>
        <v>0.58100023746522833</v>
      </c>
      <c r="E1072" s="58">
        <f>+VLOOKUP(A1072,[1]Base!$A$11:$R$1579,18,FALSE)</f>
        <v>0.72625029683153541</v>
      </c>
      <c r="F1072">
        <f>+VLOOKUP(A1072,[1]Base!$A$11:$O$1264,15,FALSE)</f>
        <v>0.58100023746522833</v>
      </c>
      <c r="G1072">
        <f t="shared" si="16"/>
        <v>1</v>
      </c>
    </row>
    <row r="1073" spans="1:7" x14ac:dyDescent="0.25">
      <c r="A1073" s="36" t="s">
        <v>1270</v>
      </c>
      <c r="B1073" s="37" t="s">
        <v>1271</v>
      </c>
      <c r="C1073" s="63">
        <v>1</v>
      </c>
      <c r="D1073" s="58">
        <f>+VLOOKUP(A1073,[1]Base!$A$11:$O$1318,15,FALSE)</f>
        <v>0.52947028292285758</v>
      </c>
      <c r="E1073" s="58">
        <f>+VLOOKUP(A1073,[1]Base!$A$11:$R$1579,18,FALSE)</f>
        <v>0.66183785365357195</v>
      </c>
      <c r="F1073">
        <f>+VLOOKUP(A1073,[1]Base!$A$11:$O$1264,15,FALSE)</f>
        <v>0.52947028292285758</v>
      </c>
      <c r="G1073">
        <f t="shared" si="16"/>
        <v>1</v>
      </c>
    </row>
    <row r="1074" spans="1:7" x14ac:dyDescent="0.25">
      <c r="A1074" s="36" t="s">
        <v>1328</v>
      </c>
      <c r="B1074" s="37" t="s">
        <v>1329</v>
      </c>
      <c r="C1074" s="63">
        <v>1</v>
      </c>
      <c r="D1074" s="58">
        <f>+VLOOKUP(A1074,[1]Base!$A$11:$O$1318,15,FALSE)</f>
        <v>4.4168532464889061E-2</v>
      </c>
      <c r="E1074" s="58">
        <f>+VLOOKUP(A1074,[1]Base!$A$11:$R$1579,18,FALSE)</f>
        <v>5.5210665581111325E-2</v>
      </c>
      <c r="F1074">
        <f>+VLOOKUP(A1074,[1]Base!$A$11:$O$1264,15,FALSE)</f>
        <v>4.4168532464889061E-2</v>
      </c>
      <c r="G1074">
        <f t="shared" si="16"/>
        <v>1</v>
      </c>
    </row>
    <row r="1075" spans="1:7" x14ac:dyDescent="0.25">
      <c r="A1075" s="36" t="s">
        <v>1365</v>
      </c>
      <c r="B1075" s="37" t="s">
        <v>1038</v>
      </c>
      <c r="C1075" s="63">
        <v>1</v>
      </c>
      <c r="D1075" s="58">
        <f>+VLOOKUP(A1075,[1]Base!$A$11:$O$1318,15,FALSE)</f>
        <v>4.4168532464889061E-2</v>
      </c>
      <c r="E1075" s="58">
        <f>+VLOOKUP(A1075,[1]Base!$A$11:$R$1579,18,FALSE)</f>
        <v>5.5210665581111325E-2</v>
      </c>
      <c r="F1075">
        <f>+VLOOKUP(A1075,[1]Base!$A$11:$O$1264,15,FALSE)</f>
        <v>4.4168532464889061E-2</v>
      </c>
      <c r="G1075">
        <f t="shared" si="16"/>
        <v>1</v>
      </c>
    </row>
    <row r="1076" spans="1:7" x14ac:dyDescent="0.25">
      <c r="A1076" s="36" t="s">
        <v>1416</v>
      </c>
      <c r="B1076" s="37" t="s">
        <v>1417</v>
      </c>
      <c r="C1076" s="63">
        <v>1</v>
      </c>
      <c r="D1076" s="58">
        <f>+VLOOKUP(A1076,[1]Base!$A$11:$O$1318,15,FALSE)</f>
        <v>1.8311537417735257</v>
      </c>
      <c r="E1076" s="58">
        <f>+VLOOKUP(A1076,[1]Base!$A$11:$R$1579,18,FALSE)</f>
        <v>2.288942177216907</v>
      </c>
      <c r="F1076">
        <f>+VLOOKUP(A1076,[1]Base!$A$11:$O$1264,15,FALSE)</f>
        <v>1.8311537417735257</v>
      </c>
      <c r="G1076">
        <f t="shared" si="16"/>
        <v>1</v>
      </c>
    </row>
    <row r="1077" spans="1:7" x14ac:dyDescent="0.25">
      <c r="A1077" s="36" t="s">
        <v>1460</v>
      </c>
      <c r="B1077" s="37" t="s">
        <v>1461</v>
      </c>
      <c r="C1077" s="63">
        <v>1</v>
      </c>
      <c r="D1077" s="58">
        <f>+VLOOKUP(A1077,[1]Base!$A$11:$O$1318,15,FALSE)</f>
        <v>0.11870293099938937</v>
      </c>
      <c r="E1077" s="58">
        <f>+VLOOKUP(A1077,[1]Base!$A$11:$R$1579,18,FALSE)</f>
        <v>0.14837866374923672</v>
      </c>
      <c r="F1077">
        <f>+VLOOKUP(A1077,[1]Base!$A$11:$O$1264,15,FALSE)</f>
        <v>0.11870293099938937</v>
      </c>
      <c r="G1077">
        <f t="shared" si="16"/>
        <v>1</v>
      </c>
    </row>
    <row r="1078" spans="1:7" x14ac:dyDescent="0.25">
      <c r="A1078" s="36" t="s">
        <v>1502</v>
      </c>
      <c r="B1078" s="37" t="s">
        <v>1503</v>
      </c>
      <c r="C1078" s="63">
        <v>1</v>
      </c>
      <c r="D1078" s="58">
        <f>+VLOOKUP(A1078,[1]Base!$A$11:$O$1318,15,FALSE)</f>
        <v>2.2084266232444531E-2</v>
      </c>
      <c r="E1078" s="58">
        <f>+VLOOKUP(A1078,[1]Base!$A$11:$R$1579,18,FALSE)</f>
        <v>2.7605332790555662E-2</v>
      </c>
      <c r="F1078">
        <f>+VLOOKUP(A1078,[1]Base!$A$11:$O$1264,15,FALSE)</f>
        <v>2.2084266232444531E-2</v>
      </c>
      <c r="G1078">
        <f t="shared" si="16"/>
        <v>1</v>
      </c>
    </row>
    <row r="1079" spans="1:7" x14ac:dyDescent="0.25">
      <c r="A1079" s="36" t="s">
        <v>1504</v>
      </c>
      <c r="B1079" s="37" t="s">
        <v>1505</v>
      </c>
      <c r="C1079" s="63">
        <v>1</v>
      </c>
      <c r="D1079" s="58">
        <f>+VLOOKUP(A1079,[1]Base!$A$11:$O$1318,15,FALSE)</f>
        <v>2.2084266232444531E-2</v>
      </c>
      <c r="E1079" s="58">
        <f>+VLOOKUP(A1079,[1]Base!$A$11:$R$1579,18,FALSE)</f>
        <v>2.7605332790555662E-2</v>
      </c>
      <c r="F1079">
        <f>+VLOOKUP(A1079,[1]Base!$A$11:$O$1264,15,FALSE)</f>
        <v>2.2084266232444531E-2</v>
      </c>
      <c r="G1079">
        <f t="shared" si="16"/>
        <v>1</v>
      </c>
    </row>
    <row r="1080" spans="1:7" x14ac:dyDescent="0.25">
      <c r="A1080" s="40" t="s">
        <v>1538</v>
      </c>
      <c r="B1080" s="35" t="s">
        <v>1539</v>
      </c>
      <c r="C1080" s="63">
        <v>1</v>
      </c>
      <c r="D1080" s="58">
        <f>+VLOOKUP(A1080,[1]Base!$A$11:$O$1318,15,FALSE)</f>
        <v>19.323732953388966</v>
      </c>
      <c r="E1080" s="58">
        <f>+VLOOKUP(A1080,[1]Base!$A$11:$R$1579,18,FALSE)</f>
        <v>24.154666191736204</v>
      </c>
      <c r="F1080">
        <f>+VLOOKUP(A1080,[1]Base!$A$11:$O$1264,15,FALSE)</f>
        <v>19.323732953388966</v>
      </c>
      <c r="G1080">
        <f t="shared" si="16"/>
        <v>1</v>
      </c>
    </row>
    <row r="1081" spans="1:7" x14ac:dyDescent="0.25">
      <c r="A1081" s="40" t="s">
        <v>1560</v>
      </c>
      <c r="B1081" s="35" t="s">
        <v>1561</v>
      </c>
      <c r="C1081" s="63">
        <v>6</v>
      </c>
      <c r="D1081" s="58">
        <f>+VLOOKUP(A1081,[1]Base!$A$11:$O$1318,15,FALSE)</f>
        <v>2.3819108035371004</v>
      </c>
      <c r="E1081" s="58">
        <f>+VLOOKUP(A1081,[1]Base!$A$11:$R$1579,18,FALSE)</f>
        <v>2.9773885044213753</v>
      </c>
      <c r="F1081">
        <f>+VLOOKUP(A1081,[1]Base!$A$11:$O$1264,15,FALSE)</f>
        <v>2.3819108035371004</v>
      </c>
      <c r="G1081">
        <f t="shared" si="16"/>
        <v>1</v>
      </c>
    </row>
    <row r="1082" spans="1:7" x14ac:dyDescent="0.25">
      <c r="A1082" s="36" t="s">
        <v>507</v>
      </c>
      <c r="B1082" s="35" t="s">
        <v>508</v>
      </c>
      <c r="C1082" s="63">
        <v>10</v>
      </c>
      <c r="D1082" s="58">
        <f>+VLOOKUP(A1082,[1]Base!$A$11:$O$1318,15,FALSE)</f>
        <v>0.81691336665385095</v>
      </c>
      <c r="E1082" s="58">
        <f>+VLOOKUP(A1082,[1]Base!$A$11:$R$1579,18,FALSE)</f>
        <v>1.0211417083173135</v>
      </c>
      <c r="F1082">
        <f>+VLOOKUP(A1082,[1]Base!$A$11:$O$1264,15,FALSE)</f>
        <v>0.81691336665385095</v>
      </c>
      <c r="G1082">
        <f t="shared" si="16"/>
        <v>1</v>
      </c>
    </row>
    <row r="1083" spans="1:7" x14ac:dyDescent="0.25">
      <c r="A1083" s="36" t="s">
        <v>752</v>
      </c>
      <c r="B1083" s="37" t="s">
        <v>753</v>
      </c>
      <c r="C1083" s="63">
        <v>1</v>
      </c>
      <c r="D1083" s="58">
        <f>+VLOOKUP(A1083,[1]Base!$A$11:$O$1318,15,FALSE)</f>
        <v>29.445688309926048</v>
      </c>
      <c r="E1083" s="58">
        <f>+VLOOKUP(A1083,[1]Base!$A$11:$R$1579,18,FALSE)</f>
        <v>36.807110387407555</v>
      </c>
      <c r="F1083">
        <f>+VLOOKUP(A1083,[1]Base!$A$11:$O$1264,15,FALSE)</f>
        <v>29.445688309926048</v>
      </c>
      <c r="G1083">
        <f t="shared" si="16"/>
        <v>1</v>
      </c>
    </row>
    <row r="1084" spans="1:7" x14ac:dyDescent="0.25">
      <c r="A1084" s="36" t="s">
        <v>756</v>
      </c>
      <c r="B1084" s="37" t="s">
        <v>757</v>
      </c>
      <c r="C1084" s="63">
        <v>1</v>
      </c>
      <c r="D1084" s="58">
        <f>+VLOOKUP(A1084,[1]Base!$A$11:$O$1318,15,FALSE)</f>
        <v>37.653673926317929</v>
      </c>
      <c r="E1084" s="58">
        <f>+VLOOKUP(A1084,[1]Base!$A$11:$R$1579,18,FALSE)</f>
        <v>47.067092407897405</v>
      </c>
      <c r="F1084">
        <f>+VLOOKUP(A1084,[1]Base!$A$11:$O$1264,15,FALSE)</f>
        <v>37.653673926317929</v>
      </c>
      <c r="G1084">
        <f t="shared" si="16"/>
        <v>1</v>
      </c>
    </row>
    <row r="1085" spans="1:7" x14ac:dyDescent="0.25">
      <c r="A1085" s="36" t="s">
        <v>760</v>
      </c>
      <c r="B1085" s="37" t="s">
        <v>761</v>
      </c>
      <c r="C1085" s="63">
        <v>1</v>
      </c>
      <c r="D1085" s="58">
        <f>+VLOOKUP(A1085,[1]Base!$A$11:$O$1318,15,FALSE)</f>
        <v>3.680711038740756</v>
      </c>
      <c r="E1085" s="58">
        <f>+VLOOKUP(A1085,[1]Base!$A$11:$R$1579,18,FALSE)</f>
        <v>4.6008887984259443</v>
      </c>
      <c r="F1085">
        <f>+VLOOKUP(A1085,[1]Base!$A$11:$O$1264,15,FALSE)</f>
        <v>3.680711038740756</v>
      </c>
      <c r="G1085">
        <f t="shared" si="16"/>
        <v>1</v>
      </c>
    </row>
    <row r="1086" spans="1:7" x14ac:dyDescent="0.25">
      <c r="A1086" s="36" t="s">
        <v>762</v>
      </c>
      <c r="B1086" s="37" t="s">
        <v>763</v>
      </c>
      <c r="C1086" s="63">
        <v>1</v>
      </c>
      <c r="D1086" s="58">
        <f>+VLOOKUP(A1086,[1]Base!$A$11:$O$1318,15,FALSE)</f>
        <v>3.680711038740756</v>
      </c>
      <c r="E1086" s="58">
        <f>+VLOOKUP(A1086,[1]Base!$A$11:$R$1579,18,FALSE)</f>
        <v>4.6008887984259443</v>
      </c>
      <c r="F1086">
        <f>+VLOOKUP(A1086,[1]Base!$A$11:$O$1264,15,FALSE)</f>
        <v>3.680711038740756</v>
      </c>
      <c r="G1086">
        <f t="shared" si="16"/>
        <v>1</v>
      </c>
    </row>
    <row r="1087" spans="1:7" x14ac:dyDescent="0.25">
      <c r="A1087" s="36" t="s">
        <v>798</v>
      </c>
      <c r="B1087" s="37" t="s">
        <v>799</v>
      </c>
      <c r="C1087" s="63">
        <v>6</v>
      </c>
      <c r="D1087" s="58">
        <f>+VLOOKUP(A1087,[1]Base!$A$11:$O$1318,15,FALSE)</f>
        <v>1.3986701947214868</v>
      </c>
      <c r="E1087" s="58">
        <f>+VLOOKUP(A1087,[1]Base!$A$11:$R$1579,18,FALSE)</f>
        <v>1.7483377434018583</v>
      </c>
      <c r="F1087">
        <f>+VLOOKUP(A1087,[1]Base!$A$11:$O$1264,15,FALSE)</f>
        <v>1.3986701947214868</v>
      </c>
      <c r="G1087">
        <f t="shared" si="16"/>
        <v>1</v>
      </c>
    </row>
    <row r="1088" spans="1:7" x14ac:dyDescent="0.25">
      <c r="A1088" s="36" t="s">
        <v>804</v>
      </c>
      <c r="B1088" s="37" t="s">
        <v>805</v>
      </c>
      <c r="C1088" s="63">
        <v>1</v>
      </c>
      <c r="D1088" s="58">
        <f>+VLOOKUP(A1088,[1]Base!$A$11:$O$1318,15,FALSE)</f>
        <v>0.4600888798425945</v>
      </c>
      <c r="E1088" s="58">
        <f>+VLOOKUP(A1088,[1]Base!$A$11:$R$1579,18,FALSE)</f>
        <v>0.57511109980324304</v>
      </c>
      <c r="F1088">
        <f>+VLOOKUP(A1088,[1]Base!$A$11:$O$1264,15,FALSE)</f>
        <v>0.4600888798425945</v>
      </c>
      <c r="G1088">
        <f t="shared" si="16"/>
        <v>1</v>
      </c>
    </row>
    <row r="1089" spans="1:7" x14ac:dyDescent="0.25">
      <c r="A1089" s="36" t="s">
        <v>828</v>
      </c>
      <c r="B1089" s="37" t="s">
        <v>829</v>
      </c>
      <c r="C1089" s="63">
        <v>1</v>
      </c>
      <c r="D1089" s="58">
        <f>+VLOOKUP(A1089,[1]Base!$A$11:$O$1318,15,FALSE)</f>
        <v>0.920177759685189</v>
      </c>
      <c r="E1089" s="58">
        <f>+VLOOKUP(A1089,[1]Base!$A$11:$R$1579,18,FALSE)</f>
        <v>1.1502221996064861</v>
      </c>
      <c r="F1089">
        <f>+VLOOKUP(A1089,[1]Base!$A$11:$O$1264,15,FALSE)</f>
        <v>0.920177759685189</v>
      </c>
      <c r="G1089">
        <f t="shared" si="16"/>
        <v>1</v>
      </c>
    </row>
    <row r="1090" spans="1:7" x14ac:dyDescent="0.25">
      <c r="A1090" s="36" t="s">
        <v>885</v>
      </c>
      <c r="B1090" s="37" t="s">
        <v>886</v>
      </c>
      <c r="C1090" s="63">
        <v>1</v>
      </c>
      <c r="D1090" s="58">
        <f>+VLOOKUP(A1090,[1]Base!$A$11:$O$1318,15,FALSE)</f>
        <v>34.067025503011656</v>
      </c>
      <c r="E1090" s="58">
        <f>+VLOOKUP(A1090,[1]Base!$A$11:$R$1579,18,FALSE)</f>
        <v>42.583781878764569</v>
      </c>
      <c r="F1090">
        <f>+VLOOKUP(A1090,[1]Base!$A$11:$O$1264,15,FALSE)</f>
        <v>34.067025503011656</v>
      </c>
      <c r="G1090">
        <f t="shared" si="16"/>
        <v>1</v>
      </c>
    </row>
    <row r="1091" spans="1:7" x14ac:dyDescent="0.25">
      <c r="A1091" s="36" t="s">
        <v>909</v>
      </c>
      <c r="B1091" s="37" t="s">
        <v>910</v>
      </c>
      <c r="C1091" s="63">
        <v>1</v>
      </c>
      <c r="D1091" s="58">
        <f>+VLOOKUP(A1091,[1]Base!$A$11:$O$1318,15,FALSE)</f>
        <v>45.712386261694213</v>
      </c>
      <c r="E1091" s="58">
        <f>+VLOOKUP(A1091,[1]Base!$A$11:$R$1579,18,FALSE)</f>
        <v>57.140482827117765</v>
      </c>
      <c r="F1091">
        <f>+VLOOKUP(A1091,[1]Base!$A$11:$O$1264,15,FALSE)</f>
        <v>45.712386261694213</v>
      </c>
      <c r="G1091">
        <f t="shared" si="16"/>
        <v>1</v>
      </c>
    </row>
    <row r="1092" spans="1:7" x14ac:dyDescent="0.25">
      <c r="A1092" s="36" t="s">
        <v>911</v>
      </c>
      <c r="B1092" s="37" t="s">
        <v>912</v>
      </c>
      <c r="C1092" s="63">
        <v>1</v>
      </c>
      <c r="D1092" s="58">
        <f>+VLOOKUP(A1092,[1]Base!$A$11:$O$1318,15,FALSE)</f>
        <v>51.448160963731894</v>
      </c>
      <c r="E1092" s="58">
        <f>+VLOOKUP(A1092,[1]Base!$A$11:$R$1579,18,FALSE)</f>
        <v>64.310201204664864</v>
      </c>
      <c r="F1092">
        <f>+VLOOKUP(A1092,[1]Base!$A$11:$O$1264,15,FALSE)</f>
        <v>51.448160963731894</v>
      </c>
      <c r="G1092">
        <f t="shared" ref="G1092:G1155" si="17">+F1092/D1092</f>
        <v>1</v>
      </c>
    </row>
    <row r="1093" spans="1:7" x14ac:dyDescent="0.25">
      <c r="A1093" s="36" t="s">
        <v>923</v>
      </c>
      <c r="B1093" s="37" t="s">
        <v>924</v>
      </c>
      <c r="C1093" s="63">
        <v>1</v>
      </c>
      <c r="D1093" s="58">
        <f>+VLOOKUP(A1093,[1]Base!$A$11:$O$1318,15,FALSE)</f>
        <v>5.3012463155196725</v>
      </c>
      <c r="E1093" s="58">
        <f>+VLOOKUP(A1093,[1]Base!$A$11:$R$1579,18,FALSE)</f>
        <v>6.62655789439959</v>
      </c>
      <c r="F1093">
        <f>+VLOOKUP(A1093,[1]Base!$A$11:$O$1264,15,FALSE)</f>
        <v>5.3012463155196725</v>
      </c>
      <c r="G1093">
        <f t="shared" si="17"/>
        <v>1</v>
      </c>
    </row>
    <row r="1094" spans="1:7" x14ac:dyDescent="0.25">
      <c r="A1094" s="36" t="s">
        <v>1037</v>
      </c>
      <c r="B1094" s="37" t="s">
        <v>1038</v>
      </c>
      <c r="C1094" s="63">
        <v>1</v>
      </c>
      <c r="D1094" s="58">
        <f>+VLOOKUP(A1094,[1]Base!$A$11:$O$1318,15,FALSE)</f>
        <v>6.4780514281837301E-2</v>
      </c>
      <c r="E1094" s="58">
        <f>+VLOOKUP(A1094,[1]Base!$A$11:$R$1579,18,FALSE)</f>
        <v>8.0975642852296623E-2</v>
      </c>
      <c r="F1094">
        <f>+VLOOKUP(A1094,[1]Base!$A$11:$O$1264,15,FALSE)</f>
        <v>6.4780514281837301E-2</v>
      </c>
      <c r="G1094">
        <f t="shared" si="17"/>
        <v>1</v>
      </c>
    </row>
    <row r="1095" spans="1:7" x14ac:dyDescent="0.25">
      <c r="A1095" s="36" t="s">
        <v>1067</v>
      </c>
      <c r="B1095" s="52" t="s">
        <v>1068</v>
      </c>
      <c r="C1095" s="63">
        <v>1</v>
      </c>
      <c r="D1095" s="58">
        <f>+VLOOKUP(A1095,[1]Base!$A$11:$O$1318,15,FALSE)</f>
        <v>0.20228897286468764</v>
      </c>
      <c r="E1095" s="58">
        <f>+VLOOKUP(A1095,[1]Base!$A$11:$R$1579,18,FALSE)</f>
        <v>0.25286121608085954</v>
      </c>
      <c r="F1095">
        <f>+VLOOKUP(A1095,[1]Base!$A$11:$O$1264,15,FALSE)</f>
        <v>0.20228897286468764</v>
      </c>
      <c r="G1095">
        <f t="shared" si="17"/>
        <v>1</v>
      </c>
    </row>
    <row r="1096" spans="1:7" x14ac:dyDescent="0.25">
      <c r="A1096" s="36" t="s">
        <v>1073</v>
      </c>
      <c r="B1096" s="54" t="s">
        <v>1074</v>
      </c>
      <c r="C1096" s="63">
        <v>1</v>
      </c>
      <c r="D1096" s="58">
        <f>+VLOOKUP(A1096,[1]Base!$A$11:$O$1318,15,FALSE)</f>
        <v>0.53511484702240031</v>
      </c>
      <c r="E1096" s="58">
        <f>+VLOOKUP(A1096,[1]Base!$A$11:$R$1579,18,FALSE)</f>
        <v>0.66889355877800039</v>
      </c>
      <c r="F1096">
        <f>+VLOOKUP(A1096,[1]Base!$A$11:$O$1264,15,FALSE)</f>
        <v>0.53511484702240031</v>
      </c>
      <c r="G1096">
        <f t="shared" si="17"/>
        <v>1</v>
      </c>
    </row>
    <row r="1097" spans="1:7" x14ac:dyDescent="0.25">
      <c r="A1097" s="36" t="s">
        <v>1089</v>
      </c>
      <c r="B1097" s="37" t="s">
        <v>1090</v>
      </c>
      <c r="C1097" s="63">
        <v>1</v>
      </c>
      <c r="D1097" s="58">
        <f>+VLOOKUP(A1097,[1]Base!$A$11:$O$1318,15,FALSE)</f>
        <v>0.11290145237661629</v>
      </c>
      <c r="E1097" s="58">
        <f>+VLOOKUP(A1097,[1]Base!$A$11:$R$1579,18,FALSE)</f>
        <v>0.14112681547077036</v>
      </c>
      <c r="F1097">
        <f>+VLOOKUP(A1097,[1]Base!$A$11:$O$1264,15,FALSE)</f>
        <v>0.11290145237661629</v>
      </c>
      <c r="G1097">
        <f t="shared" si="17"/>
        <v>1</v>
      </c>
    </row>
    <row r="1098" spans="1:7" x14ac:dyDescent="0.25">
      <c r="A1098" s="36" t="s">
        <v>1091</v>
      </c>
      <c r="B1098" s="37" t="s">
        <v>1092</v>
      </c>
      <c r="C1098" s="63">
        <v>1</v>
      </c>
      <c r="D1098" s="58">
        <f>+VLOOKUP(A1098,[1]Base!$A$11:$O$1318,15,FALSE)</f>
        <v>0.11290145237661629</v>
      </c>
      <c r="E1098" s="58">
        <f>+VLOOKUP(A1098,[1]Base!$A$11:$R$1579,18,FALSE)</f>
        <v>0.14112681547077036</v>
      </c>
      <c r="F1098">
        <f>+VLOOKUP(A1098,[1]Base!$A$11:$O$1264,15,FALSE)</f>
        <v>0.11290145237661629</v>
      </c>
      <c r="G1098">
        <f t="shared" si="17"/>
        <v>1</v>
      </c>
    </row>
    <row r="1099" spans="1:7" x14ac:dyDescent="0.25">
      <c r="A1099" s="36" t="s">
        <v>1117</v>
      </c>
      <c r="B1099" s="37" t="s">
        <v>1118</v>
      </c>
      <c r="C1099" s="63">
        <v>1</v>
      </c>
      <c r="D1099" s="58">
        <f>+VLOOKUP(A1099,[1]Base!$A$11:$O$1318,15,FALSE)</f>
        <v>1.0421728822247851</v>
      </c>
      <c r="E1099" s="58">
        <f>+VLOOKUP(A1099,[1]Base!$A$11:$R$1579,18,FALSE)</f>
        <v>1.3027161027809813</v>
      </c>
      <c r="F1099">
        <f>+VLOOKUP(A1099,[1]Base!$A$11:$O$1264,15,FALSE)</f>
        <v>1.0421728822247851</v>
      </c>
      <c r="G1099">
        <f t="shared" si="17"/>
        <v>1</v>
      </c>
    </row>
    <row r="1100" spans="1:7" x14ac:dyDescent="0.25">
      <c r="A1100" s="36" t="s">
        <v>1171</v>
      </c>
      <c r="B1100" s="55" t="s">
        <v>1172</v>
      </c>
      <c r="C1100" s="63">
        <v>100</v>
      </c>
      <c r="D1100" s="58">
        <f>+VLOOKUP(A1100,[1]Base!$A$11:$O$1318,15,FALSE)</f>
        <v>1.680060553633218</v>
      </c>
      <c r="E1100" s="58">
        <f>+VLOOKUP(A1100,[1]Base!$A$11:$R$1579,18,FALSE)</f>
        <v>2.1000756920415222</v>
      </c>
      <c r="F1100">
        <f>+VLOOKUP(A1100,[1]Base!$A$11:$O$1264,15,FALSE)</f>
        <v>1.680060553633218</v>
      </c>
      <c r="G1100">
        <f t="shared" si="17"/>
        <v>1</v>
      </c>
    </row>
    <row r="1101" spans="1:7" x14ac:dyDescent="0.25">
      <c r="A1101" s="36" t="s">
        <v>1181</v>
      </c>
      <c r="B1101" s="37" t="s">
        <v>1182</v>
      </c>
      <c r="C1101" s="63">
        <v>1</v>
      </c>
      <c r="D1101" s="58">
        <f>+VLOOKUP(A1101,[1]Base!$A$11:$O$1318,15,FALSE)</f>
        <v>3.680711038740756</v>
      </c>
      <c r="E1101" s="58">
        <f>+VLOOKUP(A1101,[1]Base!$A$11:$R$1579,18,FALSE)</f>
        <v>4.6008887984259443</v>
      </c>
      <c r="F1101">
        <f>+VLOOKUP(A1101,[1]Base!$A$11:$O$1264,15,FALSE)</f>
        <v>3.680711038740756</v>
      </c>
      <c r="G1101">
        <f t="shared" si="17"/>
        <v>1</v>
      </c>
    </row>
    <row r="1102" spans="1:7" x14ac:dyDescent="0.25">
      <c r="A1102" s="36" t="s">
        <v>1183</v>
      </c>
      <c r="B1102" s="37" t="s">
        <v>1184</v>
      </c>
      <c r="C1102" s="63">
        <v>1</v>
      </c>
      <c r="D1102" s="58">
        <f>+VLOOKUP(A1102,[1]Base!$A$11:$O$1318,15,FALSE)</f>
        <v>1.840355519370378</v>
      </c>
      <c r="E1102" s="58">
        <f>+VLOOKUP(A1102,[1]Base!$A$11:$R$1579,18,FALSE)</f>
        <v>2.3004443992129722</v>
      </c>
      <c r="F1102">
        <f>+VLOOKUP(A1102,[1]Base!$A$11:$O$1264,15,FALSE)</f>
        <v>1.840355519370378</v>
      </c>
      <c r="G1102">
        <f t="shared" si="17"/>
        <v>1</v>
      </c>
    </row>
    <row r="1103" spans="1:7" x14ac:dyDescent="0.25">
      <c r="A1103" s="36" t="s">
        <v>1213</v>
      </c>
      <c r="B1103" s="37" t="s">
        <v>1214</v>
      </c>
      <c r="C1103" s="63">
        <v>1</v>
      </c>
      <c r="D1103" s="58">
        <f>+VLOOKUP(A1103,[1]Base!$A$11:$O$1318,15,FALSE)</f>
        <v>0.46929065743944626</v>
      </c>
      <c r="E1103" s="58">
        <f>+VLOOKUP(A1103,[1]Base!$A$11:$R$1579,18,FALSE)</f>
        <v>0.58661332179930781</v>
      </c>
      <c r="F1103">
        <f>+VLOOKUP(A1103,[1]Base!$A$11:$O$1264,15,FALSE)</f>
        <v>0.46929065743944626</v>
      </c>
      <c r="G1103">
        <f t="shared" si="17"/>
        <v>1</v>
      </c>
    </row>
    <row r="1104" spans="1:7" x14ac:dyDescent="0.25">
      <c r="A1104" s="36" t="s">
        <v>1231</v>
      </c>
      <c r="B1104" s="37" t="s">
        <v>1232</v>
      </c>
      <c r="C1104" s="63">
        <v>1</v>
      </c>
      <c r="D1104" s="58">
        <f>+VLOOKUP(A1104,[1]Base!$A$11:$O$1318,15,FALSE)</f>
        <v>10.602492631039345</v>
      </c>
      <c r="E1104" s="58">
        <f>+VLOOKUP(A1104,[1]Base!$A$11:$R$1579,18,FALSE)</f>
        <v>13.25311578879918</v>
      </c>
      <c r="F1104">
        <f>+VLOOKUP(A1104,[1]Base!$A$11:$O$1264,15,FALSE)</f>
        <v>10.602492631039345</v>
      </c>
      <c r="G1104">
        <f t="shared" si="17"/>
        <v>1</v>
      </c>
    </row>
    <row r="1105" spans="1:7" x14ac:dyDescent="0.25">
      <c r="A1105" s="36" t="s">
        <v>1235</v>
      </c>
      <c r="B1105" s="37" t="s">
        <v>1236</v>
      </c>
      <c r="C1105" s="63">
        <v>1</v>
      </c>
      <c r="D1105" s="58">
        <f>+VLOOKUP(A1105,[1]Base!$A$11:$O$1318,15,FALSE)</f>
        <v>35.631327694476482</v>
      </c>
      <c r="E1105" s="58">
        <f>+VLOOKUP(A1105,[1]Base!$A$11:$R$1579,18,FALSE)</f>
        <v>44.539159618095603</v>
      </c>
      <c r="F1105">
        <f>+VLOOKUP(A1105,[1]Base!$A$11:$O$1264,15,FALSE)</f>
        <v>35.631327694476482</v>
      </c>
      <c r="G1105">
        <f t="shared" si="17"/>
        <v>1</v>
      </c>
    </row>
    <row r="1106" spans="1:7" x14ac:dyDescent="0.25">
      <c r="A1106" s="36" t="s">
        <v>1256</v>
      </c>
      <c r="B1106" s="37" t="s">
        <v>1257</v>
      </c>
      <c r="C1106" s="63">
        <v>100</v>
      </c>
      <c r="D1106" s="58">
        <f>+VLOOKUP(A1106,[1]Base!$A$11:$O$1318,15,FALSE)</f>
        <v>0.85521320985141458</v>
      </c>
      <c r="E1106" s="58">
        <f>+VLOOKUP(A1106,[1]Base!$A$11:$R$1579,18,FALSE)</f>
        <v>1.0690165123142681</v>
      </c>
      <c r="F1106">
        <f>+VLOOKUP(A1106,[1]Base!$A$11:$O$1264,15,FALSE)</f>
        <v>0.85521320985141458</v>
      </c>
      <c r="G1106">
        <f t="shared" si="17"/>
        <v>1</v>
      </c>
    </row>
    <row r="1107" spans="1:7" x14ac:dyDescent="0.25">
      <c r="A1107" s="36" t="s">
        <v>1266</v>
      </c>
      <c r="B1107" s="37" t="s">
        <v>1267</v>
      </c>
      <c r="C1107" s="63">
        <v>1</v>
      </c>
      <c r="D1107" s="58">
        <f>+VLOOKUP(A1107,[1]Base!$A$11:$O$1318,15,FALSE)</f>
        <v>0.54327294931813552</v>
      </c>
      <c r="E1107" s="58">
        <f>+VLOOKUP(A1107,[1]Base!$A$11:$R$1579,18,FALSE)</f>
        <v>0.67909118664766932</v>
      </c>
      <c r="F1107">
        <f>+VLOOKUP(A1107,[1]Base!$A$11:$O$1264,15,FALSE)</f>
        <v>0.54327294931813552</v>
      </c>
      <c r="G1107">
        <f t="shared" si="17"/>
        <v>1</v>
      </c>
    </row>
    <row r="1108" spans="1:7" x14ac:dyDescent="0.25">
      <c r="A1108" s="36" t="s">
        <v>1276</v>
      </c>
      <c r="B1108" s="37" t="s">
        <v>1277</v>
      </c>
      <c r="C1108" s="63">
        <v>1</v>
      </c>
      <c r="D1108" s="58">
        <f>+VLOOKUP(A1108,[1]Base!$A$11:$O$1318,15,FALSE)</f>
        <v>0.25102449284211953</v>
      </c>
      <c r="E1108" s="58">
        <f>+VLOOKUP(A1108,[1]Base!$A$11:$R$1579,18,FALSE)</f>
        <v>0.3137806160526494</v>
      </c>
      <c r="F1108">
        <f>+VLOOKUP(A1108,[1]Base!$A$11:$O$1264,15,FALSE)</f>
        <v>0.25102449284211953</v>
      </c>
      <c r="G1108">
        <f t="shared" si="17"/>
        <v>1</v>
      </c>
    </row>
    <row r="1109" spans="1:7" x14ac:dyDescent="0.25">
      <c r="A1109" s="36" t="s">
        <v>25</v>
      </c>
      <c r="B1109" s="37" t="s">
        <v>54</v>
      </c>
      <c r="C1109" s="63">
        <v>1</v>
      </c>
      <c r="D1109" s="58">
        <f>+VLOOKUP(A1109,[1]Base!$A$11:$O$1318,15,FALSE)</f>
        <v>0.11502221996064863</v>
      </c>
      <c r="E1109" s="58">
        <f>+VLOOKUP(A1109,[1]Base!$A$11:$R$1579,18,FALSE)</f>
        <v>0.14377777495081076</v>
      </c>
      <c r="F1109">
        <f>+VLOOKUP(A1109,[1]Base!$A$11:$O$1264,15,FALSE)</f>
        <v>0.11502221996064863</v>
      </c>
      <c r="G1109">
        <f t="shared" si="17"/>
        <v>1</v>
      </c>
    </row>
    <row r="1110" spans="1:7" x14ac:dyDescent="0.25">
      <c r="A1110" s="36" t="s">
        <v>1304</v>
      </c>
      <c r="B1110" s="37" t="s">
        <v>1305</v>
      </c>
      <c r="C1110" s="63">
        <v>1</v>
      </c>
      <c r="D1110" s="58">
        <f>+VLOOKUP(A1110,[1]Base!$A$11:$O$1318,15,FALSE)</f>
        <v>0.11502221996064863</v>
      </c>
      <c r="E1110" s="58">
        <f>+VLOOKUP(A1110,[1]Base!$A$11:$R$1579,18,FALSE)</f>
        <v>0.14377777495081076</v>
      </c>
      <c r="F1110">
        <f>+VLOOKUP(A1110,[1]Base!$A$11:$O$1264,15,FALSE)</f>
        <v>0.11502221996064863</v>
      </c>
      <c r="G1110">
        <f t="shared" si="17"/>
        <v>1</v>
      </c>
    </row>
    <row r="1111" spans="1:7" x14ac:dyDescent="0.25">
      <c r="A1111" s="36" t="s">
        <v>24</v>
      </c>
      <c r="B1111" s="37" t="s">
        <v>51</v>
      </c>
      <c r="C1111" s="63">
        <v>1</v>
      </c>
      <c r="D1111" s="58">
        <f>+VLOOKUP(A1111,[1]Base!$A$11:$O$1318,15,FALSE)</f>
        <v>1.7115306330144515</v>
      </c>
      <c r="E1111" s="58">
        <f>+VLOOKUP(A1111,[1]Base!$A$11:$R$1579,18,FALSE)</f>
        <v>2.1394132912680641</v>
      </c>
      <c r="F1111">
        <f>+VLOOKUP(A1111,[1]Base!$A$11:$O$1264,15,FALSE)</f>
        <v>1.7115306330144515</v>
      </c>
      <c r="G1111">
        <f t="shared" si="17"/>
        <v>1</v>
      </c>
    </row>
    <row r="1112" spans="1:7" x14ac:dyDescent="0.25">
      <c r="A1112" s="36" t="s">
        <v>1314</v>
      </c>
      <c r="B1112" s="37" t="s">
        <v>1315</v>
      </c>
      <c r="C1112" s="63">
        <v>1</v>
      </c>
      <c r="D1112" s="58">
        <f>+VLOOKUP(A1112,[1]Base!$A$11:$O$1318,15,FALSE)</f>
        <v>6.9933509736074345E-2</v>
      </c>
      <c r="E1112" s="58">
        <f>+VLOOKUP(A1112,[1]Base!$A$11:$R$1579,18,FALSE)</f>
        <v>8.7416887170092925E-2</v>
      </c>
      <c r="F1112">
        <f>+VLOOKUP(A1112,[1]Base!$A$11:$O$1264,15,FALSE)</f>
        <v>6.9933509736074345E-2</v>
      </c>
      <c r="G1112">
        <f t="shared" si="17"/>
        <v>1</v>
      </c>
    </row>
    <row r="1113" spans="1:7" x14ac:dyDescent="0.25">
      <c r="A1113" s="36" t="s">
        <v>1450</v>
      </c>
      <c r="B1113" s="37" t="s">
        <v>1451</v>
      </c>
      <c r="C1113" s="63">
        <v>1</v>
      </c>
      <c r="D1113" s="58">
        <f>+VLOOKUP(A1113,[1]Base!$A$11:$O$1318,15,FALSE)</f>
        <v>6.9933509736074345E-2</v>
      </c>
      <c r="E1113" s="58">
        <f>+VLOOKUP(A1113,[1]Base!$A$11:$R$1579,18,FALSE)</f>
        <v>8.7416887170092925E-2</v>
      </c>
      <c r="F1113">
        <f>+VLOOKUP(A1113,[1]Base!$A$11:$O$1264,15,FALSE)</f>
        <v>6.9933509736074345E-2</v>
      </c>
      <c r="G1113">
        <f t="shared" si="17"/>
        <v>1</v>
      </c>
    </row>
    <row r="1114" spans="1:7" x14ac:dyDescent="0.25">
      <c r="A1114" s="36" t="s">
        <v>1466</v>
      </c>
      <c r="B1114" s="37" t="s">
        <v>1467</v>
      </c>
      <c r="C1114" s="63">
        <v>1</v>
      </c>
      <c r="D1114" s="58">
        <f>+VLOOKUP(A1114,[1]Base!$A$11:$O$1318,15,FALSE)</f>
        <v>8.7416887170092925E-2</v>
      </c>
      <c r="E1114" s="58">
        <f>+VLOOKUP(A1114,[1]Base!$A$11:$R$1579,18,FALSE)</f>
        <v>0.10927110896261615</v>
      </c>
      <c r="F1114">
        <f>+VLOOKUP(A1114,[1]Base!$A$11:$O$1264,15,FALSE)</f>
        <v>8.7416887170092925E-2</v>
      </c>
      <c r="G1114">
        <f t="shared" si="17"/>
        <v>1</v>
      </c>
    </row>
    <row r="1115" spans="1:7" x14ac:dyDescent="0.25">
      <c r="A1115" s="36" t="s">
        <v>1476</v>
      </c>
      <c r="B1115" s="37" t="s">
        <v>1477</v>
      </c>
      <c r="C1115" s="63">
        <v>1</v>
      </c>
      <c r="D1115" s="58">
        <f>+VLOOKUP(A1115,[1]Base!$A$11:$O$1318,15,FALSE)</f>
        <v>0.17483377434018585</v>
      </c>
      <c r="E1115" s="58">
        <f>+VLOOKUP(A1115,[1]Base!$A$11:$R$1579,18,FALSE)</f>
        <v>0.21854221792523229</v>
      </c>
      <c r="F1115">
        <f>+VLOOKUP(A1115,[1]Base!$A$11:$O$1264,15,FALSE)</f>
        <v>0.17483377434018585</v>
      </c>
      <c r="G1115">
        <f t="shared" si="17"/>
        <v>1</v>
      </c>
    </row>
    <row r="1116" spans="1:7" x14ac:dyDescent="0.25">
      <c r="A1116" s="36" t="s">
        <v>1484</v>
      </c>
      <c r="B1116" s="37" t="s">
        <v>1485</v>
      </c>
      <c r="C1116" s="63">
        <v>1</v>
      </c>
      <c r="D1116" s="58">
        <f>+VLOOKUP(A1116,[1]Base!$A$11:$O$1318,15,FALSE)</f>
        <v>6.9933509736074345E-2</v>
      </c>
      <c r="E1116" s="58">
        <f>+VLOOKUP(A1116,[1]Base!$A$11:$R$1579,18,FALSE)</f>
        <v>8.7416887170092925E-2</v>
      </c>
      <c r="F1116">
        <f>+VLOOKUP(A1116,[1]Base!$A$11:$O$1264,15,FALSE)</f>
        <v>6.9933509736074345E-2</v>
      </c>
      <c r="G1116">
        <f t="shared" si="17"/>
        <v>1</v>
      </c>
    </row>
    <row r="1117" spans="1:7" x14ac:dyDescent="0.25">
      <c r="A1117" s="36" t="s">
        <v>1522</v>
      </c>
      <c r="B1117" s="37" t="s">
        <v>1523</v>
      </c>
      <c r="C1117" s="63">
        <v>1</v>
      </c>
      <c r="D1117" s="58">
        <f>+VLOOKUP(A1117,[1]Base!$A$11:$O$1318,15,FALSE)</f>
        <v>0.11410204220096344</v>
      </c>
      <c r="E1117" s="58">
        <f>+VLOOKUP(A1117,[1]Base!$A$11:$R$1579,18,FALSE)</f>
        <v>0.14262755275120428</v>
      </c>
      <c r="F1117">
        <f>+VLOOKUP(A1117,[1]Base!$A$11:$O$1264,15,FALSE)</f>
        <v>0.11410204220096344</v>
      </c>
      <c r="G1117">
        <f t="shared" si="17"/>
        <v>1</v>
      </c>
    </row>
    <row r="1118" spans="1:7" x14ac:dyDescent="0.25">
      <c r="A1118" s="36" t="s">
        <v>1524</v>
      </c>
      <c r="B1118" s="37" t="s">
        <v>1525</v>
      </c>
      <c r="C1118" s="63">
        <v>1</v>
      </c>
      <c r="D1118" s="58">
        <f>+VLOOKUP(A1118,[1]Base!$A$11:$O$1318,15,FALSE)</f>
        <v>0.11410204220096344</v>
      </c>
      <c r="E1118" s="58">
        <f>+VLOOKUP(A1118,[1]Base!$A$11:$R$1579,18,FALSE)</f>
        <v>0.14262755275120428</v>
      </c>
      <c r="F1118">
        <f>+VLOOKUP(A1118,[1]Base!$A$11:$O$1264,15,FALSE)</f>
        <v>0.11410204220096344</v>
      </c>
      <c r="G1118">
        <f t="shared" si="17"/>
        <v>1</v>
      </c>
    </row>
    <row r="1119" spans="1:7" x14ac:dyDescent="0.25">
      <c r="A1119" s="40" t="s">
        <v>19</v>
      </c>
      <c r="B1119" s="35" t="s">
        <v>43</v>
      </c>
      <c r="C1119" s="63">
        <v>1</v>
      </c>
      <c r="D1119" s="58">
        <f>+VLOOKUP(A1119,[1]Base!$A$11:$O$1318,15,FALSE)</f>
        <v>7.361422077481512</v>
      </c>
      <c r="E1119" s="58">
        <f>+VLOOKUP(A1119,[1]Base!$A$11:$R$1579,18,FALSE)</f>
        <v>9.2017775968518887</v>
      </c>
      <c r="F1119">
        <f>+VLOOKUP(A1119,[1]Base!$A$11:$O$1264,15,FALSE)</f>
        <v>7.361422077481512</v>
      </c>
      <c r="G1119">
        <f t="shared" si="17"/>
        <v>1</v>
      </c>
    </row>
    <row r="1120" spans="1:7" x14ac:dyDescent="0.25">
      <c r="A1120" s="40" t="s">
        <v>1546</v>
      </c>
      <c r="B1120" s="35" t="s">
        <v>1547</v>
      </c>
      <c r="C1120" s="63">
        <v>1</v>
      </c>
      <c r="D1120" s="58">
        <f>+VLOOKUP(A1120,[1]Base!$A$11:$O$1318,15,FALSE)</f>
        <v>1.840355519370378</v>
      </c>
      <c r="E1120" s="58">
        <f>+VLOOKUP(A1120,[1]Base!$A$11:$R$1579,18,FALSE)</f>
        <v>2.3004443992129722</v>
      </c>
      <c r="F1120">
        <f>+VLOOKUP(A1120,[1]Base!$A$11:$O$1264,15,FALSE)</f>
        <v>1.840355519370378</v>
      </c>
      <c r="G1120">
        <f t="shared" si="17"/>
        <v>1</v>
      </c>
    </row>
    <row r="1121" spans="1:7" x14ac:dyDescent="0.25">
      <c r="A1121" s="36" t="s">
        <v>521</v>
      </c>
      <c r="B1121" s="35" t="s">
        <v>522</v>
      </c>
      <c r="C1121" s="63">
        <v>4</v>
      </c>
      <c r="D1121" s="58">
        <f>+VLOOKUP(A1121,[1]Base!$A$11:$O$1318,15,FALSE)</f>
        <v>9.5596245033961288E-2</v>
      </c>
      <c r="E1121" s="58">
        <f>+VLOOKUP(A1121,[1]Base!$A$11:$R$1579,18,FALSE)</f>
        <v>0.1194953062924516</v>
      </c>
      <c r="F1121">
        <f>+VLOOKUP(A1121,[1]Base!$A$11:$O$1264,15,FALSE)</f>
        <v>9.5596245033961288E-2</v>
      </c>
      <c r="G1121">
        <f t="shared" si="17"/>
        <v>1</v>
      </c>
    </row>
    <row r="1122" spans="1:7" x14ac:dyDescent="0.25">
      <c r="A1122" s="36" t="s">
        <v>790</v>
      </c>
      <c r="B1122" s="37" t="s">
        <v>791</v>
      </c>
      <c r="C1122" s="63">
        <v>1</v>
      </c>
      <c r="D1122" s="58">
        <f>+VLOOKUP(A1122,[1]Base!$A$11:$O$1318,15,FALSE)</f>
        <v>0.19119249006792258</v>
      </c>
      <c r="E1122" s="58">
        <f>+VLOOKUP(A1122,[1]Base!$A$11:$R$1579,18,FALSE)</f>
        <v>0.2389906125849032</v>
      </c>
      <c r="F1122">
        <f>+VLOOKUP(A1122,[1]Base!$A$11:$O$1264,15,FALSE)</f>
        <v>0.19119249006792258</v>
      </c>
      <c r="G1122">
        <f t="shared" si="17"/>
        <v>1</v>
      </c>
    </row>
    <row r="1123" spans="1:7" x14ac:dyDescent="0.25">
      <c r="A1123" s="36" t="s">
        <v>820</v>
      </c>
      <c r="B1123" s="37" t="s">
        <v>821</v>
      </c>
      <c r="C1123" s="63">
        <v>1</v>
      </c>
      <c r="D1123" s="58">
        <f>+VLOOKUP(A1123,[1]Base!$A$11:$O$1318,15,FALSE)</f>
        <v>0.8281599837166701</v>
      </c>
      <c r="E1123" s="58">
        <f>+VLOOKUP(A1123,[1]Base!$A$11:$R$1579,18,FALSE)</f>
        <v>1.0351999796458375</v>
      </c>
      <c r="F1123">
        <f>+VLOOKUP(A1123,[1]Base!$A$11:$O$1264,15,FALSE)</f>
        <v>0.8281599837166701</v>
      </c>
      <c r="G1123">
        <f t="shared" si="17"/>
        <v>1</v>
      </c>
    </row>
    <row r="1124" spans="1:7" x14ac:dyDescent="0.25">
      <c r="A1124" s="36" t="s">
        <v>822</v>
      </c>
      <c r="B1124" s="37" t="s">
        <v>823</v>
      </c>
      <c r="C1124" s="63">
        <v>1</v>
      </c>
      <c r="D1124" s="58">
        <f>+VLOOKUP(A1124,[1]Base!$A$11:$O$1318,15,FALSE)</f>
        <v>1.6563199674333402</v>
      </c>
      <c r="E1124" s="58">
        <f>+VLOOKUP(A1124,[1]Base!$A$11:$R$1579,18,FALSE)</f>
        <v>2.0703999592916751</v>
      </c>
      <c r="F1124">
        <f>+VLOOKUP(A1124,[1]Base!$A$11:$O$1264,15,FALSE)</f>
        <v>1.6563199674333402</v>
      </c>
      <c r="G1124">
        <f t="shared" si="17"/>
        <v>1</v>
      </c>
    </row>
    <row r="1125" spans="1:7" x14ac:dyDescent="0.25">
      <c r="A1125" s="36" t="s">
        <v>832</v>
      </c>
      <c r="B1125" s="37" t="s">
        <v>833</v>
      </c>
      <c r="C1125" s="63">
        <v>1</v>
      </c>
      <c r="D1125" s="58">
        <f>+VLOOKUP(A1125,[1]Base!$A$11:$O$1318,15,FALSE)</f>
        <v>7.0853687495759541</v>
      </c>
      <c r="E1125" s="58">
        <f>+VLOOKUP(A1125,[1]Base!$A$11:$R$1579,18,FALSE)</f>
        <v>8.8567109369699413</v>
      </c>
      <c r="F1125">
        <f>+VLOOKUP(A1125,[1]Base!$A$11:$O$1264,15,FALSE)</f>
        <v>7.0853687495759541</v>
      </c>
      <c r="G1125">
        <f t="shared" si="17"/>
        <v>1</v>
      </c>
    </row>
    <row r="1126" spans="1:7" x14ac:dyDescent="0.25">
      <c r="A1126" s="36" t="s">
        <v>836</v>
      </c>
      <c r="B1126" s="37" t="s">
        <v>837</v>
      </c>
      <c r="C1126" s="63">
        <v>1</v>
      </c>
      <c r="D1126" s="58">
        <f>+VLOOKUP(A1126,[1]Base!$A$11:$O$1318,15,FALSE)</f>
        <v>0.12882488635592645</v>
      </c>
      <c r="E1126" s="58">
        <f>+VLOOKUP(A1126,[1]Base!$A$11:$R$1579,18,FALSE)</f>
        <v>0.16103110794490805</v>
      </c>
      <c r="F1126">
        <f>+VLOOKUP(A1126,[1]Base!$A$11:$O$1264,15,FALSE)</f>
        <v>0.12882488635592645</v>
      </c>
      <c r="G1126">
        <f t="shared" si="17"/>
        <v>1</v>
      </c>
    </row>
    <row r="1127" spans="1:7" x14ac:dyDescent="0.25">
      <c r="A1127" s="36" t="s">
        <v>871</v>
      </c>
      <c r="B1127" s="49" t="s">
        <v>872</v>
      </c>
      <c r="C1127" s="62">
        <v>1</v>
      </c>
      <c r="D1127" s="58">
        <f>+VLOOKUP(A1127,[1]Base!$A$11:$O$1318,15,FALSE)</f>
        <v>9.5596245033961288E-2</v>
      </c>
      <c r="E1127" s="58">
        <f>+VLOOKUP(A1127,[1]Base!$A$11:$R$1579,18,FALSE)</f>
        <v>0.1194953062924516</v>
      </c>
      <c r="F1127">
        <f>+VLOOKUP(A1127,[1]Base!$A$11:$O$1264,15,FALSE)</f>
        <v>9.5596245033961288E-2</v>
      </c>
      <c r="G1127">
        <f t="shared" si="17"/>
        <v>1</v>
      </c>
    </row>
    <row r="1128" spans="1:7" x14ac:dyDescent="0.25">
      <c r="A1128" s="36" t="s">
        <v>873</v>
      </c>
      <c r="B1128" s="49" t="s">
        <v>874</v>
      </c>
      <c r="C1128" s="62">
        <v>1</v>
      </c>
      <c r="D1128" s="58">
        <f>+VLOOKUP(A1128,[1]Base!$A$11:$O$1318,15,FALSE)</f>
        <v>9.5596245033961288E-2</v>
      </c>
      <c r="E1128" s="58">
        <f>+VLOOKUP(A1128,[1]Base!$A$11:$R$1579,18,FALSE)</f>
        <v>0.1194953062924516</v>
      </c>
      <c r="F1128">
        <f>+VLOOKUP(A1128,[1]Base!$A$11:$O$1264,15,FALSE)</f>
        <v>9.5596245033961288E-2</v>
      </c>
      <c r="G1128">
        <f t="shared" si="17"/>
        <v>1</v>
      </c>
    </row>
    <row r="1129" spans="1:7" x14ac:dyDescent="0.25">
      <c r="A1129" s="36" t="s">
        <v>883</v>
      </c>
      <c r="B1129" s="37" t="s">
        <v>884</v>
      </c>
      <c r="C1129" s="63">
        <v>1</v>
      </c>
      <c r="D1129" s="58">
        <f>+VLOOKUP(A1129,[1]Base!$A$11:$O$1318,15,FALSE)</f>
        <v>28.296488530052542</v>
      </c>
      <c r="E1129" s="58">
        <f>+VLOOKUP(A1129,[1]Base!$A$11:$R$1579,18,FALSE)</f>
        <v>35.370610662565674</v>
      </c>
      <c r="F1129">
        <f>+VLOOKUP(A1129,[1]Base!$A$11:$O$1264,15,FALSE)</f>
        <v>28.296488530052542</v>
      </c>
      <c r="G1129">
        <f t="shared" si="17"/>
        <v>1</v>
      </c>
    </row>
    <row r="1130" spans="1:7" x14ac:dyDescent="0.25">
      <c r="A1130" s="36" t="s">
        <v>977</v>
      </c>
      <c r="B1130" s="37" t="s">
        <v>978</v>
      </c>
      <c r="C1130" s="63">
        <v>100</v>
      </c>
      <c r="D1130" s="58">
        <f>+VLOOKUP(A1130,[1]Base!$A$11:$O$1318,15,FALSE)</f>
        <v>0.8281599837166701</v>
      </c>
      <c r="E1130" s="58">
        <f>+VLOOKUP(A1130,[1]Base!$A$11:$R$1579,18,FALSE)</f>
        <v>1.0351999796458375</v>
      </c>
      <c r="F1130">
        <f>+VLOOKUP(A1130,[1]Base!$A$11:$O$1264,15,FALSE)</f>
        <v>0.8281599837166701</v>
      </c>
      <c r="G1130">
        <f t="shared" si="17"/>
        <v>1</v>
      </c>
    </row>
    <row r="1131" spans="1:7" x14ac:dyDescent="0.25">
      <c r="A1131" s="36" t="s">
        <v>1071</v>
      </c>
      <c r="B1131" s="53" t="s">
        <v>1072</v>
      </c>
      <c r="C1131" s="63">
        <v>1</v>
      </c>
      <c r="D1131" s="58">
        <f>+VLOOKUP(A1131,[1]Base!$A$11:$O$1318,15,FALSE)</f>
        <v>0.17549000637406667</v>
      </c>
      <c r="E1131" s="58">
        <f>+VLOOKUP(A1131,[1]Base!$A$11:$R$1579,18,FALSE)</f>
        <v>0.21936250796758333</v>
      </c>
      <c r="F1131">
        <f>+VLOOKUP(A1131,[1]Base!$A$11:$O$1264,15,FALSE)</f>
        <v>0.17549000637406667</v>
      </c>
      <c r="G1131">
        <f t="shared" si="17"/>
        <v>1</v>
      </c>
    </row>
    <row r="1132" spans="1:7" x14ac:dyDescent="0.25">
      <c r="A1132" s="36" t="s">
        <v>1119</v>
      </c>
      <c r="B1132" s="37" t="s">
        <v>1120</v>
      </c>
      <c r="C1132" s="63">
        <v>2</v>
      </c>
      <c r="D1132" s="58">
        <f>+VLOOKUP(A1132,[1]Base!$A$11:$O$1318,15,FALSE)</f>
        <v>1.5361447520184541</v>
      </c>
      <c r="E1132" s="58">
        <f>+VLOOKUP(A1132,[1]Base!$A$11:$R$1579,18,FALSE)</f>
        <v>1.9201809400230676</v>
      </c>
      <c r="F1132">
        <f>+VLOOKUP(A1132,[1]Base!$A$11:$O$1264,15,FALSE)</f>
        <v>1.5361447520184541</v>
      </c>
      <c r="G1132">
        <f t="shared" si="17"/>
        <v>1</v>
      </c>
    </row>
    <row r="1133" spans="1:7" x14ac:dyDescent="0.25">
      <c r="A1133" s="36" t="s">
        <v>1241</v>
      </c>
      <c r="B1133" s="37" t="s">
        <v>1242</v>
      </c>
      <c r="C1133" s="63">
        <v>1</v>
      </c>
      <c r="D1133" s="58">
        <f>+VLOOKUP(A1133,[1]Base!$A$11:$O$1318,15,FALSE)</f>
        <v>10.950115340253745</v>
      </c>
      <c r="E1133" s="58">
        <f>+VLOOKUP(A1133,[1]Base!$A$11:$R$1579,18,FALSE)</f>
        <v>13.687644175317182</v>
      </c>
      <c r="F1133">
        <f>+VLOOKUP(A1133,[1]Base!$A$11:$O$1264,15,FALSE)</f>
        <v>10.950115340253745</v>
      </c>
      <c r="G1133">
        <f t="shared" si="17"/>
        <v>1</v>
      </c>
    </row>
    <row r="1134" spans="1:7" x14ac:dyDescent="0.25">
      <c r="A1134" s="36" t="s">
        <v>1249</v>
      </c>
      <c r="B1134" s="37" t="s">
        <v>1250</v>
      </c>
      <c r="C1134" s="63">
        <v>1</v>
      </c>
      <c r="D1134" s="58">
        <f>+VLOOKUP(A1134,[1]Base!$A$11:$O$1318,15,FALSE)</f>
        <v>24.47263872869409</v>
      </c>
      <c r="E1134" s="58">
        <f>+VLOOKUP(A1134,[1]Base!$A$11:$R$1579,18,FALSE)</f>
        <v>30.59079841086761</v>
      </c>
      <c r="F1134">
        <f>+VLOOKUP(A1134,[1]Base!$A$11:$O$1264,15,FALSE)</f>
        <v>24.47263872869409</v>
      </c>
      <c r="G1134">
        <f t="shared" si="17"/>
        <v>1</v>
      </c>
    </row>
    <row r="1135" spans="1:7" x14ac:dyDescent="0.25">
      <c r="A1135" s="36" t="s">
        <v>1253</v>
      </c>
      <c r="B1135" s="37" t="s">
        <v>1254</v>
      </c>
      <c r="C1135" s="63">
        <v>100</v>
      </c>
      <c r="D1135" s="58">
        <f>+VLOOKUP(A1135,[1]Base!$A$11:$O$1318,15,FALSE)</f>
        <v>0.4899026392563946</v>
      </c>
      <c r="E1135" s="58">
        <f>+VLOOKUP(A1135,[1]Base!$A$11:$R$1579,18,FALSE)</f>
        <v>0.61237829907049324</v>
      </c>
      <c r="F1135">
        <f>+VLOOKUP(A1135,[1]Base!$A$11:$O$1264,15,FALSE)</f>
        <v>0.4899026392563946</v>
      </c>
      <c r="G1135">
        <f t="shared" si="17"/>
        <v>1</v>
      </c>
    </row>
    <row r="1136" spans="1:7" x14ac:dyDescent="0.25">
      <c r="A1136" s="36" t="s">
        <v>1262</v>
      </c>
      <c r="B1136" s="37" t="s">
        <v>1263</v>
      </c>
      <c r="C1136" s="63">
        <v>1</v>
      </c>
      <c r="D1136" s="58">
        <f>+VLOOKUP(A1136,[1]Base!$A$11:$O$1318,15,FALSE)</f>
        <v>0.33200013569441617</v>
      </c>
      <c r="E1136" s="58">
        <f>+VLOOKUP(A1136,[1]Base!$A$11:$R$1579,18,FALSE)</f>
        <v>0.41500016961802016</v>
      </c>
      <c r="F1136">
        <f>+VLOOKUP(A1136,[1]Base!$A$11:$O$1264,15,FALSE)</f>
        <v>0.33200013569441617</v>
      </c>
      <c r="G1136">
        <f t="shared" si="17"/>
        <v>1</v>
      </c>
    </row>
    <row r="1137" spans="1:7" x14ac:dyDescent="0.25">
      <c r="A1137" s="36" t="s">
        <v>1264</v>
      </c>
      <c r="B1137" s="37" t="s">
        <v>1265</v>
      </c>
      <c r="C1137" s="63">
        <v>1</v>
      </c>
      <c r="D1137" s="58">
        <f>+VLOOKUP(A1137,[1]Base!$A$11:$O$1318,15,FALSE)</f>
        <v>0.37046356604925712</v>
      </c>
      <c r="E1137" s="58">
        <f>+VLOOKUP(A1137,[1]Base!$A$11:$R$1579,18,FALSE)</f>
        <v>0.46307945756157137</v>
      </c>
      <c r="F1137">
        <f>+VLOOKUP(A1137,[1]Base!$A$11:$O$1264,15,FALSE)</f>
        <v>0.37046356604925712</v>
      </c>
      <c r="G1137">
        <f t="shared" si="17"/>
        <v>1</v>
      </c>
    </row>
    <row r="1138" spans="1:7" x14ac:dyDescent="0.25">
      <c r="A1138" s="36" t="s">
        <v>1332</v>
      </c>
      <c r="B1138" s="37" t="s">
        <v>1333</v>
      </c>
      <c r="C1138" s="63">
        <v>1</v>
      </c>
      <c r="D1138" s="58">
        <f>+VLOOKUP(A1138,[1]Base!$A$11:$O$1318,15,FALSE)</f>
        <v>0.51529954542370582</v>
      </c>
      <c r="E1138" s="58">
        <f>+VLOOKUP(A1138,[1]Base!$A$11:$R$1579,18,FALSE)</f>
        <v>0.64412443177963219</v>
      </c>
      <c r="F1138">
        <f>+VLOOKUP(A1138,[1]Base!$A$11:$O$1264,15,FALSE)</f>
        <v>0.51529954542370582</v>
      </c>
      <c r="G1138">
        <f t="shared" si="17"/>
        <v>1</v>
      </c>
    </row>
    <row r="1139" spans="1:7" x14ac:dyDescent="0.25">
      <c r="A1139" s="36" t="s">
        <v>1348</v>
      </c>
      <c r="B1139" s="37" t="s">
        <v>1349</v>
      </c>
      <c r="C1139" s="63">
        <v>1</v>
      </c>
      <c r="D1139" s="58">
        <f>+VLOOKUP(A1139,[1]Base!$A$11:$O$1318,15,FALSE)</f>
        <v>0.19507768505326004</v>
      </c>
      <c r="E1139" s="58">
        <f>+VLOOKUP(A1139,[1]Base!$A$11:$R$1579,18,FALSE)</f>
        <v>0.24384710631657502</v>
      </c>
      <c r="F1139">
        <f>+VLOOKUP(A1139,[1]Base!$A$11:$O$1264,15,FALSE)</f>
        <v>0.19507768505326004</v>
      </c>
      <c r="G1139">
        <f t="shared" si="17"/>
        <v>1</v>
      </c>
    </row>
    <row r="1140" spans="1:7" x14ac:dyDescent="0.25">
      <c r="A1140" s="36" t="s">
        <v>1384</v>
      </c>
      <c r="B1140" s="37" t="s">
        <v>1385</v>
      </c>
      <c r="C1140" s="63">
        <v>1</v>
      </c>
      <c r="D1140" s="58">
        <f>+VLOOKUP(A1140,[1]Base!$A$11:$O$1318,15,FALSE)</f>
        <v>0.48585385711377976</v>
      </c>
      <c r="E1140" s="58">
        <f>+VLOOKUP(A1140,[1]Base!$A$11:$R$1579,18,FALSE)</f>
        <v>0.60731732139222472</v>
      </c>
      <c r="F1140">
        <f>+VLOOKUP(A1140,[1]Base!$A$11:$O$1264,15,FALSE)</f>
        <v>0.48585385711377976</v>
      </c>
      <c r="G1140">
        <f t="shared" si="17"/>
        <v>1</v>
      </c>
    </row>
    <row r="1141" spans="1:7" x14ac:dyDescent="0.25">
      <c r="A1141" s="36" t="s">
        <v>1482</v>
      </c>
      <c r="B1141" s="37" t="s">
        <v>1483</v>
      </c>
      <c r="C1141" s="63">
        <v>1</v>
      </c>
      <c r="D1141" s="58">
        <f>+VLOOKUP(A1141,[1]Base!$A$11:$O$1318,15,FALSE)</f>
        <v>3.0365866069611235E-2</v>
      </c>
      <c r="E1141" s="58">
        <f>+VLOOKUP(A1141,[1]Base!$A$11:$R$1579,18,FALSE)</f>
        <v>3.7957332587014045E-2</v>
      </c>
      <c r="F1141">
        <f>+VLOOKUP(A1141,[1]Base!$A$11:$O$1264,15,FALSE)</f>
        <v>3.0365866069611235E-2</v>
      </c>
      <c r="G1141">
        <f t="shared" si="17"/>
        <v>1</v>
      </c>
    </row>
    <row r="1142" spans="1:7" x14ac:dyDescent="0.25">
      <c r="A1142" s="36" t="s">
        <v>887</v>
      </c>
      <c r="B1142" s="37" t="s">
        <v>888</v>
      </c>
      <c r="C1142" s="63">
        <v>1</v>
      </c>
      <c r="D1142" s="58">
        <f>+VLOOKUP(A1142,[1]Base!$A$11:$O$1318,15,FALSE)</f>
        <v>36.500384467512497</v>
      </c>
      <c r="E1142" s="58">
        <f>+VLOOKUP(A1142,[1]Base!$A$11:$R$1579,18,FALSE)</f>
        <v>45.625480584390615</v>
      </c>
      <c r="F1142">
        <f>+VLOOKUP(A1142,[1]Base!$A$11:$O$1264,15,FALSE)</f>
        <v>36.500384467512497</v>
      </c>
      <c r="G1142">
        <f t="shared" si="17"/>
        <v>1</v>
      </c>
    </row>
    <row r="1143" spans="1:7" x14ac:dyDescent="0.25">
      <c r="A1143" s="36" t="s">
        <v>505</v>
      </c>
      <c r="B1143" s="35" t="s">
        <v>506</v>
      </c>
      <c r="C1143" s="63">
        <v>10</v>
      </c>
      <c r="D1143" s="58">
        <f>+VLOOKUP(A1143,[1]Base!$A$11:$O$1318,15,FALSE)</f>
        <v>0.97151399259394167</v>
      </c>
      <c r="E1143" s="58">
        <f>+VLOOKUP(A1143,[1]Base!$A$11:$R$1579,18,FALSE)</f>
        <v>1.2143924907424271</v>
      </c>
      <c r="F1143">
        <f>+VLOOKUP(A1143,[1]Base!$A$11:$O$1264,15,FALSE)</f>
        <v>0.97151399259394167</v>
      </c>
      <c r="G1143">
        <f t="shared" si="17"/>
        <v>1</v>
      </c>
    </row>
    <row r="1144" spans="1:7" x14ac:dyDescent="0.25">
      <c r="A1144" s="36" t="s">
        <v>509</v>
      </c>
      <c r="B1144" s="35" t="s">
        <v>510</v>
      </c>
      <c r="C1144" s="63">
        <v>4</v>
      </c>
      <c r="D1144" s="58">
        <f>+VLOOKUP(A1144,[1]Base!$A$11:$O$1318,15,FALSE)</f>
        <v>0.27809816737152376</v>
      </c>
      <c r="E1144" s="58">
        <f>+VLOOKUP(A1144,[1]Base!$A$11:$R$1579,18,FALSE)</f>
        <v>0.34762270921440469</v>
      </c>
      <c r="F1144">
        <f>+VLOOKUP(A1144,[1]Base!$A$11:$O$1264,15,FALSE)</f>
        <v>0.27809816737152376</v>
      </c>
      <c r="G1144">
        <f t="shared" si="17"/>
        <v>1</v>
      </c>
    </row>
    <row r="1145" spans="1:7" x14ac:dyDescent="0.25">
      <c r="A1145" s="36" t="s">
        <v>523</v>
      </c>
      <c r="B1145" s="37" t="s">
        <v>524</v>
      </c>
      <c r="C1145" s="63">
        <v>4</v>
      </c>
      <c r="D1145" s="58">
        <f>+VLOOKUP(A1145,[1]Base!$A$11:$O$1318,15,FALSE)</f>
        <v>0.27809816737152376</v>
      </c>
      <c r="E1145" s="58">
        <f>+VLOOKUP(A1145,[1]Base!$A$11:$R$1579,18,FALSE)</f>
        <v>0.34762270921440469</v>
      </c>
      <c r="F1145">
        <f>+VLOOKUP(A1145,[1]Base!$A$11:$O$1264,15,FALSE)</f>
        <v>0.27809816737152376</v>
      </c>
      <c r="G1145">
        <f t="shared" si="17"/>
        <v>1</v>
      </c>
    </row>
    <row r="1146" spans="1:7" x14ac:dyDescent="0.25">
      <c r="A1146" s="36" t="s">
        <v>766</v>
      </c>
      <c r="B1146" s="37" t="s">
        <v>767</v>
      </c>
      <c r="C1146" s="63">
        <v>1</v>
      </c>
      <c r="D1146" s="58">
        <f>+VLOOKUP(A1146,[1]Base!$A$11:$O$1318,15,FALSE)</f>
        <v>0.13904908368576188</v>
      </c>
      <c r="E1146" s="58">
        <f>+VLOOKUP(A1146,[1]Base!$A$11:$R$1579,18,FALSE)</f>
        <v>0.17381135460720235</v>
      </c>
      <c r="F1146">
        <f>+VLOOKUP(A1146,[1]Base!$A$11:$O$1264,15,FALSE)</f>
        <v>0.13904908368576188</v>
      </c>
      <c r="G1146">
        <f t="shared" si="17"/>
        <v>1</v>
      </c>
    </row>
    <row r="1147" spans="1:7" x14ac:dyDescent="0.25">
      <c r="A1147" s="36" t="s">
        <v>768</v>
      </c>
      <c r="B1147" s="37" t="s">
        <v>769</v>
      </c>
      <c r="C1147" s="63">
        <v>1</v>
      </c>
      <c r="D1147" s="58">
        <f>+VLOOKUP(A1147,[1]Base!$A$11:$O$1318,15,FALSE)</f>
        <v>0.13904908368576188</v>
      </c>
      <c r="E1147" s="58">
        <f>+VLOOKUP(A1147,[1]Base!$A$11:$R$1579,18,FALSE)</f>
        <v>0.17381135460720235</v>
      </c>
      <c r="F1147">
        <f>+VLOOKUP(A1147,[1]Base!$A$11:$O$1264,15,FALSE)</f>
        <v>0.13904908368576188</v>
      </c>
      <c r="G1147">
        <f t="shared" si="17"/>
        <v>1</v>
      </c>
    </row>
    <row r="1148" spans="1:7" x14ac:dyDescent="0.25">
      <c r="A1148" s="36" t="s">
        <v>770</v>
      </c>
      <c r="B1148" s="37" t="s">
        <v>771</v>
      </c>
      <c r="C1148" s="63">
        <v>1</v>
      </c>
      <c r="D1148" s="58">
        <f>+VLOOKUP(A1148,[1]Base!$A$11:$O$1318,15,FALSE)</f>
        <v>0.13904908368576188</v>
      </c>
      <c r="E1148" s="58">
        <f>+VLOOKUP(A1148,[1]Base!$A$11:$R$1579,18,FALSE)</f>
        <v>0.17381135460720235</v>
      </c>
      <c r="F1148">
        <f>+VLOOKUP(A1148,[1]Base!$A$11:$O$1264,15,FALSE)</f>
        <v>0.13904908368576188</v>
      </c>
      <c r="G1148">
        <f t="shared" si="17"/>
        <v>1</v>
      </c>
    </row>
    <row r="1149" spans="1:7" x14ac:dyDescent="0.25">
      <c r="A1149" s="36" t="s">
        <v>772</v>
      </c>
      <c r="B1149" s="37" t="s">
        <v>773</v>
      </c>
      <c r="C1149" s="63">
        <v>1</v>
      </c>
      <c r="D1149" s="58">
        <f>+VLOOKUP(A1149,[1]Base!$A$11:$O$1318,15,FALSE)</f>
        <v>0.13904908368576188</v>
      </c>
      <c r="E1149" s="58">
        <f>+VLOOKUP(A1149,[1]Base!$A$11:$R$1579,18,FALSE)</f>
        <v>0.17381135460720235</v>
      </c>
      <c r="F1149">
        <f>+VLOOKUP(A1149,[1]Base!$A$11:$O$1264,15,FALSE)</f>
        <v>0.13904908368576188</v>
      </c>
      <c r="G1149">
        <f t="shared" si="17"/>
        <v>1</v>
      </c>
    </row>
    <row r="1150" spans="1:7" x14ac:dyDescent="0.25">
      <c r="A1150" s="36" t="s">
        <v>774</v>
      </c>
      <c r="B1150" s="37" t="s">
        <v>775</v>
      </c>
      <c r="C1150" s="63">
        <v>1</v>
      </c>
      <c r="D1150" s="58">
        <f>+VLOOKUP(A1150,[1]Base!$A$11:$O$1318,15,FALSE)</f>
        <v>0.13904908368576188</v>
      </c>
      <c r="E1150" s="58">
        <f>+VLOOKUP(A1150,[1]Base!$A$11:$R$1579,18,FALSE)</f>
        <v>0.17381135460720235</v>
      </c>
      <c r="F1150">
        <f>+VLOOKUP(A1150,[1]Base!$A$11:$O$1264,15,FALSE)</f>
        <v>0.13904908368576188</v>
      </c>
      <c r="G1150">
        <f t="shared" si="17"/>
        <v>1</v>
      </c>
    </row>
    <row r="1151" spans="1:7" x14ac:dyDescent="0.25">
      <c r="A1151" s="36" t="s">
        <v>796</v>
      </c>
      <c r="B1151" s="37" t="s">
        <v>797</v>
      </c>
      <c r="C1151" s="63">
        <v>6</v>
      </c>
      <c r="D1151" s="58">
        <f>+VLOOKUP(A1151,[1]Base!$A$11:$O$1318,15,FALSE)</f>
        <v>0.68093154216703977</v>
      </c>
      <c r="E1151" s="58">
        <f>+VLOOKUP(A1151,[1]Base!$A$11:$R$1579,18,FALSE)</f>
        <v>0.85116442770879963</v>
      </c>
      <c r="F1151">
        <f>+VLOOKUP(A1151,[1]Base!$A$11:$O$1264,15,FALSE)</f>
        <v>0.68093154216703977</v>
      </c>
      <c r="G1151">
        <f t="shared" si="17"/>
        <v>1</v>
      </c>
    </row>
    <row r="1152" spans="1:7" x14ac:dyDescent="0.25">
      <c r="A1152" s="36" t="s">
        <v>800</v>
      </c>
      <c r="B1152" s="37" t="s">
        <v>801</v>
      </c>
      <c r="C1152" s="63">
        <v>6</v>
      </c>
      <c r="D1152" s="58">
        <f>+VLOOKUP(A1152,[1]Base!$A$11:$O$1318,15,FALSE)</f>
        <v>4.196010584164461</v>
      </c>
      <c r="E1152" s="58">
        <f>+VLOOKUP(A1152,[1]Base!$A$11:$R$1579,18,FALSE)</f>
        <v>5.2450132302055756</v>
      </c>
      <c r="F1152">
        <f>+VLOOKUP(A1152,[1]Base!$A$11:$O$1264,15,FALSE)</f>
        <v>4.196010584164461</v>
      </c>
      <c r="G1152">
        <f t="shared" si="17"/>
        <v>1</v>
      </c>
    </row>
    <row r="1153" spans="1:7" x14ac:dyDescent="0.25">
      <c r="A1153" s="36" t="s">
        <v>849</v>
      </c>
      <c r="B1153" s="49" t="s">
        <v>850</v>
      </c>
      <c r="C1153" s="62">
        <v>1</v>
      </c>
      <c r="D1153" s="58">
        <f>+VLOOKUP(A1153,[1]Base!$A$11:$O$1318,15,FALSE)</f>
        <v>0.13904908368576188</v>
      </c>
      <c r="E1153" s="58">
        <f>+VLOOKUP(A1153,[1]Base!$A$11:$R$1579,18,FALSE)</f>
        <v>0.17381135460720235</v>
      </c>
      <c r="F1153">
        <f>+VLOOKUP(A1153,[1]Base!$A$11:$O$1264,15,FALSE)</f>
        <v>0.13904908368576188</v>
      </c>
      <c r="G1153">
        <f t="shared" si="17"/>
        <v>1</v>
      </c>
    </row>
    <row r="1154" spans="1:7" x14ac:dyDescent="0.25">
      <c r="A1154" s="36" t="s">
        <v>865</v>
      </c>
      <c r="B1154" s="49" t="s">
        <v>866</v>
      </c>
      <c r="C1154" s="62">
        <v>1</v>
      </c>
      <c r="D1154" s="58">
        <f>+VLOOKUP(A1154,[1]Base!$A$11:$O$1318,15,FALSE)</f>
        <v>6.9524541842880941E-2</v>
      </c>
      <c r="E1154" s="58">
        <f>+VLOOKUP(A1154,[1]Base!$A$11:$R$1579,18,FALSE)</f>
        <v>8.6905677303601173E-2</v>
      </c>
      <c r="F1154">
        <f>+VLOOKUP(A1154,[1]Base!$A$11:$O$1264,15,FALSE)</f>
        <v>6.9524541842880941E-2</v>
      </c>
      <c r="G1154">
        <f t="shared" si="17"/>
        <v>1</v>
      </c>
    </row>
    <row r="1155" spans="1:7" x14ac:dyDescent="0.25">
      <c r="A1155" s="36" t="s">
        <v>867</v>
      </c>
      <c r="B1155" s="49" t="s">
        <v>868</v>
      </c>
      <c r="C1155" s="62">
        <v>1</v>
      </c>
      <c r="D1155" s="58">
        <f>+VLOOKUP(A1155,[1]Base!$A$11:$O$1318,15,FALSE)</f>
        <v>6.9524541842880941E-2</v>
      </c>
      <c r="E1155" s="58">
        <f>+VLOOKUP(A1155,[1]Base!$A$11:$R$1579,18,FALSE)</f>
        <v>8.6905677303601173E-2</v>
      </c>
      <c r="F1155">
        <f>+VLOOKUP(A1155,[1]Base!$A$11:$O$1264,15,FALSE)</f>
        <v>6.9524541842880941E-2</v>
      </c>
      <c r="G1155">
        <f t="shared" si="17"/>
        <v>1</v>
      </c>
    </row>
    <row r="1156" spans="1:7" x14ac:dyDescent="0.25">
      <c r="A1156" s="36" t="s">
        <v>877</v>
      </c>
      <c r="B1156" s="49" t="s">
        <v>878</v>
      </c>
      <c r="C1156" s="62">
        <v>1</v>
      </c>
      <c r="D1156" s="58">
        <f>+VLOOKUP(A1156,[1]Base!$A$11:$O$1318,15,FALSE)</f>
        <v>0.13904908368576188</v>
      </c>
      <c r="E1156" s="58">
        <f>+VLOOKUP(A1156,[1]Base!$A$11:$R$1579,18,FALSE)</f>
        <v>0.17381135460720235</v>
      </c>
      <c r="F1156">
        <f>+VLOOKUP(A1156,[1]Base!$A$11:$O$1264,15,FALSE)</f>
        <v>0.13904908368576188</v>
      </c>
      <c r="G1156">
        <f t="shared" ref="G1156:G1219" si="18">+F1156/D1156</f>
        <v>1</v>
      </c>
    </row>
    <row r="1157" spans="1:7" x14ac:dyDescent="0.25">
      <c r="A1157" s="36" t="s">
        <v>893</v>
      </c>
      <c r="B1157" s="37" t="s">
        <v>894</v>
      </c>
      <c r="C1157" s="63">
        <v>1</v>
      </c>
      <c r="D1157" s="58">
        <f>+VLOOKUP(A1157,[1]Base!$A$11:$O$1318,15,FALSE)</f>
        <v>6.9524541842880941E-2</v>
      </c>
      <c r="E1157" s="58">
        <f>+VLOOKUP(A1157,[1]Base!$A$11:$R$1579,18,FALSE)</f>
        <v>8.6905677303601173E-2</v>
      </c>
      <c r="F1157">
        <f>+VLOOKUP(A1157,[1]Base!$A$11:$O$1264,15,FALSE)</f>
        <v>6.9524541842880941E-2</v>
      </c>
      <c r="G1157">
        <f t="shared" si="18"/>
        <v>1</v>
      </c>
    </row>
    <row r="1158" spans="1:7" x14ac:dyDescent="0.25">
      <c r="A1158" s="36" t="s">
        <v>903</v>
      </c>
      <c r="B1158" s="37" t="s">
        <v>904</v>
      </c>
      <c r="C1158" s="63">
        <v>25</v>
      </c>
      <c r="D1158" s="58">
        <f>+VLOOKUP(A1158,[1]Base!$A$11:$O$1318,15,FALSE)</f>
        <v>1.9507768505326002</v>
      </c>
      <c r="E1158" s="58">
        <f>+VLOOKUP(A1158,[1]Base!$A$11:$R$1579,18,FALSE)</f>
        <v>2.4384710631657502</v>
      </c>
      <c r="F1158">
        <f>+VLOOKUP(A1158,[1]Base!$A$11:$O$1264,15,FALSE)</f>
        <v>1.9507768505326002</v>
      </c>
      <c r="G1158">
        <f t="shared" si="18"/>
        <v>1</v>
      </c>
    </row>
    <row r="1159" spans="1:7" x14ac:dyDescent="0.25">
      <c r="A1159" s="36" t="s">
        <v>1031</v>
      </c>
      <c r="B1159" s="37" t="s">
        <v>1032</v>
      </c>
      <c r="C1159" s="63">
        <v>1</v>
      </c>
      <c r="D1159" s="58">
        <f>+VLOOKUP(A1159,[1]Base!$A$11:$O$1318,15,FALSE)</f>
        <v>0.13904908368576188</v>
      </c>
      <c r="E1159" s="58">
        <f>+VLOOKUP(A1159,[1]Base!$A$11:$R$1579,18,FALSE)</f>
        <v>0.17381135460720235</v>
      </c>
      <c r="F1159">
        <f>+VLOOKUP(A1159,[1]Base!$A$11:$O$1264,15,FALSE)</f>
        <v>0.13904908368576188</v>
      </c>
      <c r="G1159">
        <f t="shared" si="18"/>
        <v>1</v>
      </c>
    </row>
    <row r="1160" spans="1:7" x14ac:dyDescent="0.25">
      <c r="A1160" s="36" t="s">
        <v>1059</v>
      </c>
      <c r="B1160" s="51" t="s">
        <v>1060</v>
      </c>
      <c r="C1160" s="63">
        <v>1</v>
      </c>
      <c r="D1160" s="58">
        <f>+VLOOKUP(A1160,[1]Base!$A$11:$O$1318,15,FALSE)</f>
        <v>1.8557827353851759E-2</v>
      </c>
      <c r="E1160" s="58">
        <f>+VLOOKUP(A1160,[1]Base!$A$11:$R$1579,18,FALSE)</f>
        <v>2.3197284192314697E-2</v>
      </c>
      <c r="F1160">
        <f>+VLOOKUP(A1160,[1]Base!$A$11:$O$1264,15,FALSE)</f>
        <v>1.8557827353851759E-2</v>
      </c>
      <c r="G1160">
        <f t="shared" si="18"/>
        <v>1</v>
      </c>
    </row>
    <row r="1161" spans="1:7" x14ac:dyDescent="0.25">
      <c r="A1161" s="36" t="s">
        <v>1061</v>
      </c>
      <c r="B1161" s="51" t="s">
        <v>1062</v>
      </c>
      <c r="C1161" s="63">
        <v>1</v>
      </c>
      <c r="D1161" s="58">
        <f>+VLOOKUP(A1161,[1]Base!$A$11:$O$1318,15,FALSE)</f>
        <v>1.8557827353851759E-2</v>
      </c>
      <c r="E1161" s="58">
        <f>+VLOOKUP(A1161,[1]Base!$A$11:$R$1579,18,FALSE)</f>
        <v>2.3197284192314697E-2</v>
      </c>
      <c r="F1161">
        <f>+VLOOKUP(A1161,[1]Base!$A$11:$O$1264,15,FALSE)</f>
        <v>1.8557827353851759E-2</v>
      </c>
      <c r="G1161">
        <f t="shared" si="18"/>
        <v>1</v>
      </c>
    </row>
    <row r="1162" spans="1:7" x14ac:dyDescent="0.25">
      <c r="A1162" s="36" t="s">
        <v>1227</v>
      </c>
      <c r="B1162" s="37" t="s">
        <v>1228</v>
      </c>
      <c r="C1162" s="63">
        <v>1</v>
      </c>
      <c r="D1162" s="58">
        <f>+VLOOKUP(A1162,[1]Base!$A$11:$O$1318,15,FALSE)</f>
        <v>3.9976611559656536</v>
      </c>
      <c r="E1162" s="58">
        <f>+VLOOKUP(A1162,[1]Base!$A$11:$R$1579,18,FALSE)</f>
        <v>4.9970764449570666</v>
      </c>
      <c r="F1162">
        <f>+VLOOKUP(A1162,[1]Base!$A$11:$O$1264,15,FALSE)</f>
        <v>3.9976611559656536</v>
      </c>
      <c r="G1162">
        <f t="shared" si="18"/>
        <v>1</v>
      </c>
    </row>
    <row r="1163" spans="1:7" x14ac:dyDescent="0.25">
      <c r="A1163" s="36" t="s">
        <v>1320</v>
      </c>
      <c r="B1163" s="37" t="s">
        <v>1321</v>
      </c>
      <c r="C1163" s="63">
        <v>1</v>
      </c>
      <c r="D1163" s="58">
        <f>+VLOOKUP(A1163,[1]Base!$A$11:$O$1318,15,FALSE)</f>
        <v>0.68093154216703977</v>
      </c>
      <c r="E1163" s="58">
        <f>+VLOOKUP(A1163,[1]Base!$A$11:$R$1579,18,FALSE)</f>
        <v>0.85116442770879963</v>
      </c>
      <c r="F1163">
        <f>+VLOOKUP(A1163,[1]Base!$A$11:$O$1264,15,FALSE)</f>
        <v>0.68093154216703977</v>
      </c>
      <c r="G1163">
        <f t="shared" si="18"/>
        <v>1</v>
      </c>
    </row>
    <row r="1164" spans="1:7" x14ac:dyDescent="0.25">
      <c r="A1164" s="36" t="s">
        <v>1330</v>
      </c>
      <c r="B1164" s="37" t="s">
        <v>1331</v>
      </c>
      <c r="C1164" s="63">
        <v>1</v>
      </c>
      <c r="D1164" s="58">
        <f>+VLOOKUP(A1164,[1]Base!$A$11:$O$1318,15,FALSE)</f>
        <v>0.1067406201234819</v>
      </c>
      <c r="E1164" s="58">
        <f>+VLOOKUP(A1164,[1]Base!$A$11:$R$1579,18,FALSE)</f>
        <v>0.13342577515435236</v>
      </c>
      <c r="F1164">
        <f>+VLOOKUP(A1164,[1]Base!$A$11:$O$1264,15,FALSE)</f>
        <v>0.1067406201234819</v>
      </c>
      <c r="G1164">
        <f t="shared" si="18"/>
        <v>1</v>
      </c>
    </row>
    <row r="1165" spans="1:7" x14ac:dyDescent="0.25">
      <c r="A1165" s="36" t="s">
        <v>1352</v>
      </c>
      <c r="B1165" s="37" t="s">
        <v>1353</v>
      </c>
      <c r="C1165" s="63">
        <v>1</v>
      </c>
      <c r="D1165" s="58">
        <f>+VLOOKUP(A1165,[1]Base!$A$11:$O$1318,15,FALSE)</f>
        <v>0.33678506004477915</v>
      </c>
      <c r="E1165" s="58">
        <f>+VLOOKUP(A1165,[1]Base!$A$11:$R$1579,18,FALSE)</f>
        <v>0.42098132505597391</v>
      </c>
      <c r="F1165">
        <f>+VLOOKUP(A1165,[1]Base!$A$11:$O$1264,15,FALSE)</f>
        <v>0.33678506004477915</v>
      </c>
      <c r="G1165">
        <f t="shared" si="18"/>
        <v>1</v>
      </c>
    </row>
    <row r="1166" spans="1:7" x14ac:dyDescent="0.25">
      <c r="A1166" s="36" t="s">
        <v>1361</v>
      </c>
      <c r="B1166" s="37" t="s">
        <v>1362</v>
      </c>
      <c r="C1166" s="63">
        <v>1</v>
      </c>
      <c r="D1166" s="58">
        <f>+VLOOKUP(A1166,[1]Base!$A$11:$O$1318,15,FALSE)</f>
        <v>0.12698453083655609</v>
      </c>
      <c r="E1166" s="58">
        <f>+VLOOKUP(A1166,[1]Base!$A$11:$R$1579,18,FALSE)</f>
        <v>0.15873066354569509</v>
      </c>
      <c r="F1166">
        <f>+VLOOKUP(A1166,[1]Base!$A$11:$O$1264,15,FALSE)</f>
        <v>0.12698453083655609</v>
      </c>
      <c r="G1166">
        <f t="shared" si="18"/>
        <v>1</v>
      </c>
    </row>
    <row r="1167" spans="1:7" x14ac:dyDescent="0.25">
      <c r="A1167" s="36" t="s">
        <v>1456</v>
      </c>
      <c r="B1167" s="37" t="s">
        <v>1457</v>
      </c>
      <c r="C1167" s="63">
        <v>1</v>
      </c>
      <c r="D1167" s="58">
        <f>+VLOOKUP(A1167,[1]Base!$A$11:$O$1318,15,FALSE)</f>
        <v>1.1962310875907456E-2</v>
      </c>
      <c r="E1167" s="58">
        <f>+VLOOKUP(A1167,[1]Base!$A$11:$R$1579,18,FALSE)</f>
        <v>1.495288859488432E-2</v>
      </c>
      <c r="F1167">
        <f>+VLOOKUP(A1167,[1]Base!$A$11:$O$1264,15,FALSE)</f>
        <v>1.1962310875907456E-2</v>
      </c>
      <c r="G1167">
        <f t="shared" si="18"/>
        <v>1</v>
      </c>
    </row>
    <row r="1168" spans="1:7" x14ac:dyDescent="0.25">
      <c r="A1168" s="36" t="s">
        <v>1480</v>
      </c>
      <c r="B1168" s="37" t="s">
        <v>1481</v>
      </c>
      <c r="C1168" s="63">
        <v>1</v>
      </c>
      <c r="D1168" s="58">
        <f>+VLOOKUP(A1168,[1]Base!$A$11:$O$1318,15,FALSE)</f>
        <v>1.1962310875907456E-2</v>
      </c>
      <c r="E1168" s="58">
        <f>+VLOOKUP(A1168,[1]Base!$A$11:$R$1579,18,FALSE)</f>
        <v>1.495288859488432E-2</v>
      </c>
      <c r="F1168">
        <f>+VLOOKUP(A1168,[1]Base!$A$11:$O$1264,15,FALSE)</f>
        <v>1.1962310875907456E-2</v>
      </c>
      <c r="G1168">
        <f t="shared" si="18"/>
        <v>1</v>
      </c>
    </row>
    <row r="1169" spans="1:7" x14ac:dyDescent="0.25">
      <c r="A1169" s="36" t="s">
        <v>1488</v>
      </c>
      <c r="B1169" s="37" t="s">
        <v>1489</v>
      </c>
      <c r="C1169" s="63">
        <v>1</v>
      </c>
      <c r="D1169" s="58">
        <f>+VLOOKUP(A1169,[1]Base!$A$11:$O$1318,15,FALSE)</f>
        <v>4.7849243503629825E-2</v>
      </c>
      <c r="E1169" s="58">
        <f>+VLOOKUP(A1169,[1]Base!$A$11:$R$1579,18,FALSE)</f>
        <v>5.9811554379537279E-2</v>
      </c>
      <c r="F1169">
        <f>+VLOOKUP(A1169,[1]Base!$A$11:$O$1264,15,FALSE)</f>
        <v>4.7849243503629825E-2</v>
      </c>
      <c r="G1169">
        <f t="shared" si="18"/>
        <v>1</v>
      </c>
    </row>
    <row r="1170" spans="1:7" x14ac:dyDescent="0.25">
      <c r="A1170" s="36" t="s">
        <v>1490</v>
      </c>
      <c r="B1170" s="37" t="s">
        <v>1491</v>
      </c>
      <c r="C1170" s="63">
        <v>1</v>
      </c>
      <c r="D1170" s="58">
        <f>+VLOOKUP(A1170,[1]Base!$A$11:$O$1318,15,FALSE)</f>
        <v>2.9445688309926044E-2</v>
      </c>
      <c r="E1170" s="58">
        <f>+VLOOKUP(A1170,[1]Base!$A$11:$R$1579,18,FALSE)</f>
        <v>3.6807110387407554E-2</v>
      </c>
      <c r="F1170">
        <f>+VLOOKUP(A1170,[1]Base!$A$11:$O$1264,15,FALSE)</f>
        <v>2.9445688309926044E-2</v>
      </c>
      <c r="G1170">
        <f t="shared" si="18"/>
        <v>1</v>
      </c>
    </row>
    <row r="1171" spans="1:7" x14ac:dyDescent="0.25">
      <c r="A1171" s="36" t="s">
        <v>1492</v>
      </c>
      <c r="B1171" s="37" t="s">
        <v>1493</v>
      </c>
      <c r="C1171" s="63">
        <v>1</v>
      </c>
      <c r="D1171" s="58">
        <f>+VLOOKUP(A1171,[1]Base!$A$11:$O$1318,15,FALSE)</f>
        <v>0.12698453083655609</v>
      </c>
      <c r="E1171" s="58">
        <f>+VLOOKUP(A1171,[1]Base!$A$11:$R$1579,18,FALSE)</f>
        <v>0.15873066354569509</v>
      </c>
      <c r="F1171">
        <f>+VLOOKUP(A1171,[1]Base!$A$11:$O$1264,15,FALSE)</f>
        <v>0.12698453083655609</v>
      </c>
      <c r="G1171">
        <f t="shared" si="18"/>
        <v>1</v>
      </c>
    </row>
    <row r="1172" spans="1:7" x14ac:dyDescent="0.25">
      <c r="A1172" s="36" t="s">
        <v>1526</v>
      </c>
      <c r="B1172" s="37" t="s">
        <v>1527</v>
      </c>
      <c r="C1172" s="63">
        <v>1</v>
      </c>
      <c r="D1172" s="58">
        <f>+VLOOKUP(A1172,[1]Base!$A$11:$O$1318,15,FALSE)</f>
        <v>0.1067406201234819</v>
      </c>
      <c r="E1172" s="58">
        <f>+VLOOKUP(A1172,[1]Base!$A$11:$R$1579,18,FALSE)</f>
        <v>0.13342577515435236</v>
      </c>
      <c r="F1172">
        <f>+VLOOKUP(A1172,[1]Base!$A$11:$O$1264,15,FALSE)</f>
        <v>0.1067406201234819</v>
      </c>
      <c r="G1172">
        <f t="shared" si="18"/>
        <v>1</v>
      </c>
    </row>
    <row r="1173" spans="1:7" x14ac:dyDescent="0.25">
      <c r="A1173" s="36" t="s">
        <v>517</v>
      </c>
      <c r="B1173" s="35" t="s">
        <v>518</v>
      </c>
      <c r="C1173" s="63">
        <v>4</v>
      </c>
      <c r="D1173" s="58">
        <f>+VLOOKUP(A1173,[1]Base!$A$11:$O$1318,15,FALSE)</f>
        <v>0.12166794822504165</v>
      </c>
      <c r="E1173" s="58">
        <f>+VLOOKUP(A1173,[1]Base!$A$11:$R$1579,18,FALSE)</f>
        <v>0.15208493528130204</v>
      </c>
      <c r="F1173">
        <f>+VLOOKUP(A1173,[1]Base!$A$11:$O$1264,15,FALSE)</f>
        <v>0.12166794822504165</v>
      </c>
      <c r="G1173">
        <f t="shared" si="18"/>
        <v>1</v>
      </c>
    </row>
    <row r="1174" spans="1:7" x14ac:dyDescent="0.25">
      <c r="A1174" s="36" t="s">
        <v>545</v>
      </c>
      <c r="B1174" s="37" t="s">
        <v>546</v>
      </c>
      <c r="C1174" s="63">
        <v>4</v>
      </c>
      <c r="D1174" s="58">
        <f>+VLOOKUP(A1174,[1]Base!$A$11:$O$1318,15,FALSE)</f>
        <v>0.17381135460720235</v>
      </c>
      <c r="E1174" s="58">
        <f>+VLOOKUP(A1174,[1]Base!$A$11:$R$1579,18,FALSE)</f>
        <v>0.21726419325900292</v>
      </c>
      <c r="F1174">
        <f>+VLOOKUP(A1174,[1]Base!$A$11:$O$1264,15,FALSE)</f>
        <v>0.17381135460720235</v>
      </c>
      <c r="G1174">
        <f t="shared" si="18"/>
        <v>1</v>
      </c>
    </row>
    <row r="1175" spans="1:7" x14ac:dyDescent="0.25">
      <c r="A1175" s="36" t="s">
        <v>748</v>
      </c>
      <c r="B1175" s="37" t="s">
        <v>749</v>
      </c>
      <c r="C1175" s="63">
        <v>1</v>
      </c>
      <c r="D1175" s="58">
        <f>+VLOOKUP(A1175,[1]Base!$A$11:$O$1318,15,FALSE)</f>
        <v>34.762270921440468</v>
      </c>
      <c r="E1175" s="58">
        <f>+VLOOKUP(A1175,[1]Base!$A$11:$R$1579,18,FALSE)</f>
        <v>43.452838651800583</v>
      </c>
      <c r="F1175">
        <f>+VLOOKUP(A1175,[1]Base!$A$11:$O$1264,15,FALSE)</f>
        <v>34.762270921440468</v>
      </c>
      <c r="G1175">
        <f t="shared" si="18"/>
        <v>1</v>
      </c>
    </row>
    <row r="1176" spans="1:7" x14ac:dyDescent="0.25">
      <c r="A1176" s="36" t="s">
        <v>826</v>
      </c>
      <c r="B1176" s="37" t="s">
        <v>827</v>
      </c>
      <c r="C1176" s="63">
        <v>1</v>
      </c>
      <c r="D1176" s="58">
        <f>+VLOOKUP(A1176,[1]Base!$A$11:$O$1318,15,FALSE)</f>
        <v>1.5090915258837097</v>
      </c>
      <c r="E1176" s="58">
        <f>+VLOOKUP(A1176,[1]Base!$A$11:$R$1579,18,FALSE)</f>
        <v>1.8863644073546371</v>
      </c>
      <c r="F1176">
        <f>+VLOOKUP(A1176,[1]Base!$A$11:$O$1264,15,FALSE)</f>
        <v>1.5090915258837097</v>
      </c>
      <c r="G1176">
        <f t="shared" si="18"/>
        <v>1</v>
      </c>
    </row>
    <row r="1177" spans="1:7" x14ac:dyDescent="0.25">
      <c r="A1177" s="36" t="s">
        <v>843</v>
      </c>
      <c r="B1177" s="37" t="s">
        <v>844</v>
      </c>
      <c r="C1177" s="63">
        <v>1</v>
      </c>
      <c r="D1177" s="58">
        <f>+VLOOKUP(A1177,[1]Base!$A$11:$O$1318,15,FALSE)</f>
        <v>0.23924621751814912</v>
      </c>
      <c r="E1177" s="58">
        <f>+VLOOKUP(A1177,[1]Base!$A$11:$R$1579,18,FALSE)</f>
        <v>0.2990577718976864</v>
      </c>
      <c r="F1177">
        <f>+VLOOKUP(A1177,[1]Base!$A$11:$O$1264,15,FALSE)</f>
        <v>0.23924621751814912</v>
      </c>
      <c r="G1177">
        <f t="shared" si="18"/>
        <v>1</v>
      </c>
    </row>
    <row r="1178" spans="1:7" x14ac:dyDescent="0.25">
      <c r="A1178" s="36" t="s">
        <v>847</v>
      </c>
      <c r="B1178" s="49" t="s">
        <v>848</v>
      </c>
      <c r="C1178" s="62">
        <v>1</v>
      </c>
      <c r="D1178" s="58">
        <f>+VLOOKUP(A1178,[1]Base!$A$11:$O$1318,15,FALSE)</f>
        <v>0.12166794822504165</v>
      </c>
      <c r="E1178" s="58">
        <f>+VLOOKUP(A1178,[1]Base!$A$11:$R$1579,18,FALSE)</f>
        <v>0.15208493528130204</v>
      </c>
      <c r="F1178">
        <f>+VLOOKUP(A1178,[1]Base!$A$11:$O$1264,15,FALSE)</f>
        <v>0.12166794822504165</v>
      </c>
      <c r="G1178">
        <f t="shared" si="18"/>
        <v>1</v>
      </c>
    </row>
    <row r="1179" spans="1:7" x14ac:dyDescent="0.25">
      <c r="A1179" s="36" t="s">
        <v>851</v>
      </c>
      <c r="B1179" s="49" t="s">
        <v>852</v>
      </c>
      <c r="C1179" s="62">
        <v>1</v>
      </c>
      <c r="D1179" s="58">
        <f>+VLOOKUP(A1179,[1]Base!$A$11:$O$1318,15,FALSE)</f>
        <v>0.17381135460720235</v>
      </c>
      <c r="E1179" s="58">
        <f>+VLOOKUP(A1179,[1]Base!$A$11:$R$1579,18,FALSE)</f>
        <v>0.21726419325900292</v>
      </c>
      <c r="F1179">
        <f>+VLOOKUP(A1179,[1]Base!$A$11:$O$1264,15,FALSE)</f>
        <v>0.17381135460720235</v>
      </c>
      <c r="G1179">
        <f t="shared" si="18"/>
        <v>1</v>
      </c>
    </row>
    <row r="1180" spans="1:7" x14ac:dyDescent="0.25">
      <c r="A1180" s="36" t="s">
        <v>875</v>
      </c>
      <c r="B1180" s="49" t="s">
        <v>876</v>
      </c>
      <c r="C1180" s="62">
        <v>1</v>
      </c>
      <c r="D1180" s="58">
        <f>+VLOOKUP(A1180,[1]Base!$A$11:$O$1318,15,FALSE)</f>
        <v>0.12166794822504165</v>
      </c>
      <c r="E1180" s="58">
        <f>+VLOOKUP(A1180,[1]Base!$A$11:$R$1579,18,FALSE)</f>
        <v>0.15208493528130204</v>
      </c>
      <c r="F1180">
        <f>+VLOOKUP(A1180,[1]Base!$A$11:$O$1264,15,FALSE)</f>
        <v>0.12166794822504165</v>
      </c>
      <c r="G1180">
        <f t="shared" si="18"/>
        <v>1</v>
      </c>
    </row>
    <row r="1181" spans="1:7" x14ac:dyDescent="0.25">
      <c r="A1181" s="36" t="s">
        <v>895</v>
      </c>
      <c r="B1181" s="37" t="s">
        <v>896</v>
      </c>
      <c r="C1181" s="63">
        <v>1</v>
      </c>
      <c r="D1181" s="58">
        <f>+VLOOKUP(A1181,[1]Base!$A$11:$O$1318,15,FALSE)</f>
        <v>0.12166794822504165</v>
      </c>
      <c r="E1181" s="58">
        <f>+VLOOKUP(A1181,[1]Base!$A$11:$R$1579,18,FALSE)</f>
        <v>0.15208493528130204</v>
      </c>
      <c r="F1181">
        <f>+VLOOKUP(A1181,[1]Base!$A$11:$O$1264,15,FALSE)</f>
        <v>0.12166794822504165</v>
      </c>
      <c r="G1181">
        <f t="shared" si="18"/>
        <v>1</v>
      </c>
    </row>
    <row r="1182" spans="1:7" x14ac:dyDescent="0.25">
      <c r="A1182" s="36" t="s">
        <v>905</v>
      </c>
      <c r="B1182" s="37" t="s">
        <v>906</v>
      </c>
      <c r="C1182" s="63">
        <v>1</v>
      </c>
      <c r="D1182" s="58">
        <f>+VLOOKUP(A1182,[1]Base!$A$11:$O$1318,15,FALSE)</f>
        <v>39.907087017813659</v>
      </c>
      <c r="E1182" s="58">
        <f>+VLOOKUP(A1182,[1]Base!$A$11:$R$1579,18,FALSE)</f>
        <v>49.883858772267068</v>
      </c>
      <c r="F1182">
        <f>+VLOOKUP(A1182,[1]Base!$A$11:$O$1264,15,FALSE)</f>
        <v>39.907087017813659</v>
      </c>
      <c r="G1182">
        <f t="shared" si="18"/>
        <v>1</v>
      </c>
    </row>
    <row r="1183" spans="1:7" x14ac:dyDescent="0.25">
      <c r="A1183" s="36" t="s">
        <v>915</v>
      </c>
      <c r="B1183" s="37" t="s">
        <v>916</v>
      </c>
      <c r="C1183" s="63">
        <v>1</v>
      </c>
      <c r="D1183" s="58">
        <f>+VLOOKUP(A1183,[1]Base!$A$11:$O$1318,15,FALSE)</f>
        <v>59.791105984877618</v>
      </c>
      <c r="E1183" s="58">
        <f>+VLOOKUP(A1183,[1]Base!$A$11:$R$1579,18,FALSE)</f>
        <v>74.738882481097022</v>
      </c>
      <c r="F1183">
        <f>+VLOOKUP(A1183,[1]Base!$A$11:$O$1264,15,FALSE)</f>
        <v>59.791105984877618</v>
      </c>
      <c r="G1183">
        <f t="shared" si="18"/>
        <v>1</v>
      </c>
    </row>
    <row r="1184" spans="1:7" x14ac:dyDescent="0.25">
      <c r="A1184" s="36" t="s">
        <v>921</v>
      </c>
      <c r="B1184" s="37" t="s">
        <v>922</v>
      </c>
      <c r="C1184" s="63">
        <v>1</v>
      </c>
      <c r="D1184" s="58">
        <f>+VLOOKUP(A1184,[1]Base!$A$11:$O$1318,15,FALSE)</f>
        <v>2.7288382673330771</v>
      </c>
      <c r="E1184" s="58">
        <f>+VLOOKUP(A1184,[1]Base!$A$11:$R$1579,18,FALSE)</f>
        <v>3.4110478341663462</v>
      </c>
      <c r="F1184">
        <f>+VLOOKUP(A1184,[1]Base!$A$11:$O$1264,15,FALSE)</f>
        <v>2.7288382673330771</v>
      </c>
      <c r="G1184">
        <f t="shared" si="18"/>
        <v>1</v>
      </c>
    </row>
    <row r="1185" spans="1:7" x14ac:dyDescent="0.25">
      <c r="A1185" s="36" t="s">
        <v>927</v>
      </c>
      <c r="B1185" s="37" t="s">
        <v>928</v>
      </c>
      <c r="C1185" s="63">
        <v>1</v>
      </c>
      <c r="D1185" s="58">
        <f>+VLOOKUP(A1185,[1]Base!$A$11:$O$1318,15,FALSE)</f>
        <v>5.5272010765090345</v>
      </c>
      <c r="E1185" s="58">
        <f>+VLOOKUP(A1185,[1]Base!$A$11:$R$1579,18,FALSE)</f>
        <v>6.9090013456362929</v>
      </c>
      <c r="F1185">
        <f>+VLOOKUP(A1185,[1]Base!$A$11:$O$1264,15,FALSE)</f>
        <v>5.5272010765090345</v>
      </c>
      <c r="G1185">
        <f t="shared" si="18"/>
        <v>1</v>
      </c>
    </row>
    <row r="1186" spans="1:7" x14ac:dyDescent="0.25">
      <c r="A1186" s="36" t="s">
        <v>929</v>
      </c>
      <c r="B1186" s="37" t="s">
        <v>930</v>
      </c>
      <c r="C1186" s="63">
        <v>1</v>
      </c>
      <c r="D1186" s="58">
        <f>+VLOOKUP(A1186,[1]Base!$A$11:$O$1318,15,FALSE)</f>
        <v>7.7937011405869514</v>
      </c>
      <c r="E1186" s="58">
        <f>+VLOOKUP(A1186,[1]Base!$A$11:$R$1579,18,FALSE)</f>
        <v>9.742126425733689</v>
      </c>
      <c r="F1186">
        <f>+VLOOKUP(A1186,[1]Base!$A$11:$O$1264,15,FALSE)</f>
        <v>7.7937011405869514</v>
      </c>
      <c r="G1186">
        <f t="shared" si="18"/>
        <v>1</v>
      </c>
    </row>
    <row r="1187" spans="1:7" x14ac:dyDescent="0.25">
      <c r="A1187" s="36" t="s">
        <v>955</v>
      </c>
      <c r="B1187" s="37" t="s">
        <v>956</v>
      </c>
      <c r="C1187" s="63">
        <v>1</v>
      </c>
      <c r="D1187" s="58">
        <f>+VLOOKUP(A1187,[1]Base!$A$11:$O$1318,15,FALSE)</f>
        <v>7.8215109573241062</v>
      </c>
      <c r="E1187" s="58">
        <f>+VLOOKUP(A1187,[1]Base!$A$11:$R$1579,18,FALSE)</f>
        <v>9.7768886966551314</v>
      </c>
      <c r="F1187">
        <f>+VLOOKUP(A1187,[1]Base!$A$11:$O$1264,15,FALSE)</f>
        <v>7.8215109573241062</v>
      </c>
      <c r="G1187">
        <f t="shared" si="18"/>
        <v>1</v>
      </c>
    </row>
    <row r="1188" spans="1:7" x14ac:dyDescent="0.25">
      <c r="A1188" s="36" t="s">
        <v>957</v>
      </c>
      <c r="B1188" s="37" t="s">
        <v>958</v>
      </c>
      <c r="C1188" s="63">
        <v>1</v>
      </c>
      <c r="D1188" s="58">
        <f>+VLOOKUP(A1188,[1]Base!$A$11:$O$1318,15,FALSE)</f>
        <v>9.5596245033961296</v>
      </c>
      <c r="E1188" s="58">
        <f>+VLOOKUP(A1188,[1]Base!$A$11:$R$1579,18,FALSE)</f>
        <v>11.949530629245162</v>
      </c>
      <c r="F1188">
        <f>+VLOOKUP(A1188,[1]Base!$A$11:$O$1264,15,FALSE)</f>
        <v>9.5596245033961296</v>
      </c>
      <c r="G1188">
        <f t="shared" si="18"/>
        <v>1</v>
      </c>
    </row>
    <row r="1189" spans="1:7" x14ac:dyDescent="0.25">
      <c r="A1189" s="36" t="s">
        <v>969</v>
      </c>
      <c r="B1189" s="37" t="s">
        <v>970</v>
      </c>
      <c r="C1189" s="63">
        <v>100</v>
      </c>
      <c r="D1189" s="58">
        <f>+VLOOKUP(A1189,[1]Base!$A$11:$O$1318,15,FALSE)</f>
        <v>1.5274950810774137</v>
      </c>
      <c r="E1189" s="58">
        <f>+VLOOKUP(A1189,[1]Base!$A$11:$R$1579,18,FALSE)</f>
        <v>1.909368851346767</v>
      </c>
      <c r="F1189">
        <f>+VLOOKUP(A1189,[1]Base!$A$11:$O$1264,15,FALSE)</f>
        <v>1.5274950810774137</v>
      </c>
      <c r="G1189">
        <f t="shared" si="18"/>
        <v>1</v>
      </c>
    </row>
    <row r="1190" spans="1:7" x14ac:dyDescent="0.25">
      <c r="A1190" s="36" t="s">
        <v>1041</v>
      </c>
      <c r="B1190" s="37" t="s">
        <v>1042</v>
      </c>
      <c r="C1190" s="63">
        <v>1</v>
      </c>
      <c r="D1190" s="58">
        <f>+VLOOKUP(A1190,[1]Base!$A$11:$O$1318,15,FALSE)</f>
        <v>5.9811554379537279E-2</v>
      </c>
      <c r="E1190" s="58">
        <f>+VLOOKUP(A1190,[1]Base!$A$11:$R$1579,18,FALSE)</f>
        <v>7.4764442974421599E-2</v>
      </c>
      <c r="F1190">
        <f>+VLOOKUP(A1190,[1]Base!$A$11:$O$1264,15,FALSE)</f>
        <v>5.9811554379537279E-2</v>
      </c>
      <c r="G1190">
        <f t="shared" si="18"/>
        <v>1</v>
      </c>
    </row>
    <row r="1191" spans="1:7" x14ac:dyDescent="0.25">
      <c r="A1191" s="36" t="s">
        <v>1099</v>
      </c>
      <c r="B1191" s="37" t="s">
        <v>1100</v>
      </c>
      <c r="C1191" s="63">
        <v>1</v>
      </c>
      <c r="D1191" s="58">
        <f>+VLOOKUP(A1191,[1]Base!$A$11:$O$1318,15,FALSE)</f>
        <v>1.3423450916314237</v>
      </c>
      <c r="E1191" s="58">
        <f>+VLOOKUP(A1191,[1]Base!$A$11:$R$1579,18,FALSE)</f>
        <v>1.6779313645392795</v>
      </c>
      <c r="F1191">
        <f>+VLOOKUP(A1191,[1]Base!$A$11:$O$1264,15,FALSE)</f>
        <v>1.3423450916314237</v>
      </c>
      <c r="G1191">
        <f t="shared" si="18"/>
        <v>1</v>
      </c>
    </row>
    <row r="1192" spans="1:7" x14ac:dyDescent="0.25">
      <c r="A1192" s="36" t="s">
        <v>1101</v>
      </c>
      <c r="B1192" s="37" t="s">
        <v>1102</v>
      </c>
      <c r="C1192" s="63">
        <v>1</v>
      </c>
      <c r="D1192" s="58">
        <f>+VLOOKUP(A1192,[1]Base!$A$11:$O$1318,15,FALSE)</f>
        <v>1.6426911123926695</v>
      </c>
      <c r="E1192" s="58">
        <f>+VLOOKUP(A1192,[1]Base!$A$11:$R$1579,18,FALSE)</f>
        <v>2.0533638904908367</v>
      </c>
      <c r="F1192">
        <f>+VLOOKUP(A1192,[1]Base!$A$11:$O$1264,15,FALSE)</f>
        <v>1.6426911123926695</v>
      </c>
      <c r="G1192">
        <f t="shared" si="18"/>
        <v>1</v>
      </c>
    </row>
    <row r="1193" spans="1:7" x14ac:dyDescent="0.25">
      <c r="A1193" s="36" t="s">
        <v>1107</v>
      </c>
      <c r="B1193" s="37" t="s">
        <v>1108</v>
      </c>
      <c r="C1193" s="63">
        <v>1</v>
      </c>
      <c r="D1193" s="58">
        <f>+VLOOKUP(A1193,[1]Base!$A$11:$O$1318,15,FALSE)</f>
        <v>1.1276880686915285</v>
      </c>
      <c r="E1193" s="58">
        <f>+VLOOKUP(A1193,[1]Base!$A$11:$R$1579,18,FALSE)</f>
        <v>1.4096100858644105</v>
      </c>
      <c r="F1193">
        <f>+VLOOKUP(A1193,[1]Base!$A$11:$O$1264,15,FALSE)</f>
        <v>1.1276880686915285</v>
      </c>
      <c r="G1193">
        <f t="shared" si="18"/>
        <v>1</v>
      </c>
    </row>
    <row r="1194" spans="1:7" x14ac:dyDescent="0.25">
      <c r="A1194" s="36" t="s">
        <v>1169</v>
      </c>
      <c r="B1194" s="37" t="s">
        <v>1170</v>
      </c>
      <c r="C1194" s="63">
        <v>100</v>
      </c>
      <c r="D1194" s="58">
        <f>+VLOOKUP(A1194,[1]Base!$A$11:$O$1318,15,FALSE)</f>
        <v>0.51603568763145391</v>
      </c>
      <c r="E1194" s="58">
        <f>+VLOOKUP(A1194,[1]Base!$A$11:$R$1579,18,FALSE)</f>
        <v>0.6450446095393173</v>
      </c>
      <c r="F1194">
        <f>+VLOOKUP(A1194,[1]Base!$A$11:$O$1264,15,FALSE)</f>
        <v>0.51603568763145391</v>
      </c>
      <c r="G1194">
        <f t="shared" si="18"/>
        <v>1</v>
      </c>
    </row>
    <row r="1195" spans="1:7" x14ac:dyDescent="0.25">
      <c r="A1195" s="402" t="s">
        <v>1173</v>
      </c>
      <c r="B1195" s="55" t="s">
        <v>1174</v>
      </c>
      <c r="C1195" s="63">
        <v>100</v>
      </c>
      <c r="D1195" s="58">
        <f>+VLOOKUP(A1195,[1]Base!$A$11:$O$1318,15,FALSE)</f>
        <v>0.91870547526969271</v>
      </c>
      <c r="E1195" s="58">
        <f>+VLOOKUP(A1195,[1]Base!$A$11:$R$1579,18,FALSE)</f>
        <v>1.1483818440871159</v>
      </c>
      <c r="F1195">
        <f>+VLOOKUP(A1195,[1]Base!$A$11:$O$1264,15,FALSE)</f>
        <v>0.91870547526969271</v>
      </c>
      <c r="G1195">
        <f t="shared" si="18"/>
        <v>1</v>
      </c>
    </row>
    <row r="1196" spans="1:7" x14ac:dyDescent="0.25">
      <c r="A1196" s="402" t="s">
        <v>1203</v>
      </c>
      <c r="B1196" s="37" t="s">
        <v>1204</v>
      </c>
      <c r="C1196" s="63">
        <v>1</v>
      </c>
      <c r="D1196" s="58">
        <f>+VLOOKUP(A1196,[1]Base!$A$11:$O$1318,15,FALSE)</f>
        <v>0.24663831218762008</v>
      </c>
      <c r="E1196" s="58">
        <f>+VLOOKUP(A1196,[1]Base!$A$11:$R$1579,18,FALSE)</f>
        <v>0.30829789023452508</v>
      </c>
      <c r="F1196">
        <f>+VLOOKUP(A1196,[1]Base!$A$11:$O$1264,15,FALSE)</f>
        <v>0.24663831218762008</v>
      </c>
      <c r="G1196">
        <f t="shared" si="18"/>
        <v>1</v>
      </c>
    </row>
    <row r="1197" spans="1:7" x14ac:dyDescent="0.25">
      <c r="A1197" s="402" t="s">
        <v>1217</v>
      </c>
      <c r="B1197" s="37" t="s">
        <v>1218</v>
      </c>
      <c r="C1197" s="63">
        <v>1</v>
      </c>
      <c r="D1197" s="58">
        <f>+VLOOKUP(A1197,[1]Base!$A$11:$O$1318,15,FALSE)</f>
        <v>2.7809816737152375</v>
      </c>
      <c r="E1197" s="58">
        <f>+VLOOKUP(A1197,[1]Base!$A$11:$R$1579,18,FALSE)</f>
        <v>3.4762270921440468</v>
      </c>
      <c r="F1197">
        <f>+VLOOKUP(A1197,[1]Base!$A$11:$O$1264,15,FALSE)</f>
        <v>2.7809816737152375</v>
      </c>
      <c r="G1197">
        <f t="shared" si="18"/>
        <v>1</v>
      </c>
    </row>
    <row r="1198" spans="1:7" x14ac:dyDescent="0.25">
      <c r="A1198" s="402" t="s">
        <v>1219</v>
      </c>
      <c r="B1198" s="37" t="s">
        <v>1220</v>
      </c>
      <c r="C1198" s="63">
        <v>1</v>
      </c>
      <c r="D1198" s="58">
        <f>+VLOOKUP(A1198,[1]Base!$A$11:$O$1318,15,FALSE)</f>
        <v>2.7809816737152375</v>
      </c>
      <c r="E1198" s="58">
        <f>+VLOOKUP(A1198,[1]Base!$A$11:$R$1579,18,FALSE)</f>
        <v>3.4762270921440468</v>
      </c>
      <c r="F1198">
        <f>+VLOOKUP(A1198,[1]Base!$A$11:$O$1264,15,FALSE)</f>
        <v>2.7809816737152375</v>
      </c>
      <c r="G1198">
        <f t="shared" si="18"/>
        <v>1</v>
      </c>
    </row>
    <row r="1199" spans="1:7" x14ac:dyDescent="0.25">
      <c r="A1199" s="402" t="s">
        <v>1233</v>
      </c>
      <c r="B1199" s="37" t="s">
        <v>1234</v>
      </c>
      <c r="C1199" s="400">
        <v>1</v>
      </c>
      <c r="D1199" s="58">
        <f>+VLOOKUP(A1199,[1]Base!$A$11:$O$1318,15,FALSE)</f>
        <v>31.286043829296425</v>
      </c>
      <c r="E1199" s="58">
        <f>+VLOOKUP(A1199,[1]Base!$A$11:$R$1579,18,FALSE)</f>
        <v>39.107554786620526</v>
      </c>
      <c r="F1199">
        <f>+VLOOKUP(A1199,[1]Base!$A$11:$O$1264,15,FALSE)</f>
        <v>31.286043829296425</v>
      </c>
      <c r="G1199">
        <f t="shared" si="18"/>
        <v>1</v>
      </c>
    </row>
    <row r="1200" spans="1:7" x14ac:dyDescent="0.25">
      <c r="A1200" s="404" t="s">
        <v>1243</v>
      </c>
      <c r="B1200" s="37" t="s">
        <v>1244</v>
      </c>
      <c r="C1200" s="400">
        <v>1</v>
      </c>
      <c r="D1200" s="58">
        <f>+VLOOKUP(A1200,[1]Base!$A$11:$O$1318,15,FALSE)</f>
        <v>13.557285659361785</v>
      </c>
      <c r="E1200" s="58">
        <f>+VLOOKUP(A1200,[1]Base!$A$11:$R$1579,18,FALSE)</f>
        <v>16.94660707420223</v>
      </c>
      <c r="F1200">
        <f>+VLOOKUP(A1200,[1]Base!$A$11:$O$1264,15,FALSE)</f>
        <v>13.557285659361785</v>
      </c>
      <c r="G1200">
        <f t="shared" si="18"/>
        <v>1</v>
      </c>
    </row>
    <row r="1201" spans="1:7" x14ac:dyDescent="0.25">
      <c r="A1201" s="36" t="s">
        <v>1286</v>
      </c>
      <c r="B1201" s="37" t="s">
        <v>1287</v>
      </c>
      <c r="C1201" s="401">
        <v>1</v>
      </c>
      <c r="D1201" s="58">
        <f>+VLOOKUP(A1201,[1]Base!$A$11:$O$1318,15,FALSE)</f>
        <v>5.9811554379537279E-2</v>
      </c>
      <c r="E1201" s="58">
        <f>+VLOOKUP(A1201,[1]Base!$A$11:$R$1579,18,FALSE)</f>
        <v>7.4764442974421599E-2</v>
      </c>
      <c r="F1201">
        <f>+VLOOKUP(A1201,[1]Base!$A$11:$O$1264,15,FALSE)</f>
        <v>5.9811554379537279E-2</v>
      </c>
      <c r="G1201">
        <f t="shared" si="18"/>
        <v>1</v>
      </c>
    </row>
    <row r="1202" spans="1:7" x14ac:dyDescent="0.25">
      <c r="A1202" s="36" t="s">
        <v>1288</v>
      </c>
      <c r="B1202" s="37" t="s">
        <v>1289</v>
      </c>
      <c r="C1202" s="400">
        <v>1</v>
      </c>
      <c r="D1202" s="58">
        <f>+VLOOKUP(A1202,[1]Base!$A$11:$O$1318,15,FALSE)</f>
        <v>5.9811554379537279E-2</v>
      </c>
      <c r="E1202" s="58">
        <f>+VLOOKUP(A1202,[1]Base!$A$11:$R$1579,18,FALSE)</f>
        <v>7.4764442974421599E-2</v>
      </c>
      <c r="F1202">
        <f>+VLOOKUP(A1202,[1]Base!$A$11:$O$1264,15,FALSE)</f>
        <v>5.9811554379537279E-2</v>
      </c>
      <c r="G1202">
        <f t="shared" si="18"/>
        <v>1</v>
      </c>
    </row>
    <row r="1203" spans="1:7" x14ac:dyDescent="0.25">
      <c r="A1203" s="36" t="s">
        <v>1290</v>
      </c>
      <c r="B1203" s="37" t="s">
        <v>1291</v>
      </c>
      <c r="C1203" s="400">
        <v>1</v>
      </c>
      <c r="D1203" s="58">
        <f>+VLOOKUP(A1203,[1]Base!$A$11:$O$1318,15,FALSE)</f>
        <v>5.9811554379537279E-2</v>
      </c>
      <c r="E1203" s="58">
        <f>+VLOOKUP(A1203,[1]Base!$A$11:$R$1579,18,FALSE)</f>
        <v>7.4764442974421599E-2</v>
      </c>
      <c r="F1203">
        <f>+VLOOKUP(A1203,[1]Base!$A$11:$O$1264,15,FALSE)</f>
        <v>5.9811554379537279E-2</v>
      </c>
      <c r="G1203">
        <f t="shared" si="18"/>
        <v>1</v>
      </c>
    </row>
    <row r="1204" spans="1:7" x14ac:dyDescent="0.25">
      <c r="A1204" s="36" t="s">
        <v>1292</v>
      </c>
      <c r="B1204" s="37" t="s">
        <v>1293</v>
      </c>
      <c r="C1204" s="400">
        <v>1</v>
      </c>
      <c r="D1204" s="58">
        <f>+VLOOKUP(A1204,[1]Base!$A$11:$O$1318,15,FALSE)</f>
        <v>5.9811554379537279E-2</v>
      </c>
      <c r="E1204" s="58">
        <f>+VLOOKUP(A1204,[1]Base!$A$11:$R$1579,18,FALSE)</f>
        <v>7.4764442974421599E-2</v>
      </c>
      <c r="F1204">
        <f>+VLOOKUP(A1204,[1]Base!$A$11:$O$1264,15,FALSE)</f>
        <v>5.9811554379537279E-2</v>
      </c>
      <c r="G1204">
        <f t="shared" si="18"/>
        <v>1</v>
      </c>
    </row>
    <row r="1205" spans="1:7" x14ac:dyDescent="0.25">
      <c r="A1205" s="36" t="s">
        <v>1294</v>
      </c>
      <c r="B1205" s="37" t="s">
        <v>1295</v>
      </c>
      <c r="C1205" s="400">
        <v>1</v>
      </c>
      <c r="D1205" s="58">
        <f>+VLOOKUP(A1205,[1]Base!$A$11:$O$1318,15,FALSE)</f>
        <v>5.9811554379537279E-2</v>
      </c>
      <c r="E1205" s="58">
        <f>+VLOOKUP(A1205,[1]Base!$A$11:$R$1579,18,FALSE)</f>
        <v>7.4764442974421599E-2</v>
      </c>
      <c r="F1205">
        <f>+VLOOKUP(A1205,[1]Base!$A$11:$O$1264,15,FALSE)</f>
        <v>5.9811554379537279E-2</v>
      </c>
      <c r="G1205">
        <f t="shared" si="18"/>
        <v>1</v>
      </c>
    </row>
    <row r="1206" spans="1:7" x14ac:dyDescent="0.25">
      <c r="A1206" s="36" t="s">
        <v>1296</v>
      </c>
      <c r="B1206" s="37" t="s">
        <v>1297</v>
      </c>
      <c r="C1206" s="400">
        <v>1</v>
      </c>
      <c r="D1206" s="58">
        <f>+VLOOKUP(A1206,[1]Base!$A$11:$O$1318,15,FALSE)</f>
        <v>5.9811554379537279E-2</v>
      </c>
      <c r="E1206" s="58">
        <f>+VLOOKUP(A1206,[1]Base!$A$11:$R$1579,18,FALSE)</f>
        <v>7.4764442974421599E-2</v>
      </c>
      <c r="F1206">
        <f>+VLOOKUP(A1206,[1]Base!$A$11:$O$1264,15,FALSE)</f>
        <v>5.9811554379537279E-2</v>
      </c>
      <c r="G1206">
        <f t="shared" si="18"/>
        <v>1</v>
      </c>
    </row>
    <row r="1207" spans="1:7" x14ac:dyDescent="0.25">
      <c r="A1207" s="36" t="s">
        <v>1298</v>
      </c>
      <c r="B1207" s="398" t="s">
        <v>1299</v>
      </c>
      <c r="C1207" s="400">
        <v>1</v>
      </c>
      <c r="D1207" s="58">
        <f>+VLOOKUP(A1207,[1]Base!$A$11:$O$1318,15,FALSE)</f>
        <v>5.9811554379537279E-2</v>
      </c>
      <c r="E1207" s="58">
        <f>+VLOOKUP(A1207,[1]Base!$A$11:$R$1579,18,FALSE)</f>
        <v>7.4764442974421599E-2</v>
      </c>
      <c r="F1207">
        <f>+VLOOKUP(A1207,[1]Base!$A$11:$O$1264,15,FALSE)</f>
        <v>5.9811554379537279E-2</v>
      </c>
      <c r="G1207">
        <f t="shared" si="18"/>
        <v>1</v>
      </c>
    </row>
    <row r="1208" spans="1:7" x14ac:dyDescent="0.25">
      <c r="A1208" s="403" t="s">
        <v>1300</v>
      </c>
      <c r="B1208" s="37" t="s">
        <v>1301</v>
      </c>
      <c r="C1208" s="63">
        <v>1</v>
      </c>
      <c r="D1208" s="58">
        <f>+VLOOKUP(A1208,[1]Base!$A$11:$O$1318,15,FALSE)</f>
        <v>5.9811554379537279E-2</v>
      </c>
      <c r="E1208" s="58">
        <f>+VLOOKUP(A1208,[1]Base!$A$11:$R$1579,18,FALSE)</f>
        <v>7.4764442974421599E-2</v>
      </c>
      <c r="F1208">
        <f>+VLOOKUP(A1208,[1]Base!$A$11:$O$1264,15,FALSE)</f>
        <v>5.9811554379537279E-2</v>
      </c>
      <c r="G1208">
        <f t="shared" si="18"/>
        <v>1</v>
      </c>
    </row>
    <row r="1209" spans="1:7" x14ac:dyDescent="0.25">
      <c r="A1209" s="403" t="s">
        <v>1306</v>
      </c>
      <c r="B1209" s="37" t="s">
        <v>1307</v>
      </c>
      <c r="C1209" s="63">
        <v>1</v>
      </c>
      <c r="D1209" s="58">
        <f>+VLOOKUP(A1209,[1]Base!$A$11:$O$1318,15,FALSE)</f>
        <v>1.2882488635592644E-2</v>
      </c>
      <c r="E1209" s="58">
        <f>+VLOOKUP(A1209,[1]Base!$A$11:$R$1579,18,FALSE)</f>
        <v>1.6103110794490803E-2</v>
      </c>
      <c r="F1209">
        <f>+VLOOKUP(A1209,[1]Base!$A$11:$O$1264,15,FALSE)</f>
        <v>1.2882488635592644E-2</v>
      </c>
      <c r="G1209">
        <f t="shared" si="18"/>
        <v>1</v>
      </c>
    </row>
    <row r="1210" spans="1:7" x14ac:dyDescent="0.25">
      <c r="A1210" s="36" t="s">
        <v>1308</v>
      </c>
      <c r="B1210" s="37" t="s">
        <v>1309</v>
      </c>
      <c r="C1210" s="63">
        <v>1</v>
      </c>
      <c r="D1210" s="58">
        <f>+VLOOKUP(A1210,[1]Base!$A$11:$O$1318,15,FALSE)</f>
        <v>0.40947910305990909</v>
      </c>
      <c r="E1210" s="58">
        <f>+VLOOKUP(A1210,[1]Base!$A$11:$R$1579,18,FALSE)</f>
        <v>0.51184887882488628</v>
      </c>
      <c r="F1210">
        <f>+VLOOKUP(A1210,[1]Base!$A$11:$O$1264,15,FALSE)</f>
        <v>0.40947910305990909</v>
      </c>
      <c r="G1210">
        <f t="shared" si="18"/>
        <v>1</v>
      </c>
    </row>
    <row r="1211" spans="1:7" x14ac:dyDescent="0.25">
      <c r="A1211" s="36" t="s">
        <v>1318</v>
      </c>
      <c r="B1211" s="37" t="s">
        <v>1319</v>
      </c>
      <c r="C1211" s="63">
        <v>1</v>
      </c>
      <c r="D1211" s="58">
        <f>+VLOOKUP(A1211,[1]Base!$A$11:$O$1318,15,FALSE)</f>
        <v>0.55854790012890965</v>
      </c>
      <c r="E1211" s="58">
        <f>+VLOOKUP(A1211,[1]Base!$A$11:$R$1579,18,FALSE)</f>
        <v>0.69818487516113703</v>
      </c>
      <c r="F1211">
        <f>+VLOOKUP(A1211,[1]Base!$A$11:$O$1264,15,FALSE)</f>
        <v>0.55854790012890965</v>
      </c>
      <c r="G1211">
        <f t="shared" si="18"/>
        <v>1</v>
      </c>
    </row>
    <row r="1212" spans="1:7" x14ac:dyDescent="0.25">
      <c r="A1212" s="36" t="s">
        <v>1322</v>
      </c>
      <c r="B1212" s="37" t="s">
        <v>1323</v>
      </c>
      <c r="C1212" s="63">
        <v>1</v>
      </c>
      <c r="D1212" s="58">
        <f>+VLOOKUP(A1212,[1]Base!$A$11:$O$1318,15,FALSE)</f>
        <v>0.15919075242553768</v>
      </c>
      <c r="E1212" s="58">
        <f>+VLOOKUP(A1212,[1]Base!$A$11:$R$1579,18,FALSE)</f>
        <v>0.19898844053192208</v>
      </c>
      <c r="F1212">
        <f>+VLOOKUP(A1212,[1]Base!$A$11:$O$1264,15,FALSE)</f>
        <v>0.15919075242553768</v>
      </c>
      <c r="G1212">
        <f t="shared" si="18"/>
        <v>1</v>
      </c>
    </row>
    <row r="1213" spans="1:7" x14ac:dyDescent="0.25">
      <c r="A1213" s="36" t="s">
        <v>1324</v>
      </c>
      <c r="B1213" s="37" t="s">
        <v>1325</v>
      </c>
      <c r="C1213" s="63">
        <v>1</v>
      </c>
      <c r="D1213" s="58">
        <f>+VLOOKUP(A1213,[1]Base!$A$11:$O$1318,15,FALSE)</f>
        <v>0.15919075242553768</v>
      </c>
      <c r="E1213" s="58">
        <f>+VLOOKUP(A1213,[1]Base!$A$11:$R$1579,18,FALSE)</f>
        <v>0.19898844053192208</v>
      </c>
      <c r="F1213">
        <f>+VLOOKUP(A1213,[1]Base!$A$11:$O$1264,15,FALSE)</f>
        <v>0.15919075242553768</v>
      </c>
      <c r="G1213">
        <f t="shared" si="18"/>
        <v>1</v>
      </c>
    </row>
    <row r="1214" spans="1:7" x14ac:dyDescent="0.25">
      <c r="A1214" s="36" t="s">
        <v>1326</v>
      </c>
      <c r="B1214" s="37" t="s">
        <v>1327</v>
      </c>
      <c r="C1214" s="63">
        <v>1</v>
      </c>
      <c r="D1214" s="58">
        <f>+VLOOKUP(A1214,[1]Base!$A$11:$O$1318,15,FALSE)</f>
        <v>0.15919075242553768</v>
      </c>
      <c r="E1214" s="58">
        <f>+VLOOKUP(A1214,[1]Base!$A$11:$R$1579,18,FALSE)</f>
        <v>0.19898844053192208</v>
      </c>
      <c r="F1214">
        <f>+VLOOKUP(A1214,[1]Base!$A$11:$O$1264,15,FALSE)</f>
        <v>0.15919075242553768</v>
      </c>
      <c r="G1214">
        <f t="shared" si="18"/>
        <v>1</v>
      </c>
    </row>
    <row r="1215" spans="1:7" x14ac:dyDescent="0.25">
      <c r="A1215" s="36" t="s">
        <v>1334</v>
      </c>
      <c r="B1215" s="37" t="s">
        <v>1335</v>
      </c>
      <c r="C1215" s="63">
        <v>1</v>
      </c>
      <c r="D1215" s="58">
        <f>+VLOOKUP(A1215,[1]Base!$A$11:$O$1318,15,FALSE)</f>
        <v>0.74350362982563256</v>
      </c>
      <c r="E1215" s="58">
        <f>+VLOOKUP(A1215,[1]Base!$A$11:$R$1579,18,FALSE)</f>
        <v>0.9293795372820407</v>
      </c>
      <c r="F1215">
        <f>+VLOOKUP(A1215,[1]Base!$A$11:$O$1264,15,FALSE)</f>
        <v>0.74350362982563256</v>
      </c>
      <c r="G1215">
        <f t="shared" si="18"/>
        <v>1</v>
      </c>
    </row>
    <row r="1216" spans="1:7" x14ac:dyDescent="0.25">
      <c r="A1216" s="36" t="s">
        <v>1336</v>
      </c>
      <c r="B1216" s="37" t="s">
        <v>1337</v>
      </c>
      <c r="C1216" s="63">
        <v>1</v>
      </c>
      <c r="D1216" s="58">
        <f>+VLOOKUP(A1216,[1]Base!$A$11:$O$1318,15,FALSE)</f>
        <v>0.74350362982563256</v>
      </c>
      <c r="E1216" s="58">
        <f>+VLOOKUP(A1216,[1]Base!$A$11:$R$1579,18,FALSE)</f>
        <v>0.9293795372820407</v>
      </c>
      <c r="F1216">
        <f>+VLOOKUP(A1216,[1]Base!$A$11:$O$1264,15,FALSE)</f>
        <v>0.74350362982563256</v>
      </c>
      <c r="G1216">
        <f t="shared" si="18"/>
        <v>1</v>
      </c>
    </row>
    <row r="1217" spans="1:7" x14ac:dyDescent="0.25">
      <c r="A1217" s="36" t="s">
        <v>1338</v>
      </c>
      <c r="B1217" s="37" t="s">
        <v>1339</v>
      </c>
      <c r="C1217" s="63">
        <v>1</v>
      </c>
      <c r="D1217" s="58">
        <f>+VLOOKUP(A1217,[1]Base!$A$11:$O$1318,15,FALSE)</f>
        <v>0.74350362982563256</v>
      </c>
      <c r="E1217" s="58">
        <f>+VLOOKUP(A1217,[1]Base!$A$11:$R$1579,18,FALSE)</f>
        <v>0.9293795372820407</v>
      </c>
      <c r="F1217">
        <f>+VLOOKUP(A1217,[1]Base!$A$11:$O$1264,15,FALSE)</f>
        <v>0.74350362982563256</v>
      </c>
      <c r="G1217">
        <f t="shared" si="18"/>
        <v>1</v>
      </c>
    </row>
    <row r="1218" spans="1:7" x14ac:dyDescent="0.25">
      <c r="A1218" s="36" t="s">
        <v>1354</v>
      </c>
      <c r="B1218" s="37" t="s">
        <v>1353</v>
      </c>
      <c r="C1218" s="63">
        <v>1</v>
      </c>
      <c r="D1218" s="58">
        <f>+VLOOKUP(A1218,[1]Base!$A$11:$O$1318,15,FALSE)</f>
        <v>0.10305990908474115</v>
      </c>
      <c r="E1218" s="58">
        <f>+VLOOKUP(A1218,[1]Base!$A$11:$R$1579,18,FALSE)</f>
        <v>0.12882488635592643</v>
      </c>
      <c r="F1218">
        <f>+VLOOKUP(A1218,[1]Base!$A$11:$O$1264,15,FALSE)</f>
        <v>0.10305990908474115</v>
      </c>
      <c r="G1218">
        <f t="shared" si="18"/>
        <v>1</v>
      </c>
    </row>
    <row r="1219" spans="1:7" x14ac:dyDescent="0.25">
      <c r="A1219" s="36" t="s">
        <v>1363</v>
      </c>
      <c r="B1219" s="37" t="s">
        <v>1364</v>
      </c>
      <c r="C1219" s="63">
        <v>1</v>
      </c>
      <c r="D1219" s="58">
        <f>+VLOOKUP(A1219,[1]Base!$A$11:$O$1318,15,FALSE)</f>
        <v>5.1529954542370575E-2</v>
      </c>
      <c r="E1219" s="58">
        <f>+VLOOKUP(A1219,[1]Base!$A$11:$R$1579,18,FALSE)</f>
        <v>6.4412443177963213E-2</v>
      </c>
      <c r="F1219">
        <f>+VLOOKUP(A1219,[1]Base!$A$11:$O$1264,15,FALSE)</f>
        <v>5.1529954542370575E-2</v>
      </c>
      <c r="G1219">
        <f t="shared" si="18"/>
        <v>1</v>
      </c>
    </row>
    <row r="1220" spans="1:7" x14ac:dyDescent="0.25">
      <c r="A1220" s="36" t="s">
        <v>1376</v>
      </c>
      <c r="B1220" s="37" t="s">
        <v>1377</v>
      </c>
      <c r="C1220" s="63">
        <v>1</v>
      </c>
      <c r="D1220" s="58">
        <f>+VLOOKUP(A1220,[1]Base!$A$11:$O$1318,15,FALSE)</f>
        <v>0.564989144446706</v>
      </c>
      <c r="E1220" s="58">
        <f>+VLOOKUP(A1220,[1]Base!$A$11:$R$1579,18,FALSE)</f>
        <v>0.70623643055838248</v>
      </c>
      <c r="F1220">
        <f>+VLOOKUP(A1220,[1]Base!$A$11:$O$1264,15,FALSE)</f>
        <v>0.564989144446706</v>
      </c>
      <c r="G1220">
        <f t="shared" ref="G1220:G1283" si="19">+F1220/D1220</f>
        <v>1</v>
      </c>
    </row>
    <row r="1221" spans="1:7" x14ac:dyDescent="0.25">
      <c r="A1221" s="36" t="s">
        <v>1388</v>
      </c>
      <c r="B1221" s="37" t="s">
        <v>1389</v>
      </c>
      <c r="C1221" s="63">
        <v>1</v>
      </c>
      <c r="D1221" s="58">
        <f>+VLOOKUP(A1221,[1]Base!$A$11:$O$1318,15,FALSE)</f>
        <v>0.69749474184137328</v>
      </c>
      <c r="E1221" s="58">
        <f>+VLOOKUP(A1221,[1]Base!$A$11:$R$1579,18,FALSE)</f>
        <v>0.87186842730171654</v>
      </c>
      <c r="F1221">
        <f>+VLOOKUP(A1221,[1]Base!$A$11:$O$1264,15,FALSE)</f>
        <v>0.69749474184137328</v>
      </c>
      <c r="G1221">
        <f t="shared" si="19"/>
        <v>1</v>
      </c>
    </row>
    <row r="1222" spans="1:7" x14ac:dyDescent="0.25">
      <c r="A1222" s="405" t="s">
        <v>1390</v>
      </c>
      <c r="B1222" s="395" t="s">
        <v>1391</v>
      </c>
      <c r="C1222" s="400">
        <v>1</v>
      </c>
      <c r="D1222" s="58">
        <f>+VLOOKUP(A1222,[1]Base!$A$11:$O$1318,15,FALSE)</f>
        <v>0.62848140986498402</v>
      </c>
      <c r="E1222" s="58">
        <f>+VLOOKUP(A1222,[1]Base!$A$11:$R$1579,18,FALSE)</f>
        <v>0.78560176233123002</v>
      </c>
      <c r="F1222">
        <f>+VLOOKUP(A1222,[1]Base!$A$11:$O$1264,15,FALSE)</f>
        <v>0.62848140986498402</v>
      </c>
      <c r="G1222">
        <f t="shared" si="19"/>
        <v>1</v>
      </c>
    </row>
    <row r="1223" spans="1:7" x14ac:dyDescent="0.25">
      <c r="A1223" s="393" t="s">
        <v>1402</v>
      </c>
      <c r="B1223" s="410" t="s">
        <v>1403</v>
      </c>
      <c r="C1223" s="400">
        <v>1</v>
      </c>
      <c r="D1223" s="58">
        <f>+VLOOKUP(A1223,[1]Base!$A$11:$O$1318,15,FALSE)</f>
        <v>0.18587590745640814</v>
      </c>
      <c r="E1223" s="58">
        <f>+VLOOKUP(A1223,[1]Base!$A$11:$R$1579,18,FALSE)</f>
        <v>0.23234488432051018</v>
      </c>
      <c r="F1223">
        <f>+VLOOKUP(A1223,[1]Base!$A$11:$O$1264,15,FALSE)</f>
        <v>0.18587590745640814</v>
      </c>
      <c r="G1223">
        <f t="shared" si="19"/>
        <v>1</v>
      </c>
    </row>
    <row r="1224" spans="1:7" x14ac:dyDescent="0.25">
      <c r="A1224" s="388" t="s">
        <v>1410</v>
      </c>
      <c r="B1224" s="410" t="s">
        <v>1411</v>
      </c>
      <c r="C1224" s="400">
        <v>1</v>
      </c>
      <c r="D1224" s="58">
        <f>+VLOOKUP(A1224,[1]Base!$A$11:$O$1318,15,FALSE)</f>
        <v>0.23648568423909352</v>
      </c>
      <c r="E1224" s="58">
        <f>+VLOOKUP(A1224,[1]Base!$A$11:$R$1579,18,FALSE)</f>
        <v>0.29560710529886691</v>
      </c>
      <c r="F1224">
        <f>+VLOOKUP(A1224,[1]Base!$A$11:$O$1264,15,FALSE)</f>
        <v>0.23648568423909352</v>
      </c>
      <c r="G1224">
        <f t="shared" si="19"/>
        <v>1</v>
      </c>
    </row>
    <row r="1225" spans="1:7" x14ac:dyDescent="0.25">
      <c r="A1225" s="388" t="s">
        <v>1418</v>
      </c>
      <c r="B1225" s="410" t="s">
        <v>1419</v>
      </c>
      <c r="C1225" s="400">
        <v>1</v>
      </c>
      <c r="D1225" s="58">
        <f>+VLOOKUP(A1225,[1]Base!$A$11:$O$1318,15,FALSE)</f>
        <v>0.67633065336861387</v>
      </c>
      <c r="E1225" s="58">
        <f>+VLOOKUP(A1225,[1]Base!$A$11:$R$1579,18,FALSE)</f>
        <v>0.84541331671076725</v>
      </c>
      <c r="F1225">
        <f>+VLOOKUP(A1225,[1]Base!$A$11:$O$1264,15,FALSE)</f>
        <v>0.67633065336861387</v>
      </c>
      <c r="G1225">
        <f t="shared" si="19"/>
        <v>1</v>
      </c>
    </row>
    <row r="1226" spans="1:7" x14ac:dyDescent="0.25">
      <c r="A1226" s="36" t="s">
        <v>1426</v>
      </c>
      <c r="B1226" s="408" t="s">
        <v>1427</v>
      </c>
      <c r="C1226" s="400">
        <v>1</v>
      </c>
      <c r="D1226" s="58">
        <f>+VLOOKUP(A1226,[1]Base!$A$11:$O$1318,15,FALSE)</f>
        <v>9.4778309247574452E-2</v>
      </c>
      <c r="E1226" s="58">
        <f>+VLOOKUP(A1226,[1]Base!$A$11:$R$1579,18,FALSE)</f>
        <v>0.11847288655946805</v>
      </c>
      <c r="F1226">
        <f>+VLOOKUP(A1226,[1]Base!$A$11:$O$1264,15,FALSE)</f>
        <v>9.4778309247574452E-2</v>
      </c>
      <c r="G1226">
        <f t="shared" si="19"/>
        <v>1</v>
      </c>
    </row>
    <row r="1227" spans="1:7" x14ac:dyDescent="0.25">
      <c r="A1227" s="36" t="s">
        <v>1428</v>
      </c>
      <c r="B1227" s="408" t="s">
        <v>1429</v>
      </c>
      <c r="C1227" s="400">
        <v>1</v>
      </c>
      <c r="D1227" s="58">
        <f>+VLOOKUP(A1227,[1]Base!$A$11:$O$1318,15,FALSE)</f>
        <v>0.14998897482868581</v>
      </c>
      <c r="E1227" s="58">
        <f>+VLOOKUP(A1227,[1]Base!$A$11:$R$1579,18,FALSE)</f>
        <v>0.18748621853585726</v>
      </c>
      <c r="F1227">
        <f>+VLOOKUP(A1227,[1]Base!$A$11:$O$1264,15,FALSE)</f>
        <v>0.14998897482868581</v>
      </c>
      <c r="G1227">
        <f t="shared" si="19"/>
        <v>1</v>
      </c>
    </row>
    <row r="1228" spans="1:7" x14ac:dyDescent="0.25">
      <c r="A1228" s="36" t="s">
        <v>1430</v>
      </c>
      <c r="B1228" s="395" t="s">
        <v>1431</v>
      </c>
      <c r="C1228" s="400">
        <v>1</v>
      </c>
      <c r="D1228" s="58">
        <f>+VLOOKUP(A1228,[1]Base!$A$11:$O$1318,15,FALSE)</f>
        <v>0.18587590745640814</v>
      </c>
      <c r="E1228" s="58">
        <f>+VLOOKUP(A1228,[1]Base!$A$11:$R$1579,18,FALSE)</f>
        <v>0.23234488432051018</v>
      </c>
      <c r="F1228">
        <f>+VLOOKUP(A1228,[1]Base!$A$11:$O$1264,15,FALSE)</f>
        <v>0.18587590745640814</v>
      </c>
      <c r="G1228">
        <f t="shared" si="19"/>
        <v>1</v>
      </c>
    </row>
    <row r="1229" spans="1:7" x14ac:dyDescent="0.25">
      <c r="A1229" s="36" t="s">
        <v>1432</v>
      </c>
      <c r="B1229" s="395" t="s">
        <v>1433</v>
      </c>
      <c r="C1229" s="400">
        <v>1</v>
      </c>
      <c r="D1229" s="58">
        <f>+VLOOKUP(A1229,[1]Base!$A$11:$O$1318,15,FALSE)</f>
        <v>0.18587590745640814</v>
      </c>
      <c r="E1229" s="58">
        <f>+VLOOKUP(A1229,[1]Base!$A$11:$R$1579,18,FALSE)</f>
        <v>0.23234488432051018</v>
      </c>
      <c r="F1229">
        <f>+VLOOKUP(A1229,[1]Base!$A$11:$O$1264,15,FALSE)</f>
        <v>0.18587590745640814</v>
      </c>
      <c r="G1229">
        <f t="shared" si="19"/>
        <v>1</v>
      </c>
    </row>
    <row r="1230" spans="1:7" x14ac:dyDescent="0.25">
      <c r="A1230" s="36" t="s">
        <v>1434</v>
      </c>
      <c r="B1230" s="395" t="s">
        <v>1435</v>
      </c>
      <c r="C1230" s="400">
        <v>1</v>
      </c>
      <c r="D1230" s="58">
        <f>+VLOOKUP(A1230,[1]Base!$A$11:$O$1318,15,FALSE)</f>
        <v>9.4778309247574452E-2</v>
      </c>
      <c r="E1230" s="58">
        <f>+VLOOKUP(A1230,[1]Base!$A$11:$R$1579,18,FALSE)</f>
        <v>0.11847288655946805</v>
      </c>
      <c r="F1230">
        <f>+VLOOKUP(A1230,[1]Base!$A$11:$O$1264,15,FALSE)</f>
        <v>9.4778309247574452E-2</v>
      </c>
      <c r="G1230">
        <f t="shared" si="19"/>
        <v>1</v>
      </c>
    </row>
    <row r="1231" spans="1:7" x14ac:dyDescent="0.25">
      <c r="A1231" s="36" t="s">
        <v>1478</v>
      </c>
      <c r="B1231" s="395" t="s">
        <v>1479</v>
      </c>
      <c r="C1231" s="400">
        <v>1</v>
      </c>
      <c r="D1231" s="58">
        <f>+VLOOKUP(A1231,[1]Base!$A$11:$O$1318,15,FALSE)</f>
        <v>5.9811554379537279E-2</v>
      </c>
      <c r="E1231" s="58">
        <f>+VLOOKUP(A1231,[1]Base!$A$11:$R$1579,18,FALSE)</f>
        <v>7.4764442974421599E-2</v>
      </c>
      <c r="F1231">
        <f>+VLOOKUP(A1231,[1]Base!$A$11:$O$1264,15,FALSE)</f>
        <v>5.9811554379537279E-2</v>
      </c>
      <c r="G1231">
        <f t="shared" si="19"/>
        <v>1</v>
      </c>
    </row>
    <row r="1232" spans="1:7" x14ac:dyDescent="0.25">
      <c r="A1232" s="36" t="s">
        <v>513</v>
      </c>
      <c r="B1232" s="396" t="s">
        <v>514</v>
      </c>
      <c r="C1232" s="400">
        <v>4</v>
      </c>
      <c r="D1232" s="58">
        <f>+VLOOKUP(A1232,[1]Base!$A$11:$O$1318,15,FALSE)</f>
        <v>0.295479302832244</v>
      </c>
      <c r="E1232" s="58">
        <f>+VLOOKUP(A1232,[1]Base!$A$11:$R$1579,18,FALSE)</f>
        <v>0.36934912854030499</v>
      </c>
      <c r="F1232">
        <f>+VLOOKUP(A1232,[1]Base!$A$11:$O$1264,15,FALSE)</f>
        <v>0.295479302832244</v>
      </c>
      <c r="G1232">
        <f t="shared" si="19"/>
        <v>1</v>
      </c>
    </row>
    <row r="1233" spans="1:7" x14ac:dyDescent="0.25">
      <c r="A1233" s="36" t="s">
        <v>519</v>
      </c>
      <c r="B1233" s="396" t="s">
        <v>520</v>
      </c>
      <c r="C1233" s="400">
        <v>4</v>
      </c>
      <c r="D1233" s="58">
        <f>+VLOOKUP(A1233,[1]Base!$A$11:$O$1318,15,FALSE)</f>
        <v>0.147739651416122</v>
      </c>
      <c r="E1233" s="58">
        <f>+VLOOKUP(A1233,[1]Base!$A$11:$R$1579,18,FALSE)</f>
        <v>0.1846745642701525</v>
      </c>
      <c r="F1233">
        <f>+VLOOKUP(A1233,[1]Base!$A$11:$O$1264,15,FALSE)</f>
        <v>0.147739651416122</v>
      </c>
      <c r="G1233">
        <f t="shared" si="19"/>
        <v>1</v>
      </c>
    </row>
    <row r="1234" spans="1:7" x14ac:dyDescent="0.25">
      <c r="A1234" s="36" t="s">
        <v>824</v>
      </c>
      <c r="B1234" s="395" t="s">
        <v>825</v>
      </c>
      <c r="C1234" s="400">
        <v>1</v>
      </c>
      <c r="D1234" s="58">
        <f>+VLOOKUP(A1234,[1]Base!$A$11:$O$1318,15,FALSE)</f>
        <v>0.60731732139222461</v>
      </c>
      <c r="E1234" s="58">
        <f>+VLOOKUP(A1234,[1]Base!$A$11:$R$1579,18,FALSE)</f>
        <v>0.75914665174028073</v>
      </c>
      <c r="F1234">
        <f>+VLOOKUP(A1234,[1]Base!$A$11:$O$1264,15,FALSE)</f>
        <v>0.60731732139222461</v>
      </c>
      <c r="G1234">
        <f t="shared" si="19"/>
        <v>1</v>
      </c>
    </row>
    <row r="1235" spans="1:7" x14ac:dyDescent="0.25">
      <c r="A1235" s="36" t="s">
        <v>897</v>
      </c>
      <c r="B1235" s="395" t="s">
        <v>898</v>
      </c>
      <c r="C1235" s="400">
        <v>1</v>
      </c>
      <c r="D1235" s="58">
        <f>+VLOOKUP(A1235,[1]Base!$A$11:$O$1318,15,FALSE)</f>
        <v>0.59095860566448799</v>
      </c>
      <c r="E1235" s="58">
        <f>+VLOOKUP(A1235,[1]Base!$A$11:$R$1579,18,FALSE)</f>
        <v>0.73869825708060999</v>
      </c>
      <c r="F1235">
        <f>+VLOOKUP(A1235,[1]Base!$A$11:$O$1264,15,FALSE)</f>
        <v>0.59095860566448799</v>
      </c>
      <c r="G1235">
        <f t="shared" si="19"/>
        <v>1</v>
      </c>
    </row>
    <row r="1236" spans="1:7" x14ac:dyDescent="0.25">
      <c r="A1236" s="36" t="s">
        <v>899</v>
      </c>
      <c r="B1236" s="396" t="s">
        <v>900</v>
      </c>
      <c r="C1236" s="400">
        <v>1</v>
      </c>
      <c r="D1236" s="58">
        <f>+VLOOKUP(A1236,[1]Base!$A$11:$O$1318,15,FALSE)</f>
        <v>6.9886764705882349</v>
      </c>
      <c r="E1236" s="58">
        <f>+VLOOKUP(A1236,[1]Base!$A$11:$R$1579,18,FALSE)</f>
        <v>8.7358455882352928</v>
      </c>
      <c r="F1236">
        <f>+VLOOKUP(A1236,[1]Base!$A$11:$O$1264,15,FALSE)</f>
        <v>6.9886764705882349</v>
      </c>
      <c r="G1236">
        <f t="shared" si="19"/>
        <v>1</v>
      </c>
    </row>
    <row r="1237" spans="1:7" x14ac:dyDescent="0.25">
      <c r="A1237" s="36" t="s">
        <v>919</v>
      </c>
      <c r="B1237" s="395" t="s">
        <v>920</v>
      </c>
      <c r="C1237" s="400">
        <v>1</v>
      </c>
      <c r="D1237" s="58">
        <f>+VLOOKUP(A1237,[1]Base!$A$11:$O$1318,15,FALSE)</f>
        <v>2.007521145713187</v>
      </c>
      <c r="E1237" s="58">
        <f>+VLOOKUP(A1237,[1]Base!$A$11:$R$1579,18,FALSE)</f>
        <v>2.5094014321414835</v>
      </c>
      <c r="F1237">
        <f>+VLOOKUP(A1237,[1]Base!$A$11:$O$1264,15,FALSE)</f>
        <v>2.007521145713187</v>
      </c>
      <c r="G1237">
        <f t="shared" si="19"/>
        <v>1</v>
      </c>
    </row>
    <row r="1238" spans="1:7" x14ac:dyDescent="0.25">
      <c r="A1238" s="36" t="s">
        <v>933</v>
      </c>
      <c r="B1238" s="395" t="s">
        <v>934</v>
      </c>
      <c r="C1238" s="400">
        <v>1</v>
      </c>
      <c r="D1238" s="58">
        <f>+VLOOKUP(A1238,[1]Base!$A$11:$O$1318,15,FALSE)</f>
        <v>14.228197488145586</v>
      </c>
      <c r="E1238" s="58">
        <f>+VLOOKUP(A1238,[1]Base!$A$11:$R$1579,18,FALSE)</f>
        <v>17.785246860181982</v>
      </c>
      <c r="F1238">
        <f>+VLOOKUP(A1238,[1]Base!$A$11:$O$1264,15,FALSE)</f>
        <v>14.228197488145586</v>
      </c>
      <c r="G1238">
        <f t="shared" si="19"/>
        <v>1</v>
      </c>
    </row>
    <row r="1239" spans="1:7" x14ac:dyDescent="0.25">
      <c r="A1239" s="36" t="s">
        <v>959</v>
      </c>
      <c r="B1239" s="395" t="s">
        <v>960</v>
      </c>
      <c r="C1239" s="400">
        <v>1</v>
      </c>
      <c r="D1239" s="58">
        <f>+VLOOKUP(A1239,[1]Base!$A$11:$O$1318,15,FALSE)</f>
        <v>0.66048314750736881</v>
      </c>
      <c r="E1239" s="58">
        <f>+VLOOKUP(A1239,[1]Base!$A$11:$R$1579,18,FALSE)</f>
        <v>0.82560393438421098</v>
      </c>
      <c r="F1239">
        <f>+VLOOKUP(A1239,[1]Base!$A$11:$O$1264,15,FALSE)</f>
        <v>0.66048314750736881</v>
      </c>
      <c r="G1239">
        <f t="shared" si="19"/>
        <v>1</v>
      </c>
    </row>
    <row r="1240" spans="1:7" x14ac:dyDescent="0.25">
      <c r="A1240" s="36" t="s">
        <v>989</v>
      </c>
      <c r="B1240" s="409" t="s">
        <v>990</v>
      </c>
      <c r="C1240" s="400">
        <v>1</v>
      </c>
      <c r="D1240" s="58">
        <f>+VLOOKUP(A1240,[1]Base!$A$11:$O$1318,15,FALSE)</f>
        <v>0.295479302832244</v>
      </c>
      <c r="E1240" s="58">
        <f>+VLOOKUP(A1240,[1]Base!$A$11:$R$1579,18,FALSE)</f>
        <v>0.36934912854030499</v>
      </c>
      <c r="F1240">
        <f>+VLOOKUP(A1240,[1]Base!$A$11:$O$1264,15,FALSE)</f>
        <v>0.295479302832244</v>
      </c>
      <c r="G1240">
        <f t="shared" si="19"/>
        <v>1</v>
      </c>
    </row>
    <row r="1241" spans="1:7" x14ac:dyDescent="0.25">
      <c r="A1241" s="36" t="s">
        <v>1019</v>
      </c>
      <c r="B1241" s="395" t="s">
        <v>1020</v>
      </c>
      <c r="C1241" s="400">
        <v>1</v>
      </c>
      <c r="D1241" s="58">
        <f>+VLOOKUP(A1241,[1]Base!$A$11:$O$1318,15,FALSE)</f>
        <v>0.147739651416122</v>
      </c>
      <c r="E1241" s="58">
        <f>+VLOOKUP(A1241,[1]Base!$A$11:$R$1579,18,FALSE)</f>
        <v>0.1846745642701525</v>
      </c>
      <c r="F1241">
        <f>+VLOOKUP(A1241,[1]Base!$A$11:$O$1264,15,FALSE)</f>
        <v>0.147739651416122</v>
      </c>
      <c r="G1241">
        <f t="shared" si="19"/>
        <v>1</v>
      </c>
    </row>
    <row r="1242" spans="1:7" x14ac:dyDescent="0.25">
      <c r="A1242" s="36" t="s">
        <v>1045</v>
      </c>
      <c r="B1242" s="395" t="s">
        <v>1046</v>
      </c>
      <c r="C1242" s="400">
        <v>1</v>
      </c>
      <c r="D1242" s="58">
        <f>+VLOOKUP(A1242,[1]Base!$A$11:$O$1318,15,FALSE)</f>
        <v>0.15182933034805615</v>
      </c>
      <c r="E1242" s="58">
        <f>+VLOOKUP(A1242,[1]Base!$A$11:$R$1579,18,FALSE)</f>
        <v>0.18978666293507018</v>
      </c>
      <c r="F1242">
        <f>+VLOOKUP(A1242,[1]Base!$A$11:$O$1264,15,FALSE)</f>
        <v>0.15182933034805615</v>
      </c>
      <c r="G1242">
        <f t="shared" si="19"/>
        <v>1</v>
      </c>
    </row>
    <row r="1243" spans="1:7" x14ac:dyDescent="0.25">
      <c r="A1243" s="36" t="s">
        <v>1077</v>
      </c>
      <c r="B1243" s="395" t="s">
        <v>1078</v>
      </c>
      <c r="C1243" s="400">
        <v>1</v>
      </c>
      <c r="D1243" s="58">
        <f>+VLOOKUP(A1243,[1]Base!$A$11:$O$1318,15,FALSE)</f>
        <v>3.2850346020761242E-2</v>
      </c>
      <c r="E1243" s="58">
        <f>+VLOOKUP(A1243,[1]Base!$A$11:$R$1579,18,FALSE)</f>
        <v>4.106293252595155E-2</v>
      </c>
      <c r="F1243">
        <f>+VLOOKUP(A1243,[1]Base!$A$11:$O$1264,15,FALSE)</f>
        <v>3.2850346020761242E-2</v>
      </c>
      <c r="G1243">
        <f t="shared" si="19"/>
        <v>1</v>
      </c>
    </row>
    <row r="1244" spans="1:7" x14ac:dyDescent="0.25">
      <c r="A1244" s="36" t="s">
        <v>1103</v>
      </c>
      <c r="B1244" s="395" t="s">
        <v>1104</v>
      </c>
      <c r="C1244" s="400">
        <v>1</v>
      </c>
      <c r="D1244" s="58">
        <f>+VLOOKUP(A1244,[1]Base!$A$11:$O$1318,15,FALSE)</f>
        <v>1.6107098231449439</v>
      </c>
      <c r="E1244" s="58">
        <f>+VLOOKUP(A1244,[1]Base!$A$11:$R$1579,18,FALSE)</f>
        <v>2.0133872789311797</v>
      </c>
      <c r="F1244">
        <f>+VLOOKUP(A1244,[1]Base!$A$11:$O$1264,15,FALSE)</f>
        <v>1.6107098231449439</v>
      </c>
      <c r="G1244">
        <f t="shared" si="19"/>
        <v>1</v>
      </c>
    </row>
    <row r="1245" spans="1:7" x14ac:dyDescent="0.25">
      <c r="A1245" s="36" t="s">
        <v>1159</v>
      </c>
      <c r="B1245" s="395" t="s">
        <v>1160</v>
      </c>
      <c r="C1245" s="400">
        <v>100</v>
      </c>
      <c r="D1245" s="58">
        <f>+VLOOKUP(A1245,[1]Base!$A$11:$O$1318,15,FALSE)</f>
        <v>2.1327880113983313</v>
      </c>
      <c r="E1245" s="58">
        <f>+VLOOKUP(A1245,[1]Base!$A$11:$R$1579,18,FALSE)</f>
        <v>2.665985014247914</v>
      </c>
      <c r="F1245">
        <f>+VLOOKUP(A1245,[1]Base!$A$11:$O$1264,15,FALSE)</f>
        <v>2.1327880113983313</v>
      </c>
      <c r="G1245">
        <f t="shared" si="19"/>
        <v>1</v>
      </c>
    </row>
    <row r="1246" spans="1:7" x14ac:dyDescent="0.25">
      <c r="A1246" s="36" t="s">
        <v>1167</v>
      </c>
      <c r="B1246" s="395" t="s">
        <v>1168</v>
      </c>
      <c r="C1246" s="400">
        <v>100</v>
      </c>
      <c r="D1246" s="58">
        <f>+VLOOKUP(A1246,[1]Base!$A$11:$O$1318,15,FALSE)</f>
        <v>1.8519497591424114</v>
      </c>
      <c r="E1246" s="58">
        <f>+VLOOKUP(A1246,[1]Base!$A$11:$R$1579,18,FALSE)</f>
        <v>2.3149371989280141</v>
      </c>
      <c r="F1246">
        <f>+VLOOKUP(A1246,[1]Base!$A$11:$O$1264,15,FALSE)</f>
        <v>1.8519497591424114</v>
      </c>
      <c r="G1246">
        <f t="shared" si="19"/>
        <v>1</v>
      </c>
    </row>
    <row r="1247" spans="1:7" x14ac:dyDescent="0.25">
      <c r="A1247" s="36" t="s">
        <v>1201</v>
      </c>
      <c r="B1247" s="395" t="s">
        <v>1202</v>
      </c>
      <c r="C1247" s="400">
        <v>1</v>
      </c>
      <c r="D1247" s="58">
        <f>+VLOOKUP(A1247,[1]Base!$A$11:$O$1318,15,FALSE)</f>
        <v>0.29061258490324227</v>
      </c>
      <c r="E1247" s="58">
        <f>+VLOOKUP(A1247,[1]Base!$A$11:$R$1579,18,FALSE)</f>
        <v>0.3632657311290528</v>
      </c>
      <c r="F1247">
        <f>+VLOOKUP(A1247,[1]Base!$A$11:$O$1264,15,FALSE)</f>
        <v>0.29061258490324227</v>
      </c>
      <c r="G1247">
        <f t="shared" si="19"/>
        <v>1</v>
      </c>
    </row>
    <row r="1248" spans="1:7" x14ac:dyDescent="0.25">
      <c r="A1248" s="36" t="s">
        <v>1209</v>
      </c>
      <c r="B1248" s="395" t="s">
        <v>1210</v>
      </c>
      <c r="C1248" s="400">
        <v>1</v>
      </c>
      <c r="D1248" s="58">
        <f>+VLOOKUP(A1248,[1]Base!$A$11:$O$1318,15,FALSE)</f>
        <v>0.3302415737536844</v>
      </c>
      <c r="E1248" s="58">
        <f>+VLOOKUP(A1248,[1]Base!$A$11:$R$1579,18,FALSE)</f>
        <v>0.41280196719210549</v>
      </c>
      <c r="F1248">
        <f>+VLOOKUP(A1248,[1]Base!$A$11:$O$1264,15,FALSE)</f>
        <v>0.3302415737536844</v>
      </c>
      <c r="G1248">
        <f t="shared" si="19"/>
        <v>1</v>
      </c>
    </row>
    <row r="1249" spans="1:7" x14ac:dyDescent="0.25">
      <c r="A1249" s="36" t="s">
        <v>1221</v>
      </c>
      <c r="B1249" s="395" t="s">
        <v>1222</v>
      </c>
      <c r="C1249" s="400">
        <v>1</v>
      </c>
      <c r="D1249" s="58">
        <f>+VLOOKUP(A1249,[1]Base!$A$11:$O$1318,15,FALSE)</f>
        <v>1.703351275150583</v>
      </c>
      <c r="E1249" s="58">
        <f>+VLOOKUP(A1249,[1]Base!$A$11:$R$1579,18,FALSE)</f>
        <v>2.1291890939382285</v>
      </c>
      <c r="F1249">
        <f>+VLOOKUP(A1249,[1]Base!$A$11:$O$1264,15,FALSE)</f>
        <v>1.703351275150583</v>
      </c>
      <c r="G1249">
        <f t="shared" si="19"/>
        <v>1</v>
      </c>
    </row>
    <row r="1250" spans="1:7" x14ac:dyDescent="0.25">
      <c r="A1250" s="388" t="s">
        <v>1223</v>
      </c>
      <c r="B1250" s="395" t="s">
        <v>1224</v>
      </c>
      <c r="C1250" s="400">
        <v>1</v>
      </c>
      <c r="D1250" s="58">
        <f>+VLOOKUP(A1250,[1]Base!$A$11:$O$1318,15,FALSE)</f>
        <v>1.3557285659361784</v>
      </c>
      <c r="E1250" s="58">
        <f>+VLOOKUP(A1250,[1]Base!$A$11:$R$1579,18,FALSE)</f>
        <v>1.6946607074202229</v>
      </c>
      <c r="F1250">
        <f>+VLOOKUP(A1250,[1]Base!$A$11:$O$1264,15,FALSE)</f>
        <v>1.3557285659361784</v>
      </c>
      <c r="G1250">
        <f t="shared" si="19"/>
        <v>1</v>
      </c>
    </row>
    <row r="1251" spans="1:7" x14ac:dyDescent="0.25">
      <c r="A1251" s="36" t="s">
        <v>1272</v>
      </c>
      <c r="B1251" s="395" t="s">
        <v>1273</v>
      </c>
      <c r="C1251" s="400">
        <v>1</v>
      </c>
      <c r="D1251" s="58">
        <f>+VLOOKUP(A1251,[1]Base!$A$11:$O$1318,15,FALSE)</f>
        <v>0.46156116425809068</v>
      </c>
      <c r="E1251" s="58">
        <f>+VLOOKUP(A1251,[1]Base!$A$11:$R$1579,18,FALSE)</f>
        <v>0.57695145532261327</v>
      </c>
      <c r="F1251">
        <f>+VLOOKUP(A1251,[1]Base!$A$11:$O$1264,15,FALSE)</f>
        <v>0.46156116425809068</v>
      </c>
      <c r="G1251">
        <f t="shared" si="19"/>
        <v>1</v>
      </c>
    </row>
    <row r="1252" spans="1:7" x14ac:dyDescent="0.25">
      <c r="A1252" s="36" t="s">
        <v>1274</v>
      </c>
      <c r="B1252" s="395" t="s">
        <v>1275</v>
      </c>
      <c r="C1252" s="400">
        <v>1</v>
      </c>
      <c r="D1252" s="58">
        <f>+VLOOKUP(A1252,[1]Base!$A$11:$O$1318,15,FALSE)</f>
        <v>5.263416785399281E-2</v>
      </c>
      <c r="E1252" s="58">
        <f>+VLOOKUP(A1252,[1]Base!$A$11:$R$1579,18,FALSE)</f>
        <v>6.579270981749101E-2</v>
      </c>
      <c r="F1252">
        <f>+VLOOKUP(A1252,[1]Base!$A$11:$O$1264,15,FALSE)</f>
        <v>5.263416785399281E-2</v>
      </c>
      <c r="G1252">
        <f t="shared" si="19"/>
        <v>1</v>
      </c>
    </row>
    <row r="1253" spans="1:7" x14ac:dyDescent="0.25">
      <c r="A1253" s="388" t="s">
        <v>1350</v>
      </c>
      <c r="B1253" s="395" t="s">
        <v>1351</v>
      </c>
      <c r="C1253" s="400">
        <v>1</v>
      </c>
      <c r="D1253" s="58">
        <f>+VLOOKUP(A1253,[1]Base!$A$11:$O$1318,15,FALSE)</f>
        <v>0.37359217043218673</v>
      </c>
      <c r="E1253" s="58">
        <f>+VLOOKUP(A1253,[1]Base!$A$11:$R$1579,18,FALSE)</f>
        <v>0.46699021304023342</v>
      </c>
      <c r="F1253">
        <f>+VLOOKUP(A1253,[1]Base!$A$11:$O$1264,15,FALSE)</f>
        <v>0.37359217043218673</v>
      </c>
      <c r="G1253">
        <f t="shared" si="19"/>
        <v>1</v>
      </c>
    </row>
    <row r="1254" spans="1:7" x14ac:dyDescent="0.25">
      <c r="A1254" s="388" t="s">
        <v>1357</v>
      </c>
      <c r="B1254" s="395" t="s">
        <v>1358</v>
      </c>
      <c r="C1254" s="400">
        <v>1</v>
      </c>
      <c r="D1254" s="58">
        <f>+VLOOKUP(A1254,[1]Base!$A$11:$O$1318,15,FALSE)</f>
        <v>0.1969180405726304</v>
      </c>
      <c r="E1254" s="58">
        <f>+VLOOKUP(A1254,[1]Base!$A$11:$R$1579,18,FALSE)</f>
        <v>0.246147550715788</v>
      </c>
      <c r="F1254">
        <f>+VLOOKUP(A1254,[1]Base!$A$11:$O$1264,15,FALSE)</f>
        <v>0.1969180405726304</v>
      </c>
      <c r="G1254">
        <f t="shared" si="19"/>
        <v>1</v>
      </c>
    </row>
    <row r="1255" spans="1:7" x14ac:dyDescent="0.25">
      <c r="A1255" s="388" t="s">
        <v>1359</v>
      </c>
      <c r="B1255" s="395" t="s">
        <v>1360</v>
      </c>
      <c r="C1255" s="400">
        <v>1</v>
      </c>
      <c r="D1255" s="58">
        <f>+VLOOKUP(A1255,[1]Base!$A$11:$O$1318,15,FALSE)</f>
        <v>0.1969180405726304</v>
      </c>
      <c r="E1255" s="58">
        <f>+VLOOKUP(A1255,[1]Base!$A$11:$R$1579,18,FALSE)</f>
        <v>0.246147550715788</v>
      </c>
      <c r="F1255">
        <f>+VLOOKUP(A1255,[1]Base!$A$11:$O$1264,15,FALSE)</f>
        <v>0.1969180405726304</v>
      </c>
      <c r="G1255">
        <f t="shared" si="19"/>
        <v>1</v>
      </c>
    </row>
    <row r="1256" spans="1:7" x14ac:dyDescent="0.25">
      <c r="A1256" s="388" t="s">
        <v>1366</v>
      </c>
      <c r="B1256" s="395" t="s">
        <v>1367</v>
      </c>
      <c r="C1256" s="400">
        <v>1</v>
      </c>
      <c r="D1256" s="58">
        <f>+VLOOKUP(A1256,[1]Base!$A$11:$O$1318,15,FALSE)</f>
        <v>9.8459020286315202E-2</v>
      </c>
      <c r="E1256" s="58">
        <f>+VLOOKUP(A1256,[1]Base!$A$11:$R$1579,18,FALSE)</f>
        <v>0.123073775357894</v>
      </c>
      <c r="F1256">
        <f>+VLOOKUP(A1256,[1]Base!$A$11:$O$1264,15,FALSE)</f>
        <v>9.8459020286315202E-2</v>
      </c>
      <c r="G1256">
        <f t="shared" si="19"/>
        <v>1</v>
      </c>
    </row>
    <row r="1257" spans="1:7" x14ac:dyDescent="0.25">
      <c r="A1257" s="388" t="s">
        <v>1398</v>
      </c>
      <c r="B1257" s="395" t="s">
        <v>1399</v>
      </c>
      <c r="C1257" s="400">
        <v>1</v>
      </c>
      <c r="D1257" s="58">
        <f>+VLOOKUP(A1257,[1]Base!$A$11:$O$1318,15,FALSE)</f>
        <v>9.8459020286315202E-2</v>
      </c>
      <c r="E1257" s="58">
        <f>+VLOOKUP(A1257,[1]Base!$A$11:$R$1579,18,FALSE)</f>
        <v>0.123073775357894</v>
      </c>
      <c r="F1257">
        <f>+VLOOKUP(A1257,[1]Base!$A$11:$O$1264,15,FALSE)</f>
        <v>9.8459020286315202E-2</v>
      </c>
      <c r="G1257">
        <f t="shared" si="19"/>
        <v>1</v>
      </c>
    </row>
    <row r="1258" spans="1:7" x14ac:dyDescent="0.25">
      <c r="A1258" s="36" t="s">
        <v>1424</v>
      </c>
      <c r="B1258" s="395" t="s">
        <v>1425</v>
      </c>
      <c r="C1258" s="400">
        <v>1</v>
      </c>
      <c r="D1258" s="58">
        <f>+VLOOKUP(A1258,[1]Base!$A$11:$O$1318,15,FALSE)</f>
        <v>0.39383608114526081</v>
      </c>
      <c r="E1258" s="58">
        <f>+VLOOKUP(A1258,[1]Base!$A$11:$R$1579,18,FALSE)</f>
        <v>0.49229510143157601</v>
      </c>
      <c r="F1258">
        <f>+VLOOKUP(A1258,[1]Base!$A$11:$O$1264,15,FALSE)</f>
        <v>0.39383608114526081</v>
      </c>
      <c r="G1258">
        <f t="shared" si="19"/>
        <v>1</v>
      </c>
    </row>
    <row r="1259" spans="1:7" x14ac:dyDescent="0.25">
      <c r="A1259" s="386" t="s">
        <v>1452</v>
      </c>
      <c r="B1259" s="395" t="s">
        <v>1453</v>
      </c>
      <c r="C1259" s="400">
        <v>1</v>
      </c>
      <c r="D1259" s="58">
        <f>+VLOOKUP(A1259,[1]Base!$A$11:$O$1318,15,FALSE)</f>
        <v>9.8459020286315202E-2</v>
      </c>
      <c r="E1259" s="58">
        <f>+VLOOKUP(A1259,[1]Base!$A$11:$R$1579,18,FALSE)</f>
        <v>0.123073775357894</v>
      </c>
      <c r="F1259">
        <f>+VLOOKUP(A1259,[1]Base!$A$11:$O$1264,15,FALSE)</f>
        <v>9.8459020286315202E-2</v>
      </c>
      <c r="G1259">
        <f t="shared" si="19"/>
        <v>1</v>
      </c>
    </row>
    <row r="1260" spans="1:7" x14ac:dyDescent="0.25">
      <c r="A1260" s="386" t="s">
        <v>1043</v>
      </c>
      <c r="B1260" s="395" t="s">
        <v>1044</v>
      </c>
      <c r="C1260" s="400">
        <v>1</v>
      </c>
      <c r="D1260" s="58">
        <f>+VLOOKUP(A1260,[1]Base!$A$11:$O$1318,15,FALSE)</f>
        <v>6.8829296424452138E-2</v>
      </c>
      <c r="E1260" s="58">
        <f>+VLOOKUP(A1260,[1]Base!$A$11:$R$1579,18,FALSE)</f>
        <v>8.6036620530565169E-2</v>
      </c>
      <c r="F1260">
        <f>+VLOOKUP(A1260,[1]Base!$A$11:$O$1264,15,FALSE)</f>
        <v>6.8829296424452138E-2</v>
      </c>
      <c r="G1260">
        <f t="shared" si="19"/>
        <v>1</v>
      </c>
    </row>
    <row r="1261" spans="1:7" x14ac:dyDescent="0.25">
      <c r="A1261" s="386" t="s">
        <v>1125</v>
      </c>
      <c r="B1261" s="395" t="s">
        <v>1126</v>
      </c>
      <c r="C1261" s="400">
        <v>2</v>
      </c>
      <c r="D1261" s="58">
        <f>+VLOOKUP(A1261,[1]Base!$A$11:$O$1318,15,FALSE)</f>
        <v>1.4240364282968088</v>
      </c>
      <c r="E1261" s="58">
        <f>+VLOOKUP(A1261,[1]Base!$A$11:$R$1579,18,FALSE)</f>
        <v>1.780045535371011</v>
      </c>
      <c r="F1261">
        <f>+VLOOKUP(A1261,[1]Base!$A$11:$O$1264,15,FALSE)</f>
        <v>1.4240364282968088</v>
      </c>
      <c r="G1261">
        <f t="shared" si="19"/>
        <v>1</v>
      </c>
    </row>
    <row r="1262" spans="1:7" x14ac:dyDescent="0.25">
      <c r="A1262" s="386" t="s">
        <v>515</v>
      </c>
      <c r="B1262" s="396" t="s">
        <v>516</v>
      </c>
      <c r="C1262" s="400">
        <v>4</v>
      </c>
      <c r="D1262" s="58">
        <f>+VLOOKUP(A1262,[1]Base!$A$11:$O$1318,15,FALSE)</f>
        <v>0.11297738049468151</v>
      </c>
      <c r="E1262" s="58">
        <f>+VLOOKUP(A1262,[1]Base!$A$11:$R$1579,18,FALSE)</f>
        <v>0.14122172561835186</v>
      </c>
      <c r="F1262">
        <f>+VLOOKUP(A1262,[1]Base!$A$11:$O$1264,15,FALSE)</f>
        <v>0.11297738049468151</v>
      </c>
      <c r="G1262">
        <f t="shared" si="19"/>
        <v>1</v>
      </c>
    </row>
    <row r="1263" spans="1:7" x14ac:dyDescent="0.25">
      <c r="A1263" s="386" t="s">
        <v>794</v>
      </c>
      <c r="B1263" s="395" t="s">
        <v>795</v>
      </c>
      <c r="C1263" s="400">
        <v>1</v>
      </c>
      <c r="D1263" s="58">
        <f>+VLOOKUP(A1263,[1]Base!$A$11:$O$1318,15,FALSE)</f>
        <v>0.22595476098936301</v>
      </c>
      <c r="E1263" s="58">
        <f>+VLOOKUP(A1263,[1]Base!$A$11:$R$1579,18,FALSE)</f>
        <v>0.28244345123670372</v>
      </c>
      <c r="F1263">
        <f>+VLOOKUP(A1263,[1]Base!$A$11:$O$1264,15,FALSE)</f>
        <v>0.22595476098936301</v>
      </c>
      <c r="G1263">
        <f t="shared" si="19"/>
        <v>1</v>
      </c>
    </row>
    <row r="1264" spans="1:7" x14ac:dyDescent="0.25">
      <c r="A1264" s="386" t="s">
        <v>838</v>
      </c>
      <c r="B1264" s="395" t="s">
        <v>839</v>
      </c>
      <c r="C1264" s="400">
        <v>1</v>
      </c>
      <c r="D1264" s="58">
        <f>+VLOOKUP(A1264,[1]Base!$A$11:$O$1318,15,FALSE)</f>
        <v>7.3614220774815109E-2</v>
      </c>
      <c r="E1264" s="58">
        <f>+VLOOKUP(A1264,[1]Base!$A$11:$R$1579,18,FALSE)</f>
        <v>9.2017775968518886E-2</v>
      </c>
      <c r="F1264">
        <f>+VLOOKUP(A1264,[1]Base!$A$11:$O$1264,15,FALSE)</f>
        <v>7.3614220774815109E-2</v>
      </c>
      <c r="G1264">
        <f t="shared" si="19"/>
        <v>1</v>
      </c>
    </row>
    <row r="1265" spans="1:7" x14ac:dyDescent="0.25">
      <c r="A1265" s="386" t="s">
        <v>1049</v>
      </c>
      <c r="B1265" s="395" t="s">
        <v>1050</v>
      </c>
      <c r="C1265" s="400">
        <v>1</v>
      </c>
      <c r="D1265" s="58">
        <f>+VLOOKUP(A1265,[1]Base!$A$11:$O$1318,15,FALSE)</f>
        <v>0.46105748801068419</v>
      </c>
      <c r="E1265" s="58">
        <f>+VLOOKUP(A1265,[1]Base!$A$11:$R$1579,18,FALSE)</f>
        <v>0.57632186001335517</v>
      </c>
      <c r="F1265">
        <f>+VLOOKUP(A1265,[1]Base!$A$11:$O$1264,15,FALSE)</f>
        <v>0.46105748801068419</v>
      </c>
      <c r="G1265">
        <f t="shared" si="19"/>
        <v>1</v>
      </c>
    </row>
    <row r="1266" spans="1:7" x14ac:dyDescent="0.25">
      <c r="A1266" s="386" t="s">
        <v>1175</v>
      </c>
      <c r="B1266" s="399" t="s">
        <v>1176</v>
      </c>
      <c r="C1266" s="400">
        <v>100</v>
      </c>
      <c r="D1266" s="58">
        <f>+VLOOKUP(A1266,[1]Base!$A$11:$O$1318,15,FALSE)</f>
        <v>0.84417107673519221</v>
      </c>
      <c r="E1266" s="58">
        <f>+VLOOKUP(A1266,[1]Base!$A$11:$R$1579,18,FALSE)</f>
        <v>1.0552138459189901</v>
      </c>
      <c r="F1266">
        <f>+VLOOKUP(A1266,[1]Base!$A$11:$O$1264,15,FALSE)</f>
        <v>0.84417107673519221</v>
      </c>
      <c r="G1266">
        <f t="shared" si="19"/>
        <v>1</v>
      </c>
    </row>
    <row r="1267" spans="1:7" x14ac:dyDescent="0.25">
      <c r="A1267" s="386" t="s">
        <v>1312</v>
      </c>
      <c r="B1267" s="395" t="s">
        <v>1313</v>
      </c>
      <c r="C1267" s="400">
        <v>1</v>
      </c>
      <c r="D1267" s="58">
        <f>+VLOOKUP(A1267,[1]Base!$A$11:$O$1318,15,FALSE)</f>
        <v>7.3614220774815109E-2</v>
      </c>
      <c r="E1267" s="58">
        <f>+VLOOKUP(A1267,[1]Base!$A$11:$R$1579,18,FALSE)</f>
        <v>9.2017775968518886E-2</v>
      </c>
      <c r="F1267">
        <f>+VLOOKUP(A1267,[1]Base!$A$11:$O$1264,15,FALSE)</f>
        <v>7.3614220774815109E-2</v>
      </c>
      <c r="G1267">
        <f t="shared" si="19"/>
        <v>1</v>
      </c>
    </row>
    <row r="1268" spans="1:7" x14ac:dyDescent="0.25">
      <c r="A1268" s="386" t="s">
        <v>1340</v>
      </c>
      <c r="B1268" s="395" t="s">
        <v>1341</v>
      </c>
      <c r="C1268" s="400">
        <v>1</v>
      </c>
      <c r="D1268" s="58">
        <f>+VLOOKUP(A1268,[1]Base!$A$11:$O$1318,15,FALSE)</f>
        <v>3.6807110387407554E-2</v>
      </c>
      <c r="E1268" s="58">
        <f>+VLOOKUP(A1268,[1]Base!$A$11:$R$1579,18,FALSE)</f>
        <v>4.6008887984259443E-2</v>
      </c>
      <c r="F1268">
        <f>+VLOOKUP(A1268,[1]Base!$A$11:$O$1264,15,FALSE)</f>
        <v>3.6807110387407554E-2</v>
      </c>
      <c r="G1268">
        <f t="shared" si="19"/>
        <v>1</v>
      </c>
    </row>
    <row r="1269" spans="1:7" x14ac:dyDescent="0.25">
      <c r="A1269" s="386" t="s">
        <v>1386</v>
      </c>
      <c r="B1269" s="395" t="s">
        <v>1387</v>
      </c>
      <c r="C1269" s="400">
        <v>1</v>
      </c>
      <c r="D1269" s="58">
        <f>+VLOOKUP(A1269,[1]Base!$A$11:$O$1318,15,FALSE)</f>
        <v>0.58891376619852087</v>
      </c>
      <c r="E1269" s="58">
        <f>+VLOOKUP(A1269,[1]Base!$A$11:$R$1579,18,FALSE)</f>
        <v>0.73614220774815109</v>
      </c>
      <c r="F1269">
        <f>+VLOOKUP(A1269,[1]Base!$A$11:$O$1264,15,FALSE)</f>
        <v>0.58891376619852087</v>
      </c>
      <c r="G1269">
        <f t="shared" si="19"/>
        <v>1</v>
      </c>
    </row>
    <row r="1270" spans="1:7" x14ac:dyDescent="0.25">
      <c r="A1270" s="386" t="s">
        <v>1394</v>
      </c>
      <c r="B1270" s="395" t="s">
        <v>1395</v>
      </c>
      <c r="C1270" s="400">
        <v>1</v>
      </c>
      <c r="D1270" s="58">
        <f>+VLOOKUP(A1270,[1]Base!$A$11:$O$1318,15,FALSE)</f>
        <v>0.73338167446909552</v>
      </c>
      <c r="E1270" s="58">
        <f>+VLOOKUP(A1270,[1]Base!$A$11:$R$1579,18,FALSE)</f>
        <v>0.91672709308636935</v>
      </c>
      <c r="F1270">
        <f>+VLOOKUP(A1270,[1]Base!$A$11:$O$1264,15,FALSE)</f>
        <v>0.73338167446909552</v>
      </c>
      <c r="G1270">
        <f t="shared" si="19"/>
        <v>1</v>
      </c>
    </row>
    <row r="1271" spans="1:7" x14ac:dyDescent="0.25">
      <c r="A1271" s="386" t="s">
        <v>1420</v>
      </c>
      <c r="B1271" s="395" t="s">
        <v>1421</v>
      </c>
      <c r="C1271" s="400">
        <v>1</v>
      </c>
      <c r="D1271" s="58">
        <f>+VLOOKUP(A1271,[1]Base!$A$11:$O$1318,15,FALSE)</f>
        <v>0.87416887170092938</v>
      </c>
      <c r="E1271" s="58">
        <f>+VLOOKUP(A1271,[1]Base!$A$11:$R$1579,18,FALSE)</f>
        <v>1.0927110896261616</v>
      </c>
      <c r="F1271">
        <f>+VLOOKUP(A1271,[1]Base!$A$11:$O$1264,15,FALSE)</f>
        <v>0.87416887170092938</v>
      </c>
      <c r="G1271">
        <f t="shared" si="19"/>
        <v>1</v>
      </c>
    </row>
    <row r="1272" spans="1:7" x14ac:dyDescent="0.25">
      <c r="A1272" s="386" t="s">
        <v>1458</v>
      </c>
      <c r="B1272" s="395" t="s">
        <v>1459</v>
      </c>
      <c r="C1272" s="400">
        <v>1</v>
      </c>
      <c r="D1272" s="58">
        <f>+VLOOKUP(A1272,[1]Base!$A$11:$O$1318,15,FALSE)</f>
        <v>7.3614220774815109E-2</v>
      </c>
      <c r="E1272" s="58">
        <f>+VLOOKUP(A1272,[1]Base!$A$11:$R$1579,18,FALSE)</f>
        <v>9.2017775968518886E-2</v>
      </c>
      <c r="F1272">
        <f>+VLOOKUP(A1272,[1]Base!$A$11:$O$1264,15,FALSE)</f>
        <v>7.3614220774815109E-2</v>
      </c>
      <c r="G1272">
        <f t="shared" si="19"/>
        <v>1</v>
      </c>
    </row>
    <row r="1273" spans="1:7" x14ac:dyDescent="0.25">
      <c r="A1273" s="386" t="s">
        <v>1506</v>
      </c>
      <c r="B1273" s="395" t="s">
        <v>1507</v>
      </c>
      <c r="C1273" s="400">
        <v>1</v>
      </c>
      <c r="D1273" s="58">
        <f>+VLOOKUP(A1273,[1]Base!$A$11:$O$1318,15,FALSE)</f>
        <v>7.3614220774815109E-2</v>
      </c>
      <c r="E1273" s="58">
        <f>+VLOOKUP(A1273,[1]Base!$A$11:$R$1579,18,FALSE)</f>
        <v>9.2017775968518886E-2</v>
      </c>
      <c r="F1273">
        <f>+VLOOKUP(A1273,[1]Base!$A$11:$O$1264,15,FALSE)</f>
        <v>7.3614220774815109E-2</v>
      </c>
      <c r="G1273">
        <f t="shared" si="19"/>
        <v>1</v>
      </c>
    </row>
    <row r="1274" spans="1:7" x14ac:dyDescent="0.25">
      <c r="A1274" s="386" t="s">
        <v>1033</v>
      </c>
      <c r="B1274" s="395" t="s">
        <v>1034</v>
      </c>
      <c r="C1274" s="400">
        <v>1</v>
      </c>
      <c r="D1274" s="58">
        <f>+VLOOKUP(A1274,[1]Base!$A$11:$O$1318,15,FALSE)</f>
        <v>0.78215109573241048</v>
      </c>
      <c r="E1274" s="58">
        <f>+VLOOKUP(A1274,[1]Base!$A$11:$R$1579,18,FALSE)</f>
        <v>0.97768886966551305</v>
      </c>
      <c r="F1274">
        <f>+VLOOKUP(A1274,[1]Base!$A$11:$O$1264,15,FALSE)</f>
        <v>0.78215109573241048</v>
      </c>
      <c r="G1274">
        <f t="shared" si="19"/>
        <v>1</v>
      </c>
    </row>
    <row r="1275" spans="1:7" x14ac:dyDescent="0.25">
      <c r="A1275" s="386" t="s">
        <v>1035</v>
      </c>
      <c r="B1275" s="395" t="s">
        <v>1036</v>
      </c>
      <c r="C1275" s="400">
        <v>1</v>
      </c>
      <c r="D1275" s="58">
        <f>+VLOOKUP(A1275,[1]Base!$A$11:$O$1318,15,FALSE)</f>
        <v>0.28678873510188385</v>
      </c>
      <c r="E1275" s="58">
        <f>+VLOOKUP(A1275,[1]Base!$A$11:$R$1579,18,FALSE)</f>
        <v>0.35848591887735481</v>
      </c>
      <c r="F1275">
        <f>+VLOOKUP(A1275,[1]Base!$A$11:$O$1264,15,FALSE)</f>
        <v>0.28678873510188385</v>
      </c>
      <c r="G1275">
        <f t="shared" si="19"/>
        <v>1</v>
      </c>
    </row>
    <row r="1276" spans="1:7" x14ac:dyDescent="0.25">
      <c r="A1276" s="386" t="s">
        <v>1039</v>
      </c>
      <c r="B1276" s="395" t="s">
        <v>1040</v>
      </c>
      <c r="C1276" s="400">
        <v>1</v>
      </c>
      <c r="D1276" s="58">
        <f>+VLOOKUP(A1276,[1]Base!$A$11:$O$1318,15,FALSE)</f>
        <v>0.50609776782685389</v>
      </c>
      <c r="E1276" s="58">
        <f>+VLOOKUP(A1276,[1]Base!$A$11:$R$1579,18,FALSE)</f>
        <v>0.63262220978356731</v>
      </c>
      <c r="F1276">
        <f>+VLOOKUP(A1276,[1]Base!$A$11:$O$1264,15,FALSE)</f>
        <v>0.50609776782685389</v>
      </c>
      <c r="G1276">
        <f t="shared" si="19"/>
        <v>1</v>
      </c>
    </row>
    <row r="1277" spans="1:7" x14ac:dyDescent="0.25">
      <c r="A1277" s="386" t="s">
        <v>1087</v>
      </c>
      <c r="B1277" s="395" t="s">
        <v>1088</v>
      </c>
      <c r="C1277" s="400">
        <v>1</v>
      </c>
      <c r="D1277" s="58">
        <f>+VLOOKUP(A1277,[1]Base!$A$11:$O$1318,15,FALSE)</f>
        <v>9.8896831178291733E-2</v>
      </c>
      <c r="E1277" s="58">
        <f>+VLOOKUP(A1277,[1]Base!$A$11:$R$1579,18,FALSE)</f>
        <v>0.12362103897286467</v>
      </c>
      <c r="F1277">
        <f>+VLOOKUP(A1277,[1]Base!$A$11:$O$1264,15,FALSE)</f>
        <v>9.8896831178291733E-2</v>
      </c>
      <c r="G1277">
        <f t="shared" si="19"/>
        <v>1</v>
      </c>
    </row>
    <row r="1278" spans="1:7" x14ac:dyDescent="0.25">
      <c r="A1278" s="386" t="s">
        <v>1229</v>
      </c>
      <c r="B1278" s="395" t="s">
        <v>1230</v>
      </c>
      <c r="C1278" s="400">
        <v>1</v>
      </c>
      <c r="D1278" s="58">
        <f>+VLOOKUP(A1278,[1]Base!$A$11:$O$1318,15,FALSE)</f>
        <v>3.1286043829296419</v>
      </c>
      <c r="E1278" s="58">
        <f>+VLOOKUP(A1278,[1]Base!$A$11:$R$1579,18,FALSE)</f>
        <v>3.9107554786620522</v>
      </c>
      <c r="F1278">
        <f>+VLOOKUP(A1278,[1]Base!$A$11:$O$1264,15,FALSE)</f>
        <v>3.1286043829296419</v>
      </c>
      <c r="G1278">
        <f t="shared" si="19"/>
        <v>1</v>
      </c>
    </row>
    <row r="1279" spans="1:7" x14ac:dyDescent="0.25">
      <c r="A1279" s="391" t="s">
        <v>1554</v>
      </c>
      <c r="B1279" s="396" t="s">
        <v>1555</v>
      </c>
      <c r="C1279" s="400">
        <v>100</v>
      </c>
      <c r="D1279" s="58">
        <f>+VLOOKUP(A1279,[1]Base!$A$11:$O$1318,15,FALSE)</f>
        <v>1.0121955356537078</v>
      </c>
      <c r="E1279" s="58">
        <f>+VLOOKUP(A1279,[1]Base!$A$11:$R$1579,18,FALSE)</f>
        <v>1.2652444195671346</v>
      </c>
      <c r="F1279">
        <f>+VLOOKUP(A1279,[1]Base!$A$11:$O$1264,15,FALSE)</f>
        <v>1.0121955356537078</v>
      </c>
      <c r="G1279">
        <f t="shared" si="19"/>
        <v>1</v>
      </c>
    </row>
    <row r="1280" spans="1:7" x14ac:dyDescent="0.25">
      <c r="A1280" s="391" t="s">
        <v>1574</v>
      </c>
      <c r="B1280" s="396" t="s">
        <v>1575</v>
      </c>
      <c r="C1280" s="400">
        <v>2500</v>
      </c>
      <c r="D1280" s="58">
        <f>+VLOOKUP(A1280,[1]Base!$A$11:$O$1318,15,FALSE)</f>
        <v>3.1500106234444245</v>
      </c>
      <c r="E1280" s="58">
        <f>+VLOOKUP(A1280,[1]Base!$A$11:$R$1579,18,FALSE)</f>
        <v>3.9375132793055303</v>
      </c>
      <c r="F1280">
        <f>+VLOOKUP(A1280,[1]Base!$A$11:$O$1264,15,FALSE)</f>
        <v>3.1500106234444245</v>
      </c>
      <c r="G1280">
        <f t="shared" si="19"/>
        <v>1</v>
      </c>
    </row>
    <row r="1281" spans="1:7" x14ac:dyDescent="0.25">
      <c r="A1281" s="386" t="s">
        <v>808</v>
      </c>
      <c r="B1281" s="395" t="s">
        <v>809</v>
      </c>
      <c r="C1281" s="400">
        <v>1</v>
      </c>
      <c r="D1281" s="58">
        <f>+VLOOKUP(A1281,[1]Base!$A$11:$O$1318,15,FALSE)</f>
        <v>1.2514417531718569</v>
      </c>
      <c r="E1281" s="58">
        <f>+VLOOKUP(A1281,[1]Base!$A$11:$R$1579,18,FALSE)</f>
        <v>1.564302191464821</v>
      </c>
      <c r="F1281">
        <f>+VLOOKUP(A1281,[1]Base!$A$11:$O$1264,15,FALSE)</f>
        <v>1.2514417531718569</v>
      </c>
      <c r="G1281">
        <f t="shared" si="19"/>
        <v>1</v>
      </c>
    </row>
    <row r="1282" spans="1:7" x14ac:dyDescent="0.25">
      <c r="A1282" s="386" t="s">
        <v>1055</v>
      </c>
      <c r="B1282" s="395" t="s">
        <v>1056</v>
      </c>
      <c r="C1282" s="400">
        <v>1</v>
      </c>
      <c r="D1282" s="58">
        <f>+VLOOKUP(A1282,[1]Base!$A$11:$O$1318,15,FALSE)</f>
        <v>6.3214274874036289E-2</v>
      </c>
      <c r="E1282" s="58">
        <f>+VLOOKUP(A1282,[1]Base!$A$11:$R$1579,18,FALSE)</f>
        <v>7.901784359254535E-2</v>
      </c>
      <c r="F1282">
        <f>+VLOOKUP(A1282,[1]Base!$A$11:$O$1264,15,FALSE)</f>
        <v>6.3214274874036289E-2</v>
      </c>
      <c r="G1282">
        <f t="shared" si="19"/>
        <v>1</v>
      </c>
    </row>
    <row r="1283" spans="1:7" x14ac:dyDescent="0.25">
      <c r="A1283" s="386" t="s">
        <v>1444</v>
      </c>
      <c r="B1283" s="395" t="s">
        <v>1445</v>
      </c>
      <c r="C1283" s="400">
        <v>1</v>
      </c>
      <c r="D1283" s="58">
        <f>+VLOOKUP(A1283,[1]Base!$A$11:$O$1318,15,FALSE)</f>
        <v>0.15643021914648211</v>
      </c>
      <c r="E1283" s="58">
        <f>+VLOOKUP(A1283,[1]Base!$A$11:$R$1579,18,FALSE)</f>
        <v>0.19553777393310262</v>
      </c>
      <c r="F1283">
        <f>+VLOOKUP(A1283,[1]Base!$A$11:$O$1264,15,FALSE)</f>
        <v>0.15643021914648211</v>
      </c>
      <c r="G1283">
        <f t="shared" si="19"/>
        <v>1</v>
      </c>
    </row>
    <row r="1284" spans="1:7" x14ac:dyDescent="0.25">
      <c r="A1284" s="386" t="s">
        <v>1512</v>
      </c>
      <c r="B1284" s="395" t="s">
        <v>1513</v>
      </c>
      <c r="C1284" s="400">
        <v>1</v>
      </c>
      <c r="D1284" s="58">
        <f>+VLOOKUP(A1284,[1]Base!$A$11:$O$1318,15,FALSE)</f>
        <v>3.1286043829296423E-2</v>
      </c>
      <c r="E1284" s="58">
        <f>+VLOOKUP(A1284,[1]Base!$A$11:$R$1579,18,FALSE)</f>
        <v>3.9107554786620528E-2</v>
      </c>
      <c r="F1284">
        <f>+VLOOKUP(A1284,[1]Base!$A$11:$O$1264,15,FALSE)</f>
        <v>3.1286043829296423E-2</v>
      </c>
      <c r="G1284">
        <f t="shared" ref="G1284:G1293" si="20">+F1284/D1284</f>
        <v>1</v>
      </c>
    </row>
    <row r="1285" spans="1:7" x14ac:dyDescent="0.25">
      <c r="A1285" s="386" t="s">
        <v>1514</v>
      </c>
      <c r="B1285" s="395" t="s">
        <v>1515</v>
      </c>
      <c r="C1285" s="400">
        <v>1</v>
      </c>
      <c r="D1285" s="58">
        <f>+VLOOKUP(A1285,[1]Base!$A$11:$O$1318,15,FALSE)</f>
        <v>3.1286043829296423E-2</v>
      </c>
      <c r="E1285" s="58">
        <f>+VLOOKUP(A1285,[1]Base!$A$11:$R$1579,18,FALSE)</f>
        <v>3.9107554786620528E-2</v>
      </c>
      <c r="F1285">
        <f>+VLOOKUP(A1285,[1]Base!$A$11:$O$1264,15,FALSE)</f>
        <v>3.1286043829296423E-2</v>
      </c>
      <c r="G1285">
        <f t="shared" si="20"/>
        <v>1</v>
      </c>
    </row>
    <row r="1286" spans="1:7" x14ac:dyDescent="0.25">
      <c r="A1286" s="386" t="s">
        <v>1412</v>
      </c>
      <c r="B1286" s="395" t="s">
        <v>1413</v>
      </c>
      <c r="C1286" s="400">
        <v>1</v>
      </c>
      <c r="D1286" s="58">
        <f>+VLOOKUP(A1286,[1]Base!$A$11:$O$1318,15,FALSE)</f>
        <v>0.14704440599769319</v>
      </c>
      <c r="E1286" s="58">
        <f>+VLOOKUP(A1286,[1]Base!$A$11:$R$1579,18,FALSE)</f>
        <v>0.18380550749711649</v>
      </c>
      <c r="F1286">
        <f>+VLOOKUP(A1286,[1]Base!$A$11:$O$1264,15,FALSE)</f>
        <v>0.14704440599769319</v>
      </c>
      <c r="G1286">
        <f t="shared" si="20"/>
        <v>1</v>
      </c>
    </row>
    <row r="1287" spans="1:7" x14ac:dyDescent="0.25">
      <c r="A1287" s="389">
        <v>8584763</v>
      </c>
      <c r="B1287" s="395" t="s">
        <v>1726</v>
      </c>
      <c r="C1287" s="400">
        <v>1</v>
      </c>
      <c r="D1287" s="58">
        <f>+VLOOKUP(A1287,[1]Base!$A$11:$O$1318,15,FALSE)</f>
        <v>188.18088419117643</v>
      </c>
      <c r="E1287" s="58">
        <f>+VLOOKUP(A1287,[1]Base!$A$11:$R$1579,18,FALSE)</f>
        <v>235.22610523897052</v>
      </c>
      <c r="F1287">
        <f>+VLOOKUP(A1287,[1]Base!$A$11:$O$1264,15,FALSE)</f>
        <v>188.18088419117643</v>
      </c>
      <c r="G1287">
        <f t="shared" si="20"/>
        <v>1</v>
      </c>
    </row>
    <row r="1288" spans="1:7" x14ac:dyDescent="0.25">
      <c r="A1288" s="36" t="s">
        <v>782</v>
      </c>
      <c r="B1288" s="395" t="s">
        <v>783</v>
      </c>
      <c r="C1288" s="400">
        <v>6</v>
      </c>
      <c r="D1288" s="58">
        <f>+VLOOKUP(A1288,[1]Base!$A$11:$O$1318,15,FALSE)</f>
        <v>117.56965944272447</v>
      </c>
      <c r="E1288" s="58">
        <f>+VLOOKUP(A1288,[1]Base!$A$11:$R$1579,18,FALSE)</f>
        <v>146.96207430340559</v>
      </c>
      <c r="F1288">
        <f>+VLOOKUP(A1288,[1]Base!$A$11:$O$1264,15,FALSE)</f>
        <v>117.56965944272447</v>
      </c>
      <c r="G1288">
        <f t="shared" si="20"/>
        <v>1</v>
      </c>
    </row>
    <row r="1289" spans="1:7" x14ac:dyDescent="0.25">
      <c r="A1289" s="36" t="s">
        <v>786</v>
      </c>
      <c r="B1289" s="395" t="s">
        <v>787</v>
      </c>
      <c r="C1289" s="400">
        <v>6</v>
      </c>
      <c r="D1289" s="58">
        <f>+VLOOKUP(A1289,[1]Base!$A$11:$O$1318,15,FALSE)</f>
        <v>176.35448916408671</v>
      </c>
      <c r="E1289" s="58">
        <f>+VLOOKUP(A1289,[1]Base!$A$11:$R$1579,18,FALSE)</f>
        <v>220.44311145510838</v>
      </c>
      <c r="F1289">
        <f>+VLOOKUP(A1289,[1]Base!$A$11:$O$1264,15,FALSE)</f>
        <v>176.35448916408671</v>
      </c>
      <c r="G1289">
        <f t="shared" si="20"/>
        <v>1</v>
      </c>
    </row>
    <row r="1290" spans="1:7" x14ac:dyDescent="0.25">
      <c r="A1290" s="36" t="s">
        <v>963</v>
      </c>
      <c r="B1290" s="395" t="s">
        <v>964</v>
      </c>
      <c r="C1290" s="400">
        <v>5</v>
      </c>
      <c r="D1290" s="58">
        <f>+VLOOKUP(A1290,[1]Base!$A$11:$O$1318,15,FALSE)</f>
        <v>23.677792041078305</v>
      </c>
      <c r="E1290" s="58">
        <f>+VLOOKUP(A1290,[1]Base!$A$11:$R$1579,18,FALSE)</f>
        <v>29.597240051347882</v>
      </c>
      <c r="F1290">
        <f>+VLOOKUP(A1290,[1]Base!$A$11:$O$1264,15,FALSE)</f>
        <v>23.677792041078305</v>
      </c>
      <c r="G1290">
        <f t="shared" si="20"/>
        <v>1</v>
      </c>
    </row>
    <row r="1291" spans="1:7" x14ac:dyDescent="0.25">
      <c r="A1291" s="36" t="s">
        <v>965</v>
      </c>
      <c r="B1291" s="395" t="s">
        <v>966</v>
      </c>
      <c r="C1291" s="400">
        <v>10</v>
      </c>
      <c r="D1291" s="58">
        <f>+VLOOKUP(A1291,[1]Base!$A$11:$O$1318,15,FALSE)</f>
        <v>34.758834856150422</v>
      </c>
      <c r="E1291" s="58">
        <f>+VLOOKUP(A1291,[1]Base!$A$11:$R$1579,18,FALSE)</f>
        <v>43.448543570188022</v>
      </c>
      <c r="F1291">
        <f>+VLOOKUP(A1291,[1]Base!$A$11:$O$1264,15,FALSE)</f>
        <v>34.758834856150422</v>
      </c>
      <c r="G1291">
        <f t="shared" si="20"/>
        <v>1</v>
      </c>
    </row>
    <row r="1292" spans="1:7" x14ac:dyDescent="0.25">
      <c r="A1292" s="36" t="s">
        <v>981</v>
      </c>
      <c r="B1292" s="395" t="s">
        <v>982</v>
      </c>
      <c r="C1292" s="400">
        <v>25</v>
      </c>
      <c r="D1292" s="58">
        <f>+VLOOKUP(A1292,[1]Base!$A$11:$O$1318,15,FALSE)</f>
        <v>60.553633217993081</v>
      </c>
      <c r="E1292" s="58">
        <f>+VLOOKUP(A1292,[1]Base!$A$11:$R$1579,18,FALSE)</f>
        <v>75.692041522491351</v>
      </c>
      <c r="F1292">
        <f>+VLOOKUP(A1292,[1]Base!$A$11:$O$1264,15,FALSE)</f>
        <v>60.553633217993081</v>
      </c>
      <c r="G1292">
        <f t="shared" si="20"/>
        <v>1</v>
      </c>
    </row>
    <row r="1293" spans="1:7" x14ac:dyDescent="0.25">
      <c r="A1293" s="36" t="s">
        <v>979</v>
      </c>
      <c r="B1293" s="395" t="s">
        <v>980</v>
      </c>
      <c r="C1293" s="400">
        <v>25</v>
      </c>
      <c r="D1293" s="58">
        <f>+VLOOKUP(A1293,[1]Base!$A$11:$O$1318,15,FALSE)</f>
        <v>112.45674740484429</v>
      </c>
      <c r="E1293" s="58">
        <f>+VLOOKUP(A1293,[1]Base!$A$11:$R$1579,18,FALSE)</f>
        <v>140.57093425605535</v>
      </c>
      <c r="F1293">
        <f>+VLOOKUP(A1293,[1]Base!$A$11:$O$1264,15,FALSE)</f>
        <v>112.45674740484429</v>
      </c>
      <c r="G1293">
        <f t="shared" si="20"/>
        <v>1</v>
      </c>
    </row>
    <row r="1294" spans="1:7" x14ac:dyDescent="0.25">
      <c r="A1294" s="422">
        <v>8591439</v>
      </c>
      <c r="B1294" s="426" t="s">
        <v>2242</v>
      </c>
      <c r="C1294" s="400"/>
      <c r="D1294" s="58">
        <f>+VLOOKUP(A1294,[1]Base!$A$11:$O$1318,15,FALSE)</f>
        <v>1179.9125386996907</v>
      </c>
      <c r="E1294" s="58">
        <f>+VLOOKUP(A1294,[1]Base!$A$11:$R$1579,18,FALSE)</f>
        <v>1474.8906733746132</v>
      </c>
    </row>
    <row r="1295" spans="1:7" x14ac:dyDescent="0.25">
      <c r="A1295" s="422">
        <v>8592789</v>
      </c>
      <c r="B1295" s="426" t="s">
        <v>2219</v>
      </c>
      <c r="C1295" s="400"/>
      <c r="D1295" s="58">
        <f>+VLOOKUP(A1295,[1]Base!$A$11:$O$1318,15,FALSE)</f>
        <v>358.06346749226009</v>
      </c>
      <c r="E1295" s="58">
        <f>+VLOOKUP(A1295,[1]Base!$A$11:$R$1579,18,FALSE)</f>
        <v>447.57933436532511</v>
      </c>
    </row>
    <row r="1296" spans="1:7" x14ac:dyDescent="0.25">
      <c r="A1296" s="422">
        <v>8592062</v>
      </c>
      <c r="B1296" s="426" t="s">
        <v>2220</v>
      </c>
      <c r="C1296" s="400"/>
      <c r="D1296" s="58">
        <f>+VLOOKUP(A1296,[1]Base!$A$11:$O$1318,15,FALSE)</f>
        <v>6013.372291021672</v>
      </c>
      <c r="E1296" s="58">
        <f>+VLOOKUP(A1296,[1]Base!$A$11:$R$1579,18,FALSE)</f>
        <v>7516.7153637770898</v>
      </c>
    </row>
    <row r="1297" spans="1:5" x14ac:dyDescent="0.25">
      <c r="A1297" s="424">
        <v>8591563</v>
      </c>
      <c r="B1297" s="426" t="s">
        <v>2243</v>
      </c>
      <c r="C1297" s="400"/>
      <c r="D1297" s="58">
        <f>+VLOOKUP(A1297,[1]Base!$A$11:$O$1318,15,FALSE)</f>
        <v>1303.6277089783282</v>
      </c>
      <c r="E1297" s="58">
        <f>+VLOOKUP(A1297,[1]Base!$A$11:$R$1579,18,FALSE)</f>
        <v>1629.5346362229102</v>
      </c>
    </row>
    <row r="1298" spans="1:5" x14ac:dyDescent="0.25">
      <c r="A1298" s="422">
        <v>8591435</v>
      </c>
      <c r="B1298" s="426" t="s">
        <v>2222</v>
      </c>
      <c r="C1298" s="400"/>
      <c r="D1298" s="58">
        <f>+VLOOKUP(A1298,[1]Base!$A$11:$O$1318,15,FALSE)</f>
        <v>1042.843653250774</v>
      </c>
      <c r="E1298" s="58">
        <f>+VLOOKUP(A1298,[1]Base!$A$11:$R$1579,18,FALSE)</f>
        <v>1303.5545665634675</v>
      </c>
    </row>
    <row r="1299" spans="1:5" x14ac:dyDescent="0.25">
      <c r="A1299" s="422">
        <v>3562475</v>
      </c>
      <c r="B1299" s="426" t="s">
        <v>2244</v>
      </c>
      <c r="C1299" s="400"/>
      <c r="D1299" s="58">
        <f>+VLOOKUP(A1299,[1]Base!$A$11:$O$1318,15,FALSE)</f>
        <v>133.49535603715174</v>
      </c>
      <c r="E1299" s="58">
        <f>+VLOOKUP(A1299,[1]Base!$A$11:$R$1579,18,FALSE)</f>
        <v>166.86919504643967</v>
      </c>
    </row>
    <row r="1300" spans="1:5" x14ac:dyDescent="0.25">
      <c r="A1300" s="422">
        <v>3562478</v>
      </c>
      <c r="B1300" s="426" t="s">
        <v>2245</v>
      </c>
      <c r="C1300" s="400"/>
      <c r="D1300" s="58">
        <f>+VLOOKUP(A1300,[1]Base!$A$11:$O$1318,15,FALSE)</f>
        <v>2916.0835913312699</v>
      </c>
      <c r="E1300" s="58">
        <f>+VLOOKUP(A1300,[1]Base!$A$11:$R$1579,18,FALSE)</f>
        <v>3645.1044891640872</v>
      </c>
    </row>
    <row r="1301" spans="1:5" x14ac:dyDescent="0.25">
      <c r="A1301" s="422">
        <v>3558013</v>
      </c>
      <c r="B1301" s="426" t="s">
        <v>2246</v>
      </c>
      <c r="C1301" s="400"/>
      <c r="D1301" s="58">
        <f>+VLOOKUP(A1301,[1]Base!$A$11:$O$1318,15,FALSE)</f>
        <v>233.59597523219819</v>
      </c>
      <c r="E1301" s="58">
        <f>+VLOOKUP(A1301,[1]Base!$A$11:$R$1579,18,FALSE)</f>
        <v>291.99496904024772</v>
      </c>
    </row>
    <row r="1302" spans="1:5" x14ac:dyDescent="0.25">
      <c r="A1302" s="422">
        <v>8580119</v>
      </c>
      <c r="B1302" s="426" t="s">
        <v>2247</v>
      </c>
      <c r="C1302" s="400"/>
      <c r="D1302" s="58">
        <f>+VLOOKUP(A1302,[1]Base!$A$11:$O$1318,15,FALSE)</f>
        <v>69.088235294117652</v>
      </c>
      <c r="E1302" s="58">
        <f>+VLOOKUP(A1302,[1]Base!$A$11:$R$1579,18,FALSE)</f>
        <v>86.360294117647058</v>
      </c>
    </row>
    <row r="1303" spans="1:5" x14ac:dyDescent="0.25">
      <c r="A1303" s="422">
        <v>8501422</v>
      </c>
      <c r="B1303" s="426" t="s">
        <v>2248</v>
      </c>
      <c r="C1303" s="400"/>
      <c r="D1303" s="58">
        <f>+VLOOKUP(A1303,[1]Base!$A$11:$O$1318,15,FALSE)</f>
        <v>4.367647058823529</v>
      </c>
      <c r="E1303" s="58">
        <f>+VLOOKUP(A1303,[1]Base!$A$11:$R$1579,18,FALSE)</f>
        <v>5.4595588235294112</v>
      </c>
    </row>
    <row r="1304" spans="1:5" x14ac:dyDescent="0.25">
      <c r="A1304" s="422">
        <v>8514033</v>
      </c>
      <c r="B1304" s="426" t="s">
        <v>2249</v>
      </c>
      <c r="C1304" s="400"/>
      <c r="D1304" s="58">
        <f>+VLOOKUP(A1304,[1]Base!$A$11:$O$1318,15,FALSE)</f>
        <v>8.881578947368423</v>
      </c>
      <c r="E1304" s="58">
        <f>+VLOOKUP(A1304,[1]Base!$A$11:$R$1579,18,FALSE)</f>
        <v>11.101973684210527</v>
      </c>
    </row>
    <row r="1305" spans="1:5" x14ac:dyDescent="0.25">
      <c r="A1305" s="422">
        <v>1091008</v>
      </c>
      <c r="B1305" s="426" t="s">
        <v>2250</v>
      </c>
      <c r="C1305" s="400"/>
      <c r="D1305" s="58">
        <f>+VLOOKUP(A1305,[1]Base!$A$11:$O$1318,15,FALSE)</f>
        <v>4.3885448916408674</v>
      </c>
      <c r="E1305" s="58">
        <f>+VLOOKUP(A1305,[1]Base!$A$11:$R$1579,18,FALSE)</f>
        <v>5.4856811145510838</v>
      </c>
    </row>
    <row r="1306" spans="1:5" x14ac:dyDescent="0.25">
      <c r="A1306" s="422">
        <v>1203352</v>
      </c>
      <c r="B1306" s="426" t="s">
        <v>2251</v>
      </c>
      <c r="C1306" s="400"/>
      <c r="D1306" s="58">
        <f>+VLOOKUP(A1306,[1]Base!$A$11:$O$1318,15,FALSE)</f>
        <v>4.3885448916408674</v>
      </c>
      <c r="E1306" s="58">
        <f>+VLOOKUP(A1306,[1]Base!$A$11:$R$1579,18,FALSE)</f>
        <v>5.4856811145510838</v>
      </c>
    </row>
    <row r="1307" spans="1:5" x14ac:dyDescent="0.25">
      <c r="A1307" s="422">
        <v>8591560</v>
      </c>
      <c r="B1307" s="426" t="s">
        <v>2252</v>
      </c>
      <c r="C1307" s="400"/>
      <c r="D1307" s="58">
        <f>+VLOOKUP(A1307,[1]Base!$A$11:$O$1318,15,FALSE)</f>
        <v>555.17182662538721</v>
      </c>
      <c r="E1307" s="58">
        <f>+VLOOKUP(A1307,[1]Base!$A$11:$R$1579,18,FALSE)</f>
        <v>693.96478328173396</v>
      </c>
    </row>
    <row r="1308" spans="1:5" x14ac:dyDescent="0.25">
      <c r="A1308" s="422">
        <v>8592165</v>
      </c>
      <c r="B1308" s="426" t="s">
        <v>2240</v>
      </c>
      <c r="C1308" s="400"/>
      <c r="D1308" s="58">
        <f>+VLOOKUP(A1308,[1]Base!$A$11:$O$1318,15,FALSE)</f>
        <v>323.41486068111453</v>
      </c>
      <c r="E1308" s="58">
        <f>+VLOOKUP(A1308,[1]Base!$A$11:$R$1579,18,FALSE)</f>
        <v>404.26857585139317</v>
      </c>
    </row>
    <row r="1309" spans="1:5" x14ac:dyDescent="0.25">
      <c r="A1309" s="422">
        <v>8592166</v>
      </c>
      <c r="B1309" s="426" t="s">
        <v>2241</v>
      </c>
      <c r="C1309" s="400"/>
      <c r="D1309" s="58">
        <f>+VLOOKUP(A1309,[1]Base!$A$11:$O$1318,15,FALSE)</f>
        <v>334.34442724458211</v>
      </c>
      <c r="E1309" s="58">
        <f>+VLOOKUP(A1309,[1]Base!$A$11:$R$1579,18,FALSE)</f>
        <v>417.93053405572761</v>
      </c>
    </row>
    <row r="1310" spans="1:5" x14ac:dyDescent="0.25">
      <c r="A1310" s="198">
        <v>4026118</v>
      </c>
      <c r="B1310" s="32" t="s">
        <v>2255</v>
      </c>
      <c r="C1310"/>
      <c r="D1310" s="58">
        <f>+VLOOKUP(A1310,[1]Base!$A$11:$O$1318,15,FALSE)</f>
        <v>29.317674148606816</v>
      </c>
      <c r="E1310" s="58">
        <f>+VLOOKUP(A1310,[1]Base!$A$11:$R$1579,18,FALSE)</f>
        <v>36.647092685758516</v>
      </c>
    </row>
    <row r="1311" spans="1:5" x14ac:dyDescent="0.25">
      <c r="A1311" s="198">
        <v>4026121</v>
      </c>
      <c r="B1311" s="32" t="s">
        <v>2256</v>
      </c>
      <c r="C1311" s="168"/>
      <c r="D1311" s="58">
        <f>+VLOOKUP(A1311,[1]Base!$A$11:$O$1318,15,FALSE)</f>
        <v>12.901590557275542</v>
      </c>
      <c r="E1311" s="58">
        <f>+VLOOKUP(A1311,[1]Base!$A$11:$R$1579,18,FALSE)</f>
        <v>16.126988196594425</v>
      </c>
    </row>
    <row r="1312" spans="1:5" x14ac:dyDescent="0.25">
      <c r="A1312" s="168"/>
      <c r="B1312" s="168"/>
      <c r="C1312" s="168"/>
      <c r="D1312" s="168"/>
      <c r="E1312" s="168"/>
    </row>
    <row r="1313" spans="1:5" x14ac:dyDescent="0.25">
      <c r="A1313" s="294" t="s">
        <v>1578</v>
      </c>
      <c r="B1313" s="294" t="s">
        <v>1578</v>
      </c>
      <c r="C1313" s="294" t="s">
        <v>1578</v>
      </c>
      <c r="D1313" s="58" t="str">
        <f>+VLOOKUP(A1313,[1]Base!$A$11:$O$1318,15,FALSE)</f>
        <v>xxx</v>
      </c>
      <c r="E1313" s="58" t="str">
        <f>+VLOOKUP(A1313,[1]Base!$A$11:$R$1579,18,FALSE)</f>
        <v>xxx</v>
      </c>
    </row>
    <row r="1314" spans="1:5" x14ac:dyDescent="0.25">
      <c r="A1314" s="183"/>
      <c r="B1314" s="294"/>
      <c r="C1314" s="301"/>
      <c r="D1314" s="295"/>
      <c r="E1314" s="295"/>
    </row>
    <row r="1315" spans="1:5" x14ac:dyDescent="0.25">
      <c r="A1315" s="183"/>
      <c r="B1315" s="294"/>
      <c r="C1315" s="301"/>
      <c r="D1315" s="295"/>
      <c r="E1315" s="295"/>
    </row>
    <row r="1316" spans="1:5" x14ac:dyDescent="0.25">
      <c r="A1316" s="183"/>
      <c r="B1316" s="294"/>
      <c r="C1316" s="301"/>
      <c r="D1316" s="295"/>
      <c r="E1316" s="295"/>
    </row>
    <row r="1317" spans="1:5" x14ac:dyDescent="0.25">
      <c r="A1317" s="183"/>
      <c r="B1317" s="294"/>
      <c r="C1317" s="301"/>
      <c r="D1317" s="295"/>
      <c r="E1317" s="295"/>
    </row>
    <row r="1318" spans="1:5" ht="13.5" customHeight="1" x14ac:dyDescent="0.25">
      <c r="A1318" s="183"/>
      <c r="B1318" s="294"/>
      <c r="C1318" s="301"/>
      <c r="D1318" s="295"/>
      <c r="E1318" s="295"/>
    </row>
    <row r="1319" spans="1:5" x14ac:dyDescent="0.25">
      <c r="A1319" s="183"/>
      <c r="B1319" s="294"/>
      <c r="C1319" s="301"/>
      <c r="D1319" s="295"/>
      <c r="E1319" s="295"/>
    </row>
    <row r="1320" spans="1:5" x14ac:dyDescent="0.25">
      <c r="A1320" s="183"/>
      <c r="B1320" s="294"/>
      <c r="C1320" s="301"/>
      <c r="D1320" s="295"/>
      <c r="E1320" s="295"/>
    </row>
    <row r="1321" spans="1:5" x14ac:dyDescent="0.25">
      <c r="A1321" s="183"/>
      <c r="B1321" s="294"/>
      <c r="C1321" s="301"/>
      <c r="D1321" s="295"/>
      <c r="E1321" s="295"/>
    </row>
    <row r="1322" spans="1:5" x14ac:dyDescent="0.25">
      <c r="A1322" s="183"/>
      <c r="B1322" s="294"/>
      <c r="C1322" s="301"/>
      <c r="D1322" s="295"/>
      <c r="E1322" s="295"/>
    </row>
    <row r="1323" spans="1:5" x14ac:dyDescent="0.25">
      <c r="A1323" s="183"/>
      <c r="B1323" s="294"/>
      <c r="C1323" s="301"/>
      <c r="D1323" s="295"/>
      <c r="E1323" s="295"/>
    </row>
    <row r="1324" spans="1:5" x14ac:dyDescent="0.25">
      <c r="A1324" s="183"/>
      <c r="B1324" s="294"/>
      <c r="C1324" s="301"/>
      <c r="D1324" s="295"/>
      <c r="E1324" s="295"/>
    </row>
    <row r="1325" spans="1:5" x14ac:dyDescent="0.25">
      <c r="A1325" s="183"/>
      <c r="B1325" s="294"/>
      <c r="C1325" s="301"/>
      <c r="D1325" s="295"/>
      <c r="E1325" s="295"/>
    </row>
    <row r="1326" spans="1:5" x14ac:dyDescent="0.25">
      <c r="A1326" s="183"/>
      <c r="B1326" s="294"/>
      <c r="C1326" s="301"/>
      <c r="D1326" s="295"/>
      <c r="E1326" s="295"/>
    </row>
    <row r="1327" spans="1:5" x14ac:dyDescent="0.25">
      <c r="A1327" s="183"/>
      <c r="B1327" s="294"/>
      <c r="C1327" s="301"/>
      <c r="D1327" s="295"/>
      <c r="E1327" s="295"/>
    </row>
    <row r="1328" spans="1:5" x14ac:dyDescent="0.25">
      <c r="A1328" s="183"/>
      <c r="B1328" s="294"/>
      <c r="C1328" s="301"/>
      <c r="D1328" s="295"/>
      <c r="E1328" s="295"/>
    </row>
    <row r="1329" spans="1:5" x14ac:dyDescent="0.25">
      <c r="A1329" s="183"/>
      <c r="B1329" s="294"/>
      <c r="C1329" s="301"/>
      <c r="D1329" s="295"/>
      <c r="E1329" s="295"/>
    </row>
    <row r="1330" spans="1:5" x14ac:dyDescent="0.25">
      <c r="A1330" s="183"/>
      <c r="B1330" s="294"/>
      <c r="C1330" s="301"/>
      <c r="D1330" s="295"/>
      <c r="E1330" s="295"/>
    </row>
    <row r="1331" spans="1:5" x14ac:dyDescent="0.25">
      <c r="A1331" s="183"/>
      <c r="B1331" s="294"/>
      <c r="C1331" s="301"/>
      <c r="D1331" s="295"/>
      <c r="E1331" s="295"/>
    </row>
    <row r="1332" spans="1:5" x14ac:dyDescent="0.25">
      <c r="A1332" s="183"/>
      <c r="B1332" s="294"/>
      <c r="C1332" s="301"/>
      <c r="D1332" s="295"/>
      <c r="E1332" s="295"/>
    </row>
    <row r="1333" spans="1:5" x14ac:dyDescent="0.25">
      <c r="A1333" s="183"/>
      <c r="B1333" s="294"/>
      <c r="C1333" s="301"/>
      <c r="D1333" s="295"/>
      <c r="E1333" s="295"/>
    </row>
    <row r="1334" spans="1:5" x14ac:dyDescent="0.25">
      <c r="A1334" s="183"/>
      <c r="B1334" s="294"/>
      <c r="C1334" s="301"/>
      <c r="D1334" s="295"/>
      <c r="E1334" s="295"/>
    </row>
    <row r="1335" spans="1:5" x14ac:dyDescent="0.25">
      <c r="A1335" s="183"/>
      <c r="B1335" s="294"/>
      <c r="C1335" s="301"/>
      <c r="D1335" s="295"/>
      <c r="E1335" s="295"/>
    </row>
    <row r="1336" spans="1:5" x14ac:dyDescent="0.25">
      <c r="A1336" s="183"/>
      <c r="B1336" s="294"/>
      <c r="C1336" s="301"/>
      <c r="D1336" s="295"/>
      <c r="E1336" s="295"/>
    </row>
    <row r="1337" spans="1:5" x14ac:dyDescent="0.25">
      <c r="A1337" s="183"/>
      <c r="B1337" s="294"/>
      <c r="C1337" s="301"/>
      <c r="D1337" s="295"/>
      <c r="E1337" s="295"/>
    </row>
    <row r="1338" spans="1:5" x14ac:dyDescent="0.25">
      <c r="A1338" s="183"/>
      <c r="B1338" s="294"/>
      <c r="C1338" s="301"/>
      <c r="D1338" s="295"/>
      <c r="E1338" s="295"/>
    </row>
    <row r="1339" spans="1:5" x14ac:dyDescent="0.25">
      <c r="A1339" s="183"/>
      <c r="B1339" s="294"/>
      <c r="C1339" s="301"/>
      <c r="D1339" s="295"/>
      <c r="E1339" s="295"/>
    </row>
    <row r="1340" spans="1:5" x14ac:dyDescent="0.25">
      <c r="A1340" s="183"/>
      <c r="B1340" s="294"/>
      <c r="C1340" s="301"/>
      <c r="D1340" s="295"/>
      <c r="E1340" s="295"/>
    </row>
    <row r="1341" spans="1:5" x14ac:dyDescent="0.25">
      <c r="A1341" s="183"/>
      <c r="B1341" s="294"/>
      <c r="C1341" s="301"/>
      <c r="D1341" s="295"/>
      <c r="E1341" s="295"/>
    </row>
    <row r="1342" spans="1:5" x14ac:dyDescent="0.25">
      <c r="A1342" s="183"/>
      <c r="B1342" s="294"/>
      <c r="C1342" s="301"/>
      <c r="D1342" s="295"/>
      <c r="E1342" s="295"/>
    </row>
    <row r="1343" spans="1:5" x14ac:dyDescent="0.25">
      <c r="A1343" s="183"/>
      <c r="B1343" s="294"/>
      <c r="C1343" s="301"/>
      <c r="D1343" s="295"/>
      <c r="E1343" s="295"/>
    </row>
    <row r="1344" spans="1:5" x14ac:dyDescent="0.25">
      <c r="A1344" s="183"/>
      <c r="B1344" s="294"/>
      <c r="C1344" s="301"/>
      <c r="D1344" s="295"/>
      <c r="E1344" s="295"/>
    </row>
    <row r="1345" spans="1:5" x14ac:dyDescent="0.25">
      <c r="A1345" s="183"/>
      <c r="B1345" s="294"/>
      <c r="C1345" s="301"/>
      <c r="D1345" s="295"/>
      <c r="E1345" s="295"/>
    </row>
    <row r="1346" spans="1:5" x14ac:dyDescent="0.25">
      <c r="A1346" s="183"/>
      <c r="B1346" s="294"/>
      <c r="C1346" s="301"/>
      <c r="D1346" s="295"/>
      <c r="E1346" s="295"/>
    </row>
    <row r="1347" spans="1:5" x14ac:dyDescent="0.25">
      <c r="A1347" s="183"/>
      <c r="B1347" s="294"/>
      <c r="C1347" s="301"/>
      <c r="D1347" s="295"/>
      <c r="E1347" s="295"/>
    </row>
    <row r="1348" spans="1:5" x14ac:dyDescent="0.25">
      <c r="A1348" s="183"/>
      <c r="B1348" s="294"/>
      <c r="C1348" s="301"/>
      <c r="D1348" s="295"/>
      <c r="E1348" s="295"/>
    </row>
    <row r="1349" spans="1:5" x14ac:dyDescent="0.25">
      <c r="A1349" s="183"/>
      <c r="B1349" s="294"/>
      <c r="C1349" s="301"/>
      <c r="D1349" s="295"/>
      <c r="E1349" s="295"/>
    </row>
    <row r="1350" spans="1:5" x14ac:dyDescent="0.25">
      <c r="A1350" s="183"/>
      <c r="B1350" s="294"/>
      <c r="C1350" s="301"/>
      <c r="D1350" s="295"/>
      <c r="E1350" s="295"/>
    </row>
    <row r="1351" spans="1:5" x14ac:dyDescent="0.25">
      <c r="A1351" s="183"/>
      <c r="B1351" s="294"/>
      <c r="C1351" s="301"/>
      <c r="D1351" s="295"/>
      <c r="E1351" s="295"/>
    </row>
    <row r="1352" spans="1:5" x14ac:dyDescent="0.25">
      <c r="A1352" s="183"/>
      <c r="B1352" s="294"/>
      <c r="C1352" s="301"/>
      <c r="D1352" s="295"/>
      <c r="E1352" s="295"/>
    </row>
    <row r="1353" spans="1:5" x14ac:dyDescent="0.25">
      <c r="A1353" s="183"/>
      <c r="B1353" s="294"/>
      <c r="C1353" s="301"/>
      <c r="D1353" s="295"/>
      <c r="E1353" s="295"/>
    </row>
    <row r="1354" spans="1:5" x14ac:dyDescent="0.25">
      <c r="A1354" s="183"/>
      <c r="B1354" s="294"/>
      <c r="C1354" s="301"/>
      <c r="D1354" s="295"/>
      <c r="E1354" s="295"/>
    </row>
    <row r="1355" spans="1:5" x14ac:dyDescent="0.25">
      <c r="A1355" s="183"/>
      <c r="B1355" s="294"/>
      <c r="C1355" s="301"/>
      <c r="D1355" s="295"/>
      <c r="E1355" s="295"/>
    </row>
    <row r="1356" spans="1:5" x14ac:dyDescent="0.25">
      <c r="A1356" s="183"/>
      <c r="B1356" s="294"/>
      <c r="C1356" s="301"/>
      <c r="D1356" s="295"/>
      <c r="E1356" s="295"/>
    </row>
    <row r="1357" spans="1:5" x14ac:dyDescent="0.25">
      <c r="A1357" s="183"/>
      <c r="B1357" s="294"/>
      <c r="C1357" s="301"/>
      <c r="D1357" s="295"/>
      <c r="E1357" s="295"/>
    </row>
    <row r="1358" spans="1:5" x14ac:dyDescent="0.25">
      <c r="A1358" s="183"/>
      <c r="B1358" s="294"/>
      <c r="C1358" s="301"/>
      <c r="D1358" s="295"/>
      <c r="E1358" s="295"/>
    </row>
    <row r="1359" spans="1:5" x14ac:dyDescent="0.25">
      <c r="A1359" s="183"/>
      <c r="B1359" s="294"/>
      <c r="C1359" s="301"/>
      <c r="D1359" s="295"/>
      <c r="E1359" s="295"/>
    </row>
    <row r="1360" spans="1:5" x14ac:dyDescent="0.25">
      <c r="A1360" s="183"/>
      <c r="B1360" s="294"/>
      <c r="C1360" s="301"/>
      <c r="D1360" s="295"/>
      <c r="E1360" s="295"/>
    </row>
    <row r="1361" spans="1:5" x14ac:dyDescent="0.25">
      <c r="A1361" s="183"/>
      <c r="B1361" s="294"/>
      <c r="C1361" s="301"/>
      <c r="D1361" s="295"/>
      <c r="E1361" s="295"/>
    </row>
    <row r="1362" spans="1:5" x14ac:dyDescent="0.25">
      <c r="A1362" s="183"/>
      <c r="B1362" s="294"/>
      <c r="C1362" s="301"/>
      <c r="D1362" s="295"/>
      <c r="E1362" s="295"/>
    </row>
    <row r="1363" spans="1:5" x14ac:dyDescent="0.25">
      <c r="A1363" s="183"/>
      <c r="B1363" s="294"/>
      <c r="C1363" s="301"/>
      <c r="D1363" s="295"/>
      <c r="E1363" s="295"/>
    </row>
    <row r="1364" spans="1:5" x14ac:dyDescent="0.25">
      <c r="A1364" s="183"/>
      <c r="B1364" s="294"/>
      <c r="C1364" s="301"/>
      <c r="D1364" s="295"/>
      <c r="E1364" s="295"/>
    </row>
    <row r="1365" spans="1:5" x14ac:dyDescent="0.25">
      <c r="A1365" s="183"/>
      <c r="B1365" s="294"/>
      <c r="C1365" s="301"/>
      <c r="D1365" s="295"/>
      <c r="E1365" s="295"/>
    </row>
    <row r="1366" spans="1:5" x14ac:dyDescent="0.25">
      <c r="A1366" s="183"/>
      <c r="B1366" s="294"/>
      <c r="C1366" s="301"/>
      <c r="D1366" s="295"/>
      <c r="E1366" s="295"/>
    </row>
    <row r="1367" spans="1:5" x14ac:dyDescent="0.25">
      <c r="A1367" s="183"/>
      <c r="B1367" s="294"/>
      <c r="C1367" s="301"/>
      <c r="D1367" s="295"/>
      <c r="E1367" s="295"/>
    </row>
    <row r="1368" spans="1:5" x14ac:dyDescent="0.25">
      <c r="A1368" s="183"/>
      <c r="B1368" s="294"/>
      <c r="C1368" s="301"/>
      <c r="D1368" s="295"/>
      <c r="E1368" s="295"/>
    </row>
    <row r="1369" spans="1:5" x14ac:dyDescent="0.25">
      <c r="A1369" s="183"/>
      <c r="B1369" s="294"/>
      <c r="C1369" s="301"/>
      <c r="D1369" s="295"/>
      <c r="E1369" s="295"/>
    </row>
    <row r="1370" spans="1:5" x14ac:dyDescent="0.25">
      <c r="A1370" t="s">
        <v>1578</v>
      </c>
      <c r="B1370" s="215" t="s">
        <v>1578</v>
      </c>
      <c r="C1370" s="302" t="s">
        <v>1578</v>
      </c>
      <c r="D1370" s="216" t="s">
        <v>1578</v>
      </c>
      <c r="E1370" s="216" t="s">
        <v>1578</v>
      </c>
    </row>
  </sheetData>
  <protectedRanges>
    <protectedRange sqref="A31" name="Range1_1"/>
    <protectedRange sqref="A1195" name="Range1"/>
    <protectedRange sqref="A1196" name="Range1_3"/>
    <protectedRange sqref="A1197" name="Range1_4"/>
    <protectedRange sqref="A1198" name="Range1_6"/>
    <protectedRange sqref="A1199:A1200" name="Range1_7"/>
    <protectedRange sqref="A1216:B1216" name="Range1_5"/>
    <protectedRange sqref="A1217:A1221" name="Range1_9"/>
    <protectedRange sqref="B1217:B1222" name="Range1_9_1"/>
    <protectedRange sqref="A1222" name="Range1_7_1"/>
    <protectedRange sqref="A1223" name="Range1_7_1_1"/>
    <protectedRange sqref="A1224" name="Range1_8"/>
    <protectedRange sqref="A1225" name="Range1_2_1"/>
    <protectedRange sqref="A1250" name="Range1_5_1"/>
    <protectedRange sqref="A1253" name="Range1_2"/>
    <protectedRange sqref="A1254" name="Range1_1_1"/>
    <protectedRange sqref="A1255" name="Range1_2_2"/>
    <protectedRange sqref="A1256" name="Range1_3_1"/>
    <protectedRange sqref="A1257" name="Range1_4_1"/>
    <protectedRange sqref="A578" name="Range1_10"/>
    <protectedRange sqref="A1310" name="Range1_11"/>
    <protectedRange sqref="A1311" name="Range1_1_2"/>
  </protectedRanges>
  <conditionalFormatting sqref="A658:A660">
    <cfRule type="duplicateValues" dxfId="11" priority="13"/>
  </conditionalFormatting>
  <conditionalFormatting sqref="A661:A662">
    <cfRule type="duplicateValues" dxfId="10" priority="12"/>
  </conditionalFormatting>
  <conditionalFormatting sqref="B1201:C1201 A4:A431 A433:A858 A860:A1194">
    <cfRule type="duplicateValues" dxfId="9" priority="21"/>
  </conditionalFormatting>
  <conditionalFormatting sqref="A1195:A1200">
    <cfRule type="duplicateValues" dxfId="8" priority="10"/>
  </conditionalFormatting>
  <conditionalFormatting sqref="A1201:A1209">
    <cfRule type="duplicateValues" dxfId="7" priority="22"/>
  </conditionalFormatting>
  <conditionalFormatting sqref="A1217:A1221">
    <cfRule type="duplicateValues" dxfId="6" priority="24"/>
  </conditionalFormatting>
  <conditionalFormatting sqref="A1216">
    <cfRule type="duplicateValues" dxfId="5" priority="25"/>
  </conditionalFormatting>
  <conditionalFormatting sqref="A1222">
    <cfRule type="duplicateValues" dxfId="4" priority="30"/>
  </conditionalFormatting>
  <conditionalFormatting sqref="A1223:A1225">
    <cfRule type="duplicateValues" dxfId="3" priority="31"/>
  </conditionalFormatting>
  <conditionalFormatting sqref="A1259:A1284">
    <cfRule type="duplicateValues" dxfId="2" priority="53"/>
  </conditionalFormatting>
  <conditionalFormatting sqref="A859">
    <cfRule type="duplicateValues" dxfId="1" priority="2"/>
  </conditionalFormatting>
  <conditionalFormatting sqref="A1294:A1309">
    <cfRule type="duplicateValues" dxfId="0" priority="1"/>
  </conditionalFormatting>
  <hyperlinks>
    <hyperlink ref="C1" location="presu!A1" display="Presupuesto" xr:uid="{B3C1BFC3-433B-4190-8A23-562ABEC2913F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7F85-2A24-4C05-BA13-D90E59E33D63}">
  <sheetPr codeName="Sheet15"/>
  <dimension ref="A4:C364"/>
  <sheetViews>
    <sheetView topLeftCell="A53" workbookViewId="0">
      <selection activeCell="A17" sqref="A17"/>
    </sheetView>
  </sheetViews>
  <sheetFormatPr baseColWidth="10" defaultColWidth="8.7109375" defaultRowHeight="15" x14ac:dyDescent="0.25"/>
  <cols>
    <col min="1" max="1" width="115.140625" style="83" bestFit="1" customWidth="1"/>
  </cols>
  <sheetData>
    <row r="4" spans="1:1" ht="21" x14ac:dyDescent="0.35">
      <c r="A4" s="156" t="s">
        <v>1879</v>
      </c>
    </row>
    <row r="8" spans="1:1" x14ac:dyDescent="0.25">
      <c r="A8" s="83" t="s">
        <v>57</v>
      </c>
    </row>
    <row r="15" spans="1:1" x14ac:dyDescent="0.25">
      <c r="A15"/>
    </row>
    <row r="16" spans="1:1" ht="19.5" thickBot="1" x14ac:dyDescent="0.35">
      <c r="A16" s="153" t="s">
        <v>12</v>
      </c>
    </row>
    <row r="17" spans="1:3" ht="23.45" customHeight="1" x14ac:dyDescent="0.25">
      <c r="A17" s="84"/>
      <c r="C17" s="428"/>
    </row>
    <row r="18" spans="1:3" x14ac:dyDescent="0.25">
      <c r="A18" s="85"/>
    </row>
    <row r="19" spans="1:3" x14ac:dyDescent="0.25">
      <c r="A19" s="85"/>
    </row>
    <row r="20" spans="1:3" ht="21" x14ac:dyDescent="0.35">
      <c r="A20" s="154" t="s">
        <v>1825</v>
      </c>
    </row>
    <row r="21" spans="1:3" x14ac:dyDescent="0.25">
      <c r="A21" s="85"/>
    </row>
    <row r="22" spans="1:3" x14ac:dyDescent="0.25">
      <c r="A22" s="85"/>
    </row>
    <row r="23" spans="1:3" x14ac:dyDescent="0.25">
      <c r="A23" s="85"/>
    </row>
    <row r="24" spans="1:3" x14ac:dyDescent="0.25">
      <c r="A24" s="85"/>
    </row>
    <row r="25" spans="1:3" x14ac:dyDescent="0.25">
      <c r="A25" s="85"/>
    </row>
    <row r="26" spans="1:3" x14ac:dyDescent="0.25">
      <c r="A26" s="85"/>
    </row>
    <row r="27" spans="1:3" x14ac:dyDescent="0.25">
      <c r="A27" s="85"/>
    </row>
    <row r="28" spans="1:3" x14ac:dyDescent="0.25">
      <c r="A28" s="85"/>
    </row>
    <row r="29" spans="1:3" x14ac:dyDescent="0.25">
      <c r="A29" s="85"/>
    </row>
    <row r="30" spans="1:3" x14ac:dyDescent="0.25">
      <c r="A30" s="85"/>
    </row>
    <row r="31" spans="1:3" x14ac:dyDescent="0.25">
      <c r="A31" s="85"/>
    </row>
    <row r="32" spans="1:3" x14ac:dyDescent="0.25">
      <c r="A32" s="85"/>
    </row>
    <row r="33" spans="1:1" x14ac:dyDescent="0.25">
      <c r="A33" s="85"/>
    </row>
    <row r="34" spans="1:1" x14ac:dyDescent="0.25">
      <c r="A34" s="85"/>
    </row>
    <row r="35" spans="1:1" x14ac:dyDescent="0.25">
      <c r="A35" s="85"/>
    </row>
    <row r="36" spans="1:1" x14ac:dyDescent="0.25">
      <c r="A36" s="85"/>
    </row>
    <row r="37" spans="1:1" x14ac:dyDescent="0.25">
      <c r="A37" s="85"/>
    </row>
    <row r="38" spans="1:1" x14ac:dyDescent="0.25">
      <c r="A38" s="85"/>
    </row>
    <row r="39" spans="1:1" x14ac:dyDescent="0.25">
      <c r="A39" s="85"/>
    </row>
    <row r="40" spans="1:1" x14ac:dyDescent="0.25">
      <c r="A40" s="85"/>
    </row>
    <row r="41" spans="1:1" x14ac:dyDescent="0.25">
      <c r="A41" s="85"/>
    </row>
    <row r="42" spans="1:1" x14ac:dyDescent="0.25">
      <c r="A42" s="85"/>
    </row>
    <row r="43" spans="1:1" x14ac:dyDescent="0.25">
      <c r="A43" s="85"/>
    </row>
    <row r="44" spans="1:1" x14ac:dyDescent="0.25">
      <c r="A44" s="85"/>
    </row>
    <row r="45" spans="1:1" x14ac:dyDescent="0.25">
      <c r="A45" s="85"/>
    </row>
    <row r="46" spans="1:1" x14ac:dyDescent="0.25">
      <c r="A46" s="85"/>
    </row>
    <row r="47" spans="1:1" x14ac:dyDescent="0.25">
      <c r="A47" s="85"/>
    </row>
    <row r="48" spans="1:1" x14ac:dyDescent="0.25">
      <c r="A48" s="85"/>
    </row>
    <row r="49" spans="1:1" x14ac:dyDescent="0.25">
      <c r="A49" s="85"/>
    </row>
    <row r="50" spans="1:1" x14ac:dyDescent="0.25">
      <c r="A50" s="85"/>
    </row>
    <row r="51" spans="1:1" x14ac:dyDescent="0.25">
      <c r="A51" s="85"/>
    </row>
    <row r="52" spans="1:1" x14ac:dyDescent="0.25">
      <c r="A52" s="85"/>
    </row>
    <row r="53" spans="1:1" x14ac:dyDescent="0.25">
      <c r="A53" s="85"/>
    </row>
    <row r="54" spans="1:1" x14ac:dyDescent="0.25">
      <c r="A54" s="85"/>
    </row>
    <row r="55" spans="1:1" x14ac:dyDescent="0.25">
      <c r="A55" s="85"/>
    </row>
    <row r="56" spans="1:1" x14ac:dyDescent="0.25">
      <c r="A56" s="85"/>
    </row>
    <row r="57" spans="1:1" x14ac:dyDescent="0.25">
      <c r="A57" s="85"/>
    </row>
    <row r="58" spans="1:1" x14ac:dyDescent="0.25">
      <c r="A58" s="85"/>
    </row>
    <row r="59" spans="1:1" x14ac:dyDescent="0.25">
      <c r="A59" s="85"/>
    </row>
    <row r="60" spans="1:1" x14ac:dyDescent="0.25">
      <c r="A60" s="85"/>
    </row>
    <row r="61" spans="1:1" x14ac:dyDescent="0.25">
      <c r="A61" s="85"/>
    </row>
    <row r="62" spans="1:1" x14ac:dyDescent="0.25">
      <c r="A62" s="85"/>
    </row>
    <row r="63" spans="1:1" x14ac:dyDescent="0.25">
      <c r="A63" s="85"/>
    </row>
    <row r="64" spans="1:1" x14ac:dyDescent="0.25">
      <c r="A64" s="85"/>
    </row>
    <row r="65" spans="1:1" x14ac:dyDescent="0.25">
      <c r="A65" s="85"/>
    </row>
    <row r="66" spans="1:1" x14ac:dyDescent="0.25">
      <c r="A66" s="85"/>
    </row>
    <row r="67" spans="1:1" x14ac:dyDescent="0.25">
      <c r="A67" s="85"/>
    </row>
    <row r="68" spans="1:1" x14ac:dyDescent="0.25">
      <c r="A68" s="85"/>
    </row>
    <row r="69" spans="1:1" x14ac:dyDescent="0.25">
      <c r="A69" s="85"/>
    </row>
    <row r="70" spans="1:1" x14ac:dyDescent="0.25">
      <c r="A70" s="85"/>
    </row>
    <row r="71" spans="1:1" x14ac:dyDescent="0.25">
      <c r="A71" s="85"/>
    </row>
    <row r="72" spans="1:1" x14ac:dyDescent="0.25">
      <c r="A72" s="85"/>
    </row>
    <row r="73" spans="1:1" x14ac:dyDescent="0.25">
      <c r="A73" s="85"/>
    </row>
    <row r="74" spans="1:1" x14ac:dyDescent="0.25">
      <c r="A74" s="85"/>
    </row>
    <row r="75" spans="1:1" x14ac:dyDescent="0.25">
      <c r="A75" s="85"/>
    </row>
    <row r="76" spans="1:1" x14ac:dyDescent="0.25">
      <c r="A76" s="85"/>
    </row>
    <row r="77" spans="1:1" x14ac:dyDescent="0.25">
      <c r="A77" s="85"/>
    </row>
    <row r="78" spans="1:1" x14ac:dyDescent="0.25">
      <c r="A78" s="85"/>
    </row>
    <row r="79" spans="1:1" x14ac:dyDescent="0.25">
      <c r="A79" s="85"/>
    </row>
    <row r="80" spans="1:1" x14ac:dyDescent="0.25">
      <c r="A80" s="85"/>
    </row>
    <row r="81" spans="1:1" x14ac:dyDescent="0.25">
      <c r="A81" s="85"/>
    </row>
    <row r="82" spans="1:1" x14ac:dyDescent="0.25">
      <c r="A82" s="85"/>
    </row>
    <row r="83" spans="1:1" x14ac:dyDescent="0.25">
      <c r="A83" s="85"/>
    </row>
    <row r="84" spans="1:1" x14ac:dyDescent="0.25">
      <c r="A84" s="85"/>
    </row>
    <row r="85" spans="1:1" x14ac:dyDescent="0.25">
      <c r="A85" s="85"/>
    </row>
    <row r="86" spans="1:1" x14ac:dyDescent="0.25">
      <c r="A86" s="85"/>
    </row>
    <row r="87" spans="1:1" x14ac:dyDescent="0.25">
      <c r="A87" s="85"/>
    </row>
    <row r="88" spans="1:1" x14ac:dyDescent="0.25">
      <c r="A88" s="85"/>
    </row>
    <row r="89" spans="1:1" x14ac:dyDescent="0.25">
      <c r="A89" s="85"/>
    </row>
    <row r="90" spans="1:1" x14ac:dyDescent="0.25">
      <c r="A90" s="85"/>
    </row>
    <row r="91" spans="1:1" x14ac:dyDescent="0.25">
      <c r="A91" s="85"/>
    </row>
    <row r="92" spans="1:1" x14ac:dyDescent="0.25">
      <c r="A92" s="85"/>
    </row>
    <row r="93" spans="1:1" x14ac:dyDescent="0.25">
      <c r="A93" s="85"/>
    </row>
    <row r="94" spans="1:1" x14ac:dyDescent="0.25">
      <c r="A94" s="85"/>
    </row>
    <row r="95" spans="1:1" x14ac:dyDescent="0.25">
      <c r="A95" s="85"/>
    </row>
    <row r="96" spans="1:1" x14ac:dyDescent="0.25">
      <c r="A96" s="85"/>
    </row>
    <row r="97" spans="1:1" x14ac:dyDescent="0.25">
      <c r="A97" s="85"/>
    </row>
    <row r="98" spans="1:1" x14ac:dyDescent="0.25">
      <c r="A98" s="85"/>
    </row>
    <row r="99" spans="1:1" x14ac:dyDescent="0.25">
      <c r="A99" s="85"/>
    </row>
    <row r="100" spans="1:1" x14ac:dyDescent="0.25">
      <c r="A100" s="85"/>
    </row>
    <row r="101" spans="1:1" x14ac:dyDescent="0.25">
      <c r="A101" s="85"/>
    </row>
    <row r="102" spans="1:1" x14ac:dyDescent="0.25">
      <c r="A102" s="85"/>
    </row>
    <row r="103" spans="1:1" x14ac:dyDescent="0.25">
      <c r="A103" s="85"/>
    </row>
    <row r="104" spans="1:1" x14ac:dyDescent="0.25">
      <c r="A104" s="85"/>
    </row>
    <row r="105" spans="1:1" x14ac:dyDescent="0.25">
      <c r="A105" s="85"/>
    </row>
    <row r="106" spans="1:1" x14ac:dyDescent="0.25">
      <c r="A106" s="85"/>
    </row>
    <row r="107" spans="1:1" x14ac:dyDescent="0.25">
      <c r="A107" s="85"/>
    </row>
    <row r="108" spans="1:1" x14ac:dyDescent="0.25">
      <c r="A108" s="85"/>
    </row>
    <row r="109" spans="1:1" x14ac:dyDescent="0.25">
      <c r="A109" s="85"/>
    </row>
    <row r="110" spans="1:1" x14ac:dyDescent="0.25">
      <c r="A110" s="85"/>
    </row>
    <row r="111" spans="1:1" x14ac:dyDescent="0.25">
      <c r="A111" s="85"/>
    </row>
    <row r="112" spans="1:1" x14ac:dyDescent="0.25">
      <c r="A112" s="85"/>
    </row>
    <row r="113" spans="1:1" x14ac:dyDescent="0.25">
      <c r="A113" s="85"/>
    </row>
    <row r="114" spans="1:1" x14ac:dyDescent="0.25">
      <c r="A114" s="85"/>
    </row>
    <row r="115" spans="1:1" x14ac:dyDescent="0.25">
      <c r="A115" s="85"/>
    </row>
    <row r="116" spans="1:1" ht="21" x14ac:dyDescent="0.35">
      <c r="A116" s="154"/>
    </row>
    <row r="117" spans="1:1" x14ac:dyDescent="0.25">
      <c r="A117" s="89"/>
    </row>
    <row r="118" spans="1:1" x14ac:dyDescent="0.25">
      <c r="A118" s="89"/>
    </row>
    <row r="119" spans="1:1" x14ac:dyDescent="0.25">
      <c r="A119" s="89"/>
    </row>
    <row r="120" spans="1:1" x14ac:dyDescent="0.25">
      <c r="A120" s="89"/>
    </row>
    <row r="121" spans="1:1" x14ac:dyDescent="0.25">
      <c r="A121" s="89"/>
    </row>
    <row r="122" spans="1:1" x14ac:dyDescent="0.25">
      <c r="A122" s="89"/>
    </row>
    <row r="123" spans="1:1" x14ac:dyDescent="0.25">
      <c r="A123" s="89"/>
    </row>
    <row r="124" spans="1:1" x14ac:dyDescent="0.25">
      <c r="A124" s="89"/>
    </row>
    <row r="125" spans="1:1" x14ac:dyDescent="0.25">
      <c r="A125" s="89"/>
    </row>
    <row r="126" spans="1:1" x14ac:dyDescent="0.25">
      <c r="A126" s="89"/>
    </row>
    <row r="127" spans="1:1" ht="21" x14ac:dyDescent="0.35">
      <c r="A127" s="154"/>
    </row>
    <row r="128" spans="1:1" x14ac:dyDescent="0.25">
      <c r="A128" s="320"/>
    </row>
    <row r="129" spans="1:1" x14ac:dyDescent="0.25">
      <c r="A129" s="320"/>
    </row>
    <row r="130" spans="1:1" x14ac:dyDescent="0.25">
      <c r="A130" s="320"/>
    </row>
    <row r="131" spans="1:1" x14ac:dyDescent="0.25">
      <c r="A131" s="320"/>
    </row>
    <row r="132" spans="1:1" x14ac:dyDescent="0.25">
      <c r="A132" s="320"/>
    </row>
    <row r="133" spans="1:1" x14ac:dyDescent="0.25">
      <c r="A133" s="320"/>
    </row>
    <row r="134" spans="1:1" x14ac:dyDescent="0.25">
      <c r="A134" s="320"/>
    </row>
    <row r="135" spans="1:1" x14ac:dyDescent="0.25">
      <c r="A135" s="320"/>
    </row>
    <row r="136" spans="1:1" x14ac:dyDescent="0.25">
      <c r="A136" s="320"/>
    </row>
    <row r="137" spans="1:1" x14ac:dyDescent="0.25">
      <c r="A137" s="320"/>
    </row>
    <row r="138" spans="1:1" x14ac:dyDescent="0.25">
      <c r="A138" s="320"/>
    </row>
    <row r="139" spans="1:1" x14ac:dyDescent="0.25">
      <c r="A139" s="320"/>
    </row>
    <row r="140" spans="1:1" x14ac:dyDescent="0.25">
      <c r="A140" s="320"/>
    </row>
    <row r="141" spans="1:1" x14ac:dyDescent="0.25">
      <c r="A141" s="320"/>
    </row>
    <row r="142" spans="1:1" x14ac:dyDescent="0.25">
      <c r="A142" s="320"/>
    </row>
    <row r="143" spans="1:1" x14ac:dyDescent="0.25">
      <c r="A143" s="320"/>
    </row>
    <row r="144" spans="1:1" x14ac:dyDescent="0.25">
      <c r="A144" s="320"/>
    </row>
    <row r="145" spans="1:1" x14ac:dyDescent="0.25">
      <c r="A145" s="320"/>
    </row>
    <row r="146" spans="1:1" x14ac:dyDescent="0.25">
      <c r="A146" s="320"/>
    </row>
    <row r="147" spans="1:1" x14ac:dyDescent="0.25">
      <c r="A147" s="320"/>
    </row>
    <row r="148" spans="1:1" x14ac:dyDescent="0.25">
      <c r="A148" s="320"/>
    </row>
    <row r="149" spans="1:1" x14ac:dyDescent="0.25">
      <c r="A149" s="320"/>
    </row>
    <row r="150" spans="1:1" x14ac:dyDescent="0.25">
      <c r="A150" s="320"/>
    </row>
    <row r="151" spans="1:1" x14ac:dyDescent="0.25">
      <c r="A151" s="320"/>
    </row>
    <row r="152" spans="1:1" x14ac:dyDescent="0.25">
      <c r="A152" s="320"/>
    </row>
    <row r="153" spans="1:1" x14ac:dyDescent="0.25">
      <c r="A153" s="320"/>
    </row>
    <row r="154" spans="1:1" x14ac:dyDescent="0.25">
      <c r="A154" s="320"/>
    </row>
    <row r="155" spans="1:1" x14ac:dyDescent="0.25">
      <c r="A155" s="320"/>
    </row>
    <row r="156" spans="1:1" x14ac:dyDescent="0.25">
      <c r="A156" s="320"/>
    </row>
    <row r="157" spans="1:1" x14ac:dyDescent="0.25">
      <c r="A157" s="320"/>
    </row>
    <row r="158" spans="1:1" x14ac:dyDescent="0.25">
      <c r="A158" s="320"/>
    </row>
    <row r="159" spans="1:1" x14ac:dyDescent="0.25">
      <c r="A159" s="320"/>
    </row>
    <row r="160" spans="1:1" x14ac:dyDescent="0.25">
      <c r="A160" s="320"/>
    </row>
    <row r="161" spans="1:1" x14ac:dyDescent="0.25">
      <c r="A161" s="320"/>
    </row>
    <row r="162" spans="1:1" x14ac:dyDescent="0.25">
      <c r="A162" s="320"/>
    </row>
    <row r="163" spans="1:1" x14ac:dyDescent="0.25">
      <c r="A163" s="320"/>
    </row>
    <row r="164" spans="1:1" x14ac:dyDescent="0.25">
      <c r="A164" s="320"/>
    </row>
    <row r="165" spans="1:1" x14ac:dyDescent="0.25">
      <c r="A165" s="320"/>
    </row>
    <row r="166" spans="1:1" x14ac:dyDescent="0.25">
      <c r="A166" s="320"/>
    </row>
    <row r="167" spans="1:1" x14ac:dyDescent="0.25">
      <c r="A167" s="320"/>
    </row>
    <row r="168" spans="1:1" x14ac:dyDescent="0.25">
      <c r="A168" s="320"/>
    </row>
    <row r="169" spans="1:1" x14ac:dyDescent="0.25">
      <c r="A169" s="320"/>
    </row>
    <row r="170" spans="1:1" x14ac:dyDescent="0.25">
      <c r="A170" s="320"/>
    </row>
    <row r="171" spans="1:1" x14ac:dyDescent="0.25">
      <c r="A171" s="320"/>
    </row>
    <row r="172" spans="1:1" x14ac:dyDescent="0.25">
      <c r="A172" s="320"/>
    </row>
    <row r="173" spans="1:1" x14ac:dyDescent="0.25">
      <c r="A173" s="320"/>
    </row>
    <row r="174" spans="1:1" x14ac:dyDescent="0.25">
      <c r="A174" s="320"/>
    </row>
    <row r="175" spans="1:1" x14ac:dyDescent="0.25">
      <c r="A175" s="320"/>
    </row>
    <row r="176" spans="1:1" x14ac:dyDescent="0.25">
      <c r="A176" s="320"/>
    </row>
    <row r="177" spans="1:1" x14ac:dyDescent="0.25">
      <c r="A177" s="320"/>
    </row>
    <row r="178" spans="1:1" ht="21" x14ac:dyDescent="0.35">
      <c r="A178" s="154" t="s">
        <v>1860</v>
      </c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  <row r="190" spans="1:1" x14ac:dyDescent="0.25">
      <c r="A190" s="82"/>
    </row>
    <row r="191" spans="1:1" x14ac:dyDescent="0.25">
      <c r="A191" s="82"/>
    </row>
    <row r="192" spans="1:1" x14ac:dyDescent="0.25">
      <c r="A192" s="82"/>
    </row>
    <row r="193" spans="1:1" x14ac:dyDescent="0.25">
      <c r="A193" s="82"/>
    </row>
    <row r="194" spans="1:1" x14ac:dyDescent="0.25">
      <c r="A194" s="82"/>
    </row>
    <row r="195" spans="1:1" x14ac:dyDescent="0.25">
      <c r="A195" s="82"/>
    </row>
    <row r="196" spans="1:1" x14ac:dyDescent="0.25">
      <c r="A196" s="82"/>
    </row>
    <row r="197" spans="1:1" x14ac:dyDescent="0.25">
      <c r="A197" s="82"/>
    </row>
    <row r="198" spans="1:1" x14ac:dyDescent="0.25">
      <c r="A198" s="82"/>
    </row>
    <row r="199" spans="1:1" x14ac:dyDescent="0.25">
      <c r="A199" s="82"/>
    </row>
    <row r="200" spans="1:1" x14ac:dyDescent="0.25">
      <c r="A200" s="82"/>
    </row>
    <row r="201" spans="1:1" x14ac:dyDescent="0.25">
      <c r="A201" s="82"/>
    </row>
    <row r="202" spans="1:1" x14ac:dyDescent="0.25">
      <c r="A202" s="82"/>
    </row>
    <row r="203" spans="1:1" x14ac:dyDescent="0.25">
      <c r="A203" s="82"/>
    </row>
    <row r="204" spans="1:1" x14ac:dyDescent="0.25">
      <c r="A204" s="82"/>
    </row>
    <row r="205" spans="1:1" x14ac:dyDescent="0.25">
      <c r="A205" s="82"/>
    </row>
    <row r="206" spans="1:1" x14ac:dyDescent="0.25">
      <c r="A206" s="82"/>
    </row>
    <row r="207" spans="1:1" x14ac:dyDescent="0.25">
      <c r="A207" s="82"/>
    </row>
    <row r="208" spans="1:1" x14ac:dyDescent="0.25">
      <c r="A208" s="82"/>
    </row>
    <row r="209" spans="1:1" x14ac:dyDescent="0.25">
      <c r="A209" s="82"/>
    </row>
    <row r="210" spans="1:1" x14ac:dyDescent="0.25">
      <c r="A210" s="82"/>
    </row>
    <row r="211" spans="1:1" x14ac:dyDescent="0.25">
      <c r="A211" s="82"/>
    </row>
    <row r="212" spans="1:1" x14ac:dyDescent="0.25">
      <c r="A212" s="82"/>
    </row>
    <row r="213" spans="1:1" x14ac:dyDescent="0.25">
      <c r="A213" s="82"/>
    </row>
    <row r="214" spans="1:1" x14ac:dyDescent="0.25">
      <c r="A214" s="82"/>
    </row>
    <row r="215" spans="1:1" x14ac:dyDescent="0.25">
      <c r="A215" s="82"/>
    </row>
    <row r="216" spans="1:1" x14ac:dyDescent="0.25">
      <c r="A216" s="82"/>
    </row>
    <row r="217" spans="1:1" x14ac:dyDescent="0.25">
      <c r="A217" s="82"/>
    </row>
    <row r="218" spans="1:1" x14ac:dyDescent="0.25">
      <c r="A218" s="82"/>
    </row>
    <row r="219" spans="1:1" x14ac:dyDescent="0.25">
      <c r="A219" s="82"/>
    </row>
    <row r="220" spans="1:1" x14ac:dyDescent="0.25">
      <c r="A220" s="82"/>
    </row>
    <row r="221" spans="1:1" x14ac:dyDescent="0.25">
      <c r="A221" s="82"/>
    </row>
    <row r="222" spans="1:1" x14ac:dyDescent="0.25">
      <c r="A222" s="82"/>
    </row>
    <row r="223" spans="1:1" x14ac:dyDescent="0.25">
      <c r="A223" s="82"/>
    </row>
    <row r="224" spans="1:1" x14ac:dyDescent="0.25">
      <c r="A224" s="82"/>
    </row>
    <row r="225" spans="1:1" x14ac:dyDescent="0.25">
      <c r="A225" s="82"/>
    </row>
    <row r="226" spans="1:1" x14ac:dyDescent="0.25">
      <c r="A226" s="82"/>
    </row>
    <row r="227" spans="1:1" x14ac:dyDescent="0.25">
      <c r="A227" s="82"/>
    </row>
    <row r="228" spans="1:1" x14ac:dyDescent="0.25">
      <c r="A228" s="82"/>
    </row>
    <row r="229" spans="1:1" x14ac:dyDescent="0.25">
      <c r="A229" s="82"/>
    </row>
    <row r="230" spans="1:1" x14ac:dyDescent="0.25">
      <c r="A230" s="82"/>
    </row>
    <row r="231" spans="1:1" x14ac:dyDescent="0.25">
      <c r="A231" s="82"/>
    </row>
    <row r="232" spans="1:1" x14ac:dyDescent="0.25">
      <c r="A232" s="82"/>
    </row>
    <row r="233" spans="1:1" x14ac:dyDescent="0.25">
      <c r="A233" s="82"/>
    </row>
    <row r="234" spans="1:1" x14ac:dyDescent="0.25">
      <c r="A234" s="82"/>
    </row>
    <row r="235" spans="1:1" x14ac:dyDescent="0.25">
      <c r="A235" s="82"/>
    </row>
    <row r="236" spans="1:1" x14ac:dyDescent="0.25">
      <c r="A236" s="82"/>
    </row>
    <row r="237" spans="1:1" x14ac:dyDescent="0.25">
      <c r="A237" s="82"/>
    </row>
    <row r="238" spans="1:1" x14ac:dyDescent="0.25">
      <c r="A238" s="82"/>
    </row>
    <row r="239" spans="1:1" x14ac:dyDescent="0.25">
      <c r="A239" s="82"/>
    </row>
    <row r="240" spans="1:1" x14ac:dyDescent="0.25">
      <c r="A240" s="82"/>
    </row>
    <row r="241" spans="1:1" x14ac:dyDescent="0.25">
      <c r="A241" s="82"/>
    </row>
    <row r="242" spans="1:1" x14ac:dyDescent="0.25">
      <c r="A242" s="82"/>
    </row>
    <row r="243" spans="1:1" x14ac:dyDescent="0.25">
      <c r="A243" s="82"/>
    </row>
    <row r="244" spans="1:1" x14ac:dyDescent="0.25">
      <c r="A244" s="82"/>
    </row>
    <row r="245" spans="1:1" x14ac:dyDescent="0.25">
      <c r="A245" s="82"/>
    </row>
    <row r="246" spans="1:1" x14ac:dyDescent="0.25">
      <c r="A246" s="82"/>
    </row>
    <row r="247" spans="1:1" x14ac:dyDescent="0.25">
      <c r="A247" s="82"/>
    </row>
    <row r="248" spans="1:1" x14ac:dyDescent="0.25">
      <c r="A248" s="82"/>
    </row>
    <row r="249" spans="1:1" x14ac:dyDescent="0.25">
      <c r="A249" s="82"/>
    </row>
    <row r="250" spans="1:1" x14ac:dyDescent="0.25">
      <c r="A250" s="82"/>
    </row>
    <row r="251" spans="1:1" x14ac:dyDescent="0.25">
      <c r="A251" s="82"/>
    </row>
    <row r="252" spans="1:1" x14ac:dyDescent="0.25">
      <c r="A252" s="82"/>
    </row>
    <row r="253" spans="1:1" x14ac:dyDescent="0.25">
      <c r="A253" s="82"/>
    </row>
    <row r="254" spans="1:1" x14ac:dyDescent="0.25">
      <c r="A254" s="82"/>
    </row>
    <row r="255" spans="1:1" x14ac:dyDescent="0.25">
      <c r="A255" s="82"/>
    </row>
    <row r="256" spans="1:1" x14ac:dyDescent="0.25">
      <c r="A256" s="82"/>
    </row>
    <row r="257" spans="1:1" x14ac:dyDescent="0.25">
      <c r="A257" s="82"/>
    </row>
    <row r="258" spans="1:1" x14ac:dyDescent="0.25">
      <c r="A258" s="82"/>
    </row>
    <row r="259" spans="1:1" x14ac:dyDescent="0.25">
      <c r="A259" s="82"/>
    </row>
    <row r="260" spans="1:1" x14ac:dyDescent="0.25">
      <c r="A260" s="82"/>
    </row>
    <row r="261" spans="1:1" x14ac:dyDescent="0.25">
      <c r="A261" s="82"/>
    </row>
    <row r="262" spans="1:1" x14ac:dyDescent="0.25">
      <c r="A262" s="82"/>
    </row>
    <row r="263" spans="1:1" x14ac:dyDescent="0.25">
      <c r="A263" s="82"/>
    </row>
    <row r="264" spans="1:1" x14ac:dyDescent="0.25">
      <c r="A264" s="82"/>
    </row>
    <row r="265" spans="1:1" x14ac:dyDescent="0.25">
      <c r="A265" s="82"/>
    </row>
    <row r="266" spans="1:1" x14ac:dyDescent="0.25">
      <c r="A266" s="82"/>
    </row>
    <row r="267" spans="1:1" x14ac:dyDescent="0.25">
      <c r="A267" s="82"/>
    </row>
    <row r="268" spans="1:1" x14ac:dyDescent="0.25">
      <c r="A268" s="82"/>
    </row>
    <row r="269" spans="1:1" x14ac:dyDescent="0.25">
      <c r="A269" s="82"/>
    </row>
    <row r="270" spans="1:1" x14ac:dyDescent="0.25">
      <c r="A270" s="82"/>
    </row>
    <row r="271" spans="1:1" x14ac:dyDescent="0.25">
      <c r="A271" s="82"/>
    </row>
    <row r="272" spans="1:1" ht="21" x14ac:dyDescent="0.35">
      <c r="A272" s="270" t="s">
        <v>2076</v>
      </c>
    </row>
    <row r="273" spans="1:1" x14ac:dyDescent="0.25">
      <c r="A273" s="18"/>
    </row>
    <row r="274" spans="1:1" x14ac:dyDescent="0.25">
      <c r="A274" s="18"/>
    </row>
    <row r="275" spans="1:1" x14ac:dyDescent="0.25">
      <c r="A275" s="18"/>
    </row>
    <row r="276" spans="1:1" x14ac:dyDescent="0.25">
      <c r="A276" s="18"/>
    </row>
    <row r="277" spans="1:1" x14ac:dyDescent="0.25">
      <c r="A277" s="18"/>
    </row>
    <row r="278" spans="1:1" x14ac:dyDescent="0.25">
      <c r="A278" s="18"/>
    </row>
    <row r="279" spans="1:1" x14ac:dyDescent="0.25">
      <c r="A279" s="18"/>
    </row>
    <row r="280" spans="1:1" x14ac:dyDescent="0.25">
      <c r="A280" s="18"/>
    </row>
    <row r="281" spans="1:1" x14ac:dyDescent="0.25">
      <c r="A281" s="18"/>
    </row>
    <row r="282" spans="1:1" x14ac:dyDescent="0.25">
      <c r="A282" s="18"/>
    </row>
    <row r="283" spans="1:1" x14ac:dyDescent="0.25">
      <c r="A283" s="18"/>
    </row>
    <row r="284" spans="1:1" x14ac:dyDescent="0.25">
      <c r="A284" s="18"/>
    </row>
    <row r="285" spans="1:1" x14ac:dyDescent="0.25">
      <c r="A285" s="18"/>
    </row>
    <row r="286" spans="1:1" x14ac:dyDescent="0.25">
      <c r="A286" s="18"/>
    </row>
    <row r="287" spans="1:1" x14ac:dyDescent="0.25">
      <c r="A287" s="18"/>
    </row>
    <row r="288" spans="1:1" x14ac:dyDescent="0.25">
      <c r="A288" s="18"/>
    </row>
    <row r="289" spans="1:1" x14ac:dyDescent="0.25">
      <c r="A289" s="18"/>
    </row>
    <row r="290" spans="1:1" x14ac:dyDescent="0.25">
      <c r="A290" s="18"/>
    </row>
    <row r="291" spans="1:1" x14ac:dyDescent="0.25">
      <c r="A291" s="18"/>
    </row>
    <row r="292" spans="1:1" x14ac:dyDescent="0.25">
      <c r="A292" s="18"/>
    </row>
    <row r="293" spans="1:1" x14ac:dyDescent="0.25">
      <c r="A293" s="18"/>
    </row>
    <row r="294" spans="1:1" x14ac:dyDescent="0.25">
      <c r="A294" s="18"/>
    </row>
    <row r="295" spans="1:1" x14ac:dyDescent="0.25">
      <c r="A295" s="18"/>
    </row>
    <row r="296" spans="1:1" x14ac:dyDescent="0.25">
      <c r="A296" s="18"/>
    </row>
    <row r="297" spans="1:1" x14ac:dyDescent="0.25">
      <c r="A297" s="18"/>
    </row>
    <row r="298" spans="1:1" x14ac:dyDescent="0.25">
      <c r="A298" s="18"/>
    </row>
    <row r="299" spans="1:1" x14ac:dyDescent="0.25">
      <c r="A299" s="18"/>
    </row>
    <row r="300" spans="1:1" x14ac:dyDescent="0.25">
      <c r="A300" s="18"/>
    </row>
    <row r="301" spans="1:1" x14ac:dyDescent="0.25">
      <c r="A301" s="18"/>
    </row>
    <row r="302" spans="1:1" x14ac:dyDescent="0.25">
      <c r="A302" s="18"/>
    </row>
    <row r="303" spans="1:1" x14ac:dyDescent="0.25">
      <c r="A303" s="18"/>
    </row>
    <row r="304" spans="1:1" x14ac:dyDescent="0.25">
      <c r="A304" s="18"/>
    </row>
    <row r="305" spans="1:1" x14ac:dyDescent="0.25">
      <c r="A305" s="18"/>
    </row>
    <row r="306" spans="1:1" x14ac:dyDescent="0.25">
      <c r="A306" s="18"/>
    </row>
    <row r="307" spans="1:1" x14ac:dyDescent="0.25">
      <c r="A307" s="18"/>
    </row>
    <row r="308" spans="1:1" x14ac:dyDescent="0.25">
      <c r="A308" s="18"/>
    </row>
    <row r="309" spans="1:1" x14ac:dyDescent="0.25">
      <c r="A309" s="18"/>
    </row>
    <row r="310" spans="1:1" x14ac:dyDescent="0.25">
      <c r="A310" s="18"/>
    </row>
    <row r="311" spans="1:1" x14ac:dyDescent="0.25">
      <c r="A311" s="18"/>
    </row>
    <row r="312" spans="1:1" ht="18.75" x14ac:dyDescent="0.3">
      <c r="A312" s="153" t="s">
        <v>2078</v>
      </c>
    </row>
    <row r="313" spans="1:1" x14ac:dyDescent="0.25">
      <c r="A313" s="82"/>
    </row>
    <row r="314" spans="1:1" x14ac:dyDescent="0.25">
      <c r="A314" s="82"/>
    </row>
    <row r="315" spans="1:1" x14ac:dyDescent="0.25">
      <c r="A315" s="82"/>
    </row>
    <row r="316" spans="1:1" x14ac:dyDescent="0.25">
      <c r="A316" s="82"/>
    </row>
    <row r="317" spans="1:1" x14ac:dyDescent="0.25">
      <c r="A317" s="82"/>
    </row>
    <row r="318" spans="1:1" x14ac:dyDescent="0.25">
      <c r="A318" s="82"/>
    </row>
    <row r="319" spans="1:1" x14ac:dyDescent="0.25">
      <c r="A319" s="82"/>
    </row>
    <row r="320" spans="1:1" x14ac:dyDescent="0.25">
      <c r="A320" s="82"/>
    </row>
    <row r="321" spans="1:1" x14ac:dyDescent="0.25">
      <c r="A321" s="82"/>
    </row>
    <row r="322" spans="1:1" x14ac:dyDescent="0.25">
      <c r="A322" s="82"/>
    </row>
    <row r="323" spans="1:1" x14ac:dyDescent="0.25">
      <c r="A323" s="82"/>
    </row>
    <row r="324" spans="1:1" x14ac:dyDescent="0.25">
      <c r="A324" s="82"/>
    </row>
    <row r="325" spans="1:1" x14ac:dyDescent="0.25">
      <c r="A325" s="82"/>
    </row>
    <row r="326" spans="1:1" x14ac:dyDescent="0.25">
      <c r="A326" s="82"/>
    </row>
    <row r="327" spans="1:1" x14ac:dyDescent="0.25">
      <c r="A327" s="82"/>
    </row>
    <row r="328" spans="1:1" x14ac:dyDescent="0.25">
      <c r="A328" s="82"/>
    </row>
    <row r="329" spans="1:1" x14ac:dyDescent="0.25">
      <c r="A329" s="82"/>
    </row>
    <row r="330" spans="1:1" x14ac:dyDescent="0.25">
      <c r="A330" s="82"/>
    </row>
    <row r="331" spans="1:1" x14ac:dyDescent="0.25">
      <c r="A331" s="82"/>
    </row>
    <row r="332" spans="1:1" x14ac:dyDescent="0.25">
      <c r="A332" s="82"/>
    </row>
    <row r="333" spans="1:1" x14ac:dyDescent="0.25">
      <c r="A333" s="82"/>
    </row>
    <row r="334" spans="1:1" x14ac:dyDescent="0.25">
      <c r="A334" s="82"/>
    </row>
    <row r="335" spans="1:1" x14ac:dyDescent="0.25">
      <c r="A335" s="82"/>
    </row>
    <row r="336" spans="1:1" x14ac:dyDescent="0.25">
      <c r="A336" s="82"/>
    </row>
    <row r="337" spans="1:1" x14ac:dyDescent="0.25">
      <c r="A337" s="82"/>
    </row>
    <row r="338" spans="1:1" x14ac:dyDescent="0.25">
      <c r="A338" s="82"/>
    </row>
    <row r="339" spans="1:1" x14ac:dyDescent="0.25">
      <c r="A339" s="82"/>
    </row>
    <row r="340" spans="1:1" x14ac:dyDescent="0.25">
      <c r="A340" s="82"/>
    </row>
    <row r="341" spans="1:1" x14ac:dyDescent="0.25">
      <c r="A341" s="82"/>
    </row>
    <row r="342" spans="1:1" x14ac:dyDescent="0.25">
      <c r="A342" s="82"/>
    </row>
    <row r="343" spans="1:1" x14ac:dyDescent="0.25">
      <c r="A343" s="82"/>
    </row>
    <row r="344" spans="1:1" x14ac:dyDescent="0.25">
      <c r="A344" s="82"/>
    </row>
    <row r="345" spans="1:1" x14ac:dyDescent="0.25">
      <c r="A345" s="82"/>
    </row>
    <row r="346" spans="1:1" x14ac:dyDescent="0.25">
      <c r="A346" s="82"/>
    </row>
    <row r="347" spans="1:1" x14ac:dyDescent="0.25">
      <c r="A347" s="82"/>
    </row>
    <row r="348" spans="1:1" x14ac:dyDescent="0.25">
      <c r="A348" s="82"/>
    </row>
    <row r="349" spans="1:1" x14ac:dyDescent="0.25">
      <c r="A349" s="82"/>
    </row>
    <row r="350" spans="1:1" x14ac:dyDescent="0.25">
      <c r="A350" s="82"/>
    </row>
    <row r="351" spans="1:1" x14ac:dyDescent="0.25">
      <c r="A351" s="82"/>
    </row>
    <row r="352" spans="1:1" x14ac:dyDescent="0.25">
      <c r="A352" s="82"/>
    </row>
    <row r="353" spans="1:1" x14ac:dyDescent="0.25">
      <c r="A353" s="82"/>
    </row>
    <row r="354" spans="1:1" x14ac:dyDescent="0.25">
      <c r="A354" s="82"/>
    </row>
    <row r="355" spans="1:1" x14ac:dyDescent="0.25">
      <c r="A355" s="82"/>
    </row>
    <row r="356" spans="1:1" x14ac:dyDescent="0.25">
      <c r="A356" s="82"/>
    </row>
    <row r="357" spans="1:1" x14ac:dyDescent="0.25">
      <c r="A357" s="82"/>
    </row>
    <row r="358" spans="1:1" x14ac:dyDescent="0.25">
      <c r="A358" s="82"/>
    </row>
    <row r="359" spans="1:1" x14ac:dyDescent="0.25">
      <c r="A359" s="82"/>
    </row>
    <row r="360" spans="1:1" x14ac:dyDescent="0.25">
      <c r="A360" s="82"/>
    </row>
    <row r="361" spans="1:1" x14ac:dyDescent="0.25">
      <c r="A361" s="82"/>
    </row>
    <row r="362" spans="1:1" x14ac:dyDescent="0.25">
      <c r="A362" s="82"/>
    </row>
    <row r="363" spans="1:1" x14ac:dyDescent="0.25">
      <c r="A363" s="82"/>
    </row>
    <row r="364" spans="1:1" x14ac:dyDescent="0.25">
      <c r="A364" s="82"/>
    </row>
  </sheetData>
  <autoFilter ref="A15:F364" xr:uid="{ABAC8952-A00E-42B9-A7B0-332BD5BD7C73}"/>
  <hyperlinks>
    <hyperlink ref="A16" location="'Unidad de ordeñe'!A1" display="Unidades de ordeño y Jetters de lavado " xr:uid="{D558DDA4-B341-4DED-A408-D642AD6FD606}"/>
    <hyperlink ref="A20" location="bombas!A1" display="Bombas de Vacio" xr:uid="{274AC541-1375-4712-9DFE-1443CD92593B}"/>
    <hyperlink ref="A178" location="'Unidad Final'!A1" display="Unidad Final" xr:uid="{38121CF7-A3CB-424A-AB5B-243C83E67C51}"/>
    <hyperlink ref="A272" location="'Extractores, indicadores'!A1" display="Extractores e indicadores" xr:uid="{199D87F5-7BF3-4E06-A478-615F03464D77}"/>
    <hyperlink ref="A312" location="'ISO ID - SortGate'!A1" display="ISO ID, Sort Gate" xr:uid="{E5F4B3F1-4848-4208-848F-F5848F4D78B1}"/>
    <hyperlink ref="A4" location="presu!A1" display="Presupuesto" xr:uid="{6C17EF91-168C-4743-A132-87A25F70ADD7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Option Button 2">
              <controlPr defaultSize="0" autoFill="0" autoLine="0" autoPict="0" macro="[0]!limpiarBombas">
                <anchor moveWithCells="1">
                  <from>
                    <xdr:col>2</xdr:col>
                    <xdr:colOff>66675</xdr:colOff>
                    <xdr:row>22</xdr:row>
                    <xdr:rowOff>9525</xdr:rowOff>
                  </from>
                  <to>
                    <xdr:col>4</xdr:col>
                    <xdr:colOff>285750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Option Button 3">
              <controlPr defaultSize="0" autoFill="0" autoLine="0" autoPict="0" macro="[0]!LimpiarPulsadoPresu">
                <anchor moveWithCells="1">
                  <from>
                    <xdr:col>2</xdr:col>
                    <xdr:colOff>66675</xdr:colOff>
                    <xdr:row>119</xdr:row>
                    <xdr:rowOff>9525</xdr:rowOff>
                  </from>
                  <to>
                    <xdr:col>4</xdr:col>
                    <xdr:colOff>285750</xdr:colOff>
                    <xdr:row>120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Option Button 4">
              <controlPr defaultSize="0" autoFill="0" autoLine="0" autoPict="0" macro="[0]!limpiarplacapresu">
                <anchor moveWithCells="1">
                  <from>
                    <xdr:col>2</xdr:col>
                    <xdr:colOff>66675</xdr:colOff>
                    <xdr:row>128</xdr:row>
                    <xdr:rowOff>9525</xdr:rowOff>
                  </from>
                  <to>
                    <xdr:col>4</xdr:col>
                    <xdr:colOff>285750</xdr:colOff>
                    <xdr:row>129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7" name="Option Button 5">
              <controlPr defaultSize="0" autoFill="0" autoLine="0" autoPict="0" macro="[0]!limpiarUFpresu">
                <anchor moveWithCells="1">
                  <from>
                    <xdr:col>2</xdr:col>
                    <xdr:colOff>66675</xdr:colOff>
                    <xdr:row>180</xdr:row>
                    <xdr:rowOff>9525</xdr:rowOff>
                  </from>
                  <to>
                    <xdr:col>4</xdr:col>
                    <xdr:colOff>285750</xdr:colOff>
                    <xdr:row>181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8" name="Option Button 6">
              <controlPr defaultSize="0" autoFill="0" autoLine="0" autoPict="0" macro="[0]!limpiarextrapresu">
                <anchor moveWithCells="1">
                  <from>
                    <xdr:col>2</xdr:col>
                    <xdr:colOff>76200</xdr:colOff>
                    <xdr:row>272</xdr:row>
                    <xdr:rowOff>104775</xdr:rowOff>
                  </from>
                  <to>
                    <xdr:col>4</xdr:col>
                    <xdr:colOff>295275</xdr:colOff>
                    <xdr:row>273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9" name="Option Button 7">
              <controlPr defaultSize="0" autoFill="0" autoLine="0" autoPict="0" macro="[0]!limpiarisopresu">
                <anchor moveWithCells="1">
                  <from>
                    <xdr:col>2</xdr:col>
                    <xdr:colOff>66675</xdr:colOff>
                    <xdr:row>313</xdr:row>
                    <xdr:rowOff>0</xdr:rowOff>
                  </from>
                  <to>
                    <xdr:col>4</xdr:col>
                    <xdr:colOff>285750</xdr:colOff>
                    <xdr:row>314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0" name="Button 8">
              <controlPr defaultSize="0" print="0" autoFill="0" autoPict="0" macro="[0]!compactar">
                <anchor moveWithCells="1" sizeWithCells="1">
                  <from>
                    <xdr:col>0</xdr:col>
                    <xdr:colOff>66675</xdr:colOff>
                    <xdr:row>10</xdr:row>
                    <xdr:rowOff>28575</xdr:rowOff>
                  </from>
                  <to>
                    <xdr:col>0</xdr:col>
                    <xdr:colOff>923925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1" name="Button 9">
              <controlPr defaultSize="0" print="0" autoFill="0" autoPict="0" macro="[0]!descompactar">
                <anchor moveWithCells="1" sizeWithCells="1">
                  <from>
                    <xdr:col>0</xdr:col>
                    <xdr:colOff>76200</xdr:colOff>
                    <xdr:row>11</xdr:row>
                    <xdr:rowOff>104775</xdr:rowOff>
                  </from>
                  <to>
                    <xdr:col>0</xdr:col>
                    <xdr:colOff>914400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65D81D-3B9B-497D-BAC4-6573393D8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5</vt:i4>
      </vt:variant>
    </vt:vector>
  </HeadingPairs>
  <TitlesOfParts>
    <vt:vector size="21" baseType="lpstr">
      <vt:lpstr>Lista de precios</vt:lpstr>
      <vt:lpstr>Quimicos</vt:lpstr>
      <vt:lpstr>presu</vt:lpstr>
      <vt:lpstr>Unidad de ordeñe</vt:lpstr>
      <vt:lpstr>bombas</vt:lpstr>
      <vt:lpstr>pulsado</vt:lpstr>
      <vt:lpstr>Placas, Filtros Lavadora,Recupe</vt:lpstr>
      <vt:lpstr>Unidad Final</vt:lpstr>
      <vt:lpstr>Extractores, indicadores</vt:lpstr>
      <vt:lpstr>ISO ID - SortGate</vt:lpstr>
      <vt:lpstr>Robot</vt:lpstr>
      <vt:lpstr>cañerias</vt:lpstr>
      <vt:lpstr>Formulario pedido</vt:lpstr>
      <vt:lpstr>Packing list</vt:lpstr>
      <vt:lpstr>Base</vt:lpstr>
      <vt:lpstr>presu cliente</vt:lpstr>
      <vt:lpstr>'Formulario pedido'!Área_de_extracción</vt:lpstr>
      <vt:lpstr>Bombas_de_vacio.</vt:lpstr>
      <vt:lpstr>Caneria</vt:lpstr>
      <vt:lpstr>'Formulario pedido'!Criterios</vt:lpstr>
      <vt:lpstr>Placa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psiri</dc:creator>
  <cp:lastModifiedBy>Leonel Alejandro Marquez</cp:lastModifiedBy>
  <cp:lastPrinted>2023-07-19T12:13:26Z</cp:lastPrinted>
  <dcterms:created xsi:type="dcterms:W3CDTF">2017-06-22T18:12:13Z</dcterms:created>
  <dcterms:modified xsi:type="dcterms:W3CDTF">2023-09-07T17:00:59Z</dcterms:modified>
</cp:coreProperties>
</file>