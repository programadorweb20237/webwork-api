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93857fe249531ea/Documents/Dairy/listas de precios/2023/Septiembre/"/>
    </mc:Choice>
  </mc:AlternateContent>
  <xr:revisionPtr revIDLastSave="2" documentId="8_{93955949-CFF1-43E9-9F56-1F3A5F6ECFE9}" xr6:coauthVersionLast="47" xr6:coauthVersionMax="47" xr10:uidLastSave="{68FDFC6D-AF6B-47B8-BBC7-44704891ABA8}"/>
  <bookViews>
    <workbookView xWindow="-110" yWindow="-110" windowWidth="19420" windowHeight="10420" activeTab="1" xr2:uid="{00000000-000D-0000-FFFF-FFFF00000000}"/>
  </bookViews>
  <sheets>
    <sheet name="Lista de precios" sheetId="9" r:id="rId1"/>
    <sheet name="Quimicos" sheetId="14" r:id="rId2"/>
    <sheet name="presu" sheetId="1" r:id="rId3"/>
    <sheet name="Unidad de ordeñe" sheetId="3" r:id="rId4"/>
    <sheet name="bombas" sheetId="2" r:id="rId5"/>
    <sheet name="pulsado" sheetId="4" r:id="rId6"/>
    <sheet name="Placas, Filtros Lavadora,Recupe" sheetId="5" r:id="rId7"/>
    <sheet name="Unidad Final" sheetId="6" r:id="rId8"/>
    <sheet name="Extractores, indicadores" sheetId="7" r:id="rId9"/>
    <sheet name="ISO ID - SortGate" sheetId="13" r:id="rId10"/>
    <sheet name="Robot" sheetId="21" r:id="rId11"/>
    <sheet name="cañerias" sheetId="22" r:id="rId12"/>
    <sheet name="Formulario pedido" sheetId="10" r:id="rId13"/>
    <sheet name="Packing list" sheetId="11" r:id="rId14"/>
    <sheet name="Base" sheetId="8" r:id="rId15"/>
    <sheet name="presu cliente" sheetId="20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Bombas_de_vacio.">presu!$B$45</definedName>
    <definedName name="Caneria">presu!$B$421</definedName>
    <definedName name="_xlnm.Criteria" localSheetId="12">'Formulario pedido'!$I$3:$I$4</definedName>
    <definedName name="_xlnm.Extract" localSheetId="12">'Formulario pedido'!$H$5:$K$60</definedName>
    <definedName name="Placa">presu!$B$152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D7" i="14" l="1"/>
  <c r="F7" i="14" s="1"/>
  <c r="D8" i="14"/>
  <c r="F8" i="14" s="1"/>
  <c r="D9" i="14"/>
  <c r="F9" i="14" s="1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D11" i="14"/>
  <c r="F11" i="14" s="1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<sst xmlns="http://schemas.openxmlformats.org/spreadsheetml/2006/main" count="4177" uniqueCount="2267">
  <si>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</si>
  <si>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</si>
  <si>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</si>
  <si>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</si>
  <si>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</si>
  <si>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</si>
  <si>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</si>
  <si>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</si>
  <si>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</si>
  <si>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</si>
  <si>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</si>
  <si>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</si>
  <si>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</si>
  <si>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</si>
  <si>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</si>
  <si>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</si>
  <si>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</si>
  <si>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</si>
  <si>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</si>
  <si>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</si>
  <si>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</si>
  <si>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</si>
  <si>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</si>
  <si>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</si>
  <si>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</si>
  <si>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</si>
  <si>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</si>
  <si>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</si>
  <si>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</si>
  <si>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</si>
  <si>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</si>
  <si>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</si>
  <si>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</si>
  <si>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</si>
  <si>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</si>
  <si>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</si>
  <si>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</si>
  <si>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</si>
  <si>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</si>
  <si>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</si>
  <si>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</si>
  <si>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</si>
  <si>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</si>
  <si>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</si>
  <si>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</si>
  <si>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</si>
  <si>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</si>
  <si>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</si>
  <si>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</si>
  <si>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</si>
  <si>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</si>
  <si>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</si>
  <si>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</si>
  <si>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</si>
  <si>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</si>
  <si>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</si>
  <si>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</si>
  <si>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</si>
  <si>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</si>
  <si>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</si>
  <si>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</si>
  <si>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</si>
  <si>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</si>
  <si>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</si>
  <si>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</si>
  <si>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</si>
  <si>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</si>
  <si>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</si>
  <si>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</si>
  <si>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</si>
  <si>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</si>
  <si>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</si>
  <si>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</si>
  <si>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</si>
  <si>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</si>
  <si>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</si>
  <si>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</si>
  <si>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</si>
  <si>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</si>
  <si>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</si>
  <si>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</si>
  <si>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</si>
  <si>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</si>
  <si>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</si>
  <si>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</si>
  <si>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</si>
  <si>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</si>
  <si>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</si>
  <si>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</si>
  <si>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</si>
  <si>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</si>
  <si>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</si>
  <si>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</si>
  <si>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</si>
  <si>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</si>
  <si>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</si>
  <si>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</si>
  <si>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</si>
  <si>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</si>
  <si>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</si>
  <si>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</si>
  <si>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</si>
  <si>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</si>
  <si>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</si>
  <si>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</si>
  <si>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</si>
  <si>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</si>
  <si>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</si>
  <si>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</si>
  <si>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</si>
  <si>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</si>
  <si>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</si>
  <si>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</si>
  <si>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</si>
  <si>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</si>
  <si>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</si>
  <si>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</si>
  <si>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</si>
  <si>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</si>
  <si>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</si>
  <si>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</si>
  <si>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</si>
  <si>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</si>
  <si>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</si>
  <si>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</si>
  <si>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</si>
  <si>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</si>
  <si>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</si>
  <si>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</si>
  <si>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</si>
  <si>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</si>
  <si>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</si>
  <si>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</si>
  <si>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</si>
  <si>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</si>
  <si>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</si>
  <si>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</si>
  <si>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</si>
  <si>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</si>
  <si>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</si>
  <si>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</si>
  <si>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</si>
  <si>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</si>
  <si>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</si>
  <si>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</si>
  <si>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</si>
  <si>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</si>
  <si>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</si>
  <si>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</si>
  <si>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</si>
  <si>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</si>
  <si>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</si>
  <si>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</si>
  <si>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</si>
  <si>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</si>
  <si>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</si>
  <si>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</si>
  <si>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</si>
  <si>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</si>
  <si>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</si>
  <si>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</si>
  <si>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</si>
  <si>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</si>
  <si>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</si>
  <si>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</si>
  <si>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</si>
  <si>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</si>
  <si>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</si>
  <si>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</si>
  <si>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</si>
  <si>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</si>
  <si>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</si>
  <si>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</si>
  <si>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</si>
  <si>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</si>
  <si>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</si>
  <si>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</si>
  <si>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</si>
  <si>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</si>
  <si>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</si>
  <si>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</si>
  <si>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</si>
  <si>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</si>
  <si>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</si>
  <si>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</si>
  <si>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</si>
  <si>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</si>
  <si>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</si>
  <si>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</si>
  <si>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</si>
  <si>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</si>
  <si>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</si>
  <si>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</si>
  <si>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</si>
  <si>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</si>
  <si>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</si>
  <si>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</si>
  <si>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</si>
  <si>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</si>
  <si>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</si>
  <si>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</si>
  <si>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</si>
  <si>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</si>
  <si>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</si>
  <si>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</si>
  <si>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</si>
  <si>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</si>
  <si>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</si>
  <si>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</si>
  <si>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</si>
  <si>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</si>
  <si>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</si>
  <si>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</si>
  <si>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</si>
  <si>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</si>
  <si>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</si>
  <si>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</si>
  <si>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</si>
  <si>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</si>
  <si>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</si>
  <si>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</si>
  <si>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</si>
  <si>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</si>
  <si>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</si>
  <si>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</si>
  <si>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</si>
  <si>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</si>
  <si>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</si>
  <si>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</si>
  <si>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</si>
  <si>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</si>
  <si>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</si>
  <si>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</si>
  <si>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</si>
  <si>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</si>
  <si>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</si>
  <si>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</si>
  <si>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</si>
  <si>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</si>
  <si>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</si>
  <si>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</si>
  <si>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</si>
  <si>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</si>
  <si>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</si>
  <si>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</si>
  <si>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</si>
  <si>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</si>
  <si>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</si>
  <si>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</si>
  <si>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</si>
  <si>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</si>
  <si>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</si>
  <si>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</si>
  <si>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</si>
  <si>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</si>
  <si>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</si>
  <si>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</si>
  <si>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</si>
  <si>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</si>
  <si>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</si>
  <si>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</si>
  <si>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</si>
  <si>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</si>
  <si>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</si>
  <si>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</si>
  <si>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</si>
  <si>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</si>
  <si>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</si>
  <si>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</si>
  <si>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</si>
  <si>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</si>
  <si>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</si>
  <si>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</si>
  <si>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</si>
  <si>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</si>
  <si>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</si>
  <si>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</si>
  <si>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</si>
  <si>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</si>
  <si>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</si>
  <si>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</si>
  <si>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</si>
  <si>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</si>
  <si>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</si>
  <si>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</si>
  <si>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</si>
  <si>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</si>
  <si>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</si>
  <si>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</si>
  <si>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</si>
  <si>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</si>
  <si>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</si>
  <si>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</si>
  <si>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</si>
  <si>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</si>
  <si>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</si>
  <si>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</si>
  <si>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</si>
  <si>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</si>
  <si>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</si>
  <si>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</si>
  <si>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</si>
  <si>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</si>
  <si>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</si>
  <si>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</si>
  <si>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</si>
  <si>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</si>
  <si>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</si>
  <si>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</si>
  <si>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</si>
  <si>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</si>
  <si>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</si>
  <si>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</si>
  <si>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</si>
  <si>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</si>
  <si>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</si>
  <si>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</si>
  <si>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</si>
  <si>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</si>
  <si>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</si>
  <si>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</si>
  <si>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</si>
  <si>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</si>
  <si>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</si>
  <si>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</si>
  <si>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</si>
  <si>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</si>
  <si>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</si>
  <si>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</si>
  <si>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</si>
  <si>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</si>
  <si>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</si>
  <si>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</si>
  <si>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</si>
  <si>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</si>
  <si>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</si>
  <si>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</si>
  <si>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</si>
  <si>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</si>
  <si>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</si>
  <si>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</si>
  <si>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</si>
  <si>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</si>
  <si>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</si>
  <si>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</si>
  <si>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</si>
  <si>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</si>
  <si>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</si>
  <si>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</si>
  <si>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</si>
  <si>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</si>
  <si>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</si>
  <si>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</si>
  <si>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</si>
  <si>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</si>
  <si>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</si>
  <si>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</si>
  <si>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</si>
  <si>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</si>
  <si>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</si>
  <si>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</si>
  <si>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</si>
  <si>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</si>
  <si>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</si>
  <si>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</si>
  <si>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</si>
  <si>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</si>
  <si>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</si>
  <si>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</si>
  <si>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</si>
  <si>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</si>
  <si>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</si>
  <si>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</si>
  <si>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</si>
  <si>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</si>
  <si>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</si>
  <si>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</si>
  <si>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</si>
  <si>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</si>
  <si>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</si>
  <si>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</si>
  <si>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</si>
  <si>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</si>
  <si>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</si>
  <si>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</si>
  <si>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</si>
  <si>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</si>
  <si>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</si>
  <si>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</si>
  <si>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</si>
  <si>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</si>
  <si>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</si>
  <si>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</si>
  <si>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</si>
  <si>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</si>
  <si>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</si>
  <si>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</si>
  <si>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</si>
  <si>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</si>
  <si>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</si>
  <si>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</si>
  <si>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</si>
  <si>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</si>
  <si>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</si>
  <si>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</si>
  <si>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</si>
  <si>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</si>
  <si>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</si>
  <si>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</si>
  <si>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</si>
  <si>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</si>
  <si>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</si>
  <si>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</si>
  <si>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</si>
  <si>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</si>
  <si>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</si>
  <si>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</si>
  <si>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</si>
  <si>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</si>
  <si>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</si>
  <si>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</si>
  <si>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</si>
  <si>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</si>
  <si>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</si>
  <si>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</si>
  <si>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</si>
  <si>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</si>
  <si>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</si>
  <si>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</si>
  <si>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</si>
  <si>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</si>
  <si>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</si>
  <si>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</si>
  <si>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</si>
  <si>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</si>
  <si>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</si>
  <si>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</si>
  <si>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</si>
  <si>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</si>
  <si>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</si>
  <si>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</si>
  <si>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</si>
  <si>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</si>
  <si>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</si>
  <si>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</si>
  <si>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</si>
  <si>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</si>
  <si>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</si>
  <si>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</si>
  <si>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</si>
  <si>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</si>
  <si>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</si>
  <si>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</si>
  <si>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</si>
  <si>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</si>
  <si>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</si>
  <si>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</si>
  <si>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</si>
  <si>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</si>
  <si>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</si>
  <si>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</si>
  <si>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</si>
  <si>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</si>
  <si>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</si>
  <si>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</si>
  <si>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</si>
  <si>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</si>
  <si>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</si>
  <si>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</si>
  <si>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</si>
  <si>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</si>
  <si>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</si>
  <si>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</si>
  <si>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</si>
  <si>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</si>
  <si>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</si>
  <si>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</si>
  <si>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</si>
  <si>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</si>
  <si>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</si>
  <si>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</si>
  <si>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</si>
  <si>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</si>
  <si>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</si>
  <si>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</si>
  <si>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</si>
  <si>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</si>
  <si>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</si>
  <si>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</si>
  <si>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</si>
  <si>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</si>
  <si>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</si>
  <si>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</si>
  <si>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</si>
  <si>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</si>
  <si>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</si>
  <si>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</si>
  <si>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</si>
  <si>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</si>
  <si>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</si>
  <si>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</si>
  <si>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</si>
  <si>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</si>
  <si>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</si>
  <si>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</si>
  <si>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</si>
  <si>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</si>
  <si>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</si>
  <si>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</si>
  <si>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</si>
  <si>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</si>
  <si>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</si>
  <si>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</si>
  <si>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</si>
  <si>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</si>
  <si>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</si>
  <si>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</si>
  <si>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</si>
  <si>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</si>
  <si>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</si>
  <si>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</si>
  <si>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</si>
  <si>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</si>
  <si>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</si>
  <si>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</si>
  <si>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</si>
  <si>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</si>
  <si>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</si>
  <si>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</si>
  <si>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</si>
  <si>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</si>
  <si>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</si>
  <si>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</si>
  <si>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</si>
  <si>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</si>
  <si>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</si>
  <si>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</si>
  <si>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</si>
  <si>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</si>
  <si>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</si>
  <si>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</si>
  <si>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</si>
  <si>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</si>
  <si>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</si>
  <si>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</si>
  <si>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</si>
  <si>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</si>
  <si>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</si>
  <si>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</si>
  <si>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</si>
  <si>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</si>
  <si>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</si>
  <si>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</si>
  <si>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</si>
  <si>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</si>
  <si>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</si>
  <si>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</si>
  <si>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</si>
  <si>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</si>
  <si>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</si>
  <si>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</si>
  <si>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</si>
  <si>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</si>
  <si>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</si>
  <si>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</si>
  <si>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</si>
  <si>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</si>
  <si>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</si>
  <si>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</si>
  <si>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</si>
  <si>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</si>
  <si>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</si>
  <si>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</si>
  <si>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</si>
  <si>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</si>
  <si>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</si>
  <si>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</si>
  <si>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</si>
  <si>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</si>
  <si>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</si>
  <si>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</si>
  <si>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</si>
  <si>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</si>
  <si>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</si>
  <si>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</si>
  <si>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</si>
  <si>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</si>
  <si>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</si>
  <si>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</si>
  <si>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</si>
  <si>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</si>
  <si>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</si>
  <si>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</si>
  <si>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</si>
  <si>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</si>
  <si>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</si>
  <si>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</si>
  <si>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</si>
  <si>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</si>
  <si>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</si>
  <si>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</si>
  <si>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</si>
  <si>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</si>
  <si>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</si>
  <si>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</si>
  <si>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</si>
  <si>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</si>
  <si>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</si>
  <si>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</si>
  <si>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</si>
  <si>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</si>
  <si>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</si>
  <si>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</si>
  <si>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</si>
  <si>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</si>
  <si>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</si>
  <si>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</si>
  <si>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</si>
  <si>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</si>
  <si>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</si>
  <si>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</si>
  <si>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</si>
  <si>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</si>
  <si>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</si>
  <si>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</si>
  <si>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</si>
  <si>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</si>
  <si>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</si>
  <si>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</si>
  <si>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</si>
  <si>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</si>
  <si>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</si>
  <si>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</si>
  <si>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</si>
  <si>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</si>
  <si>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</si>
  <si>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</si>
  <si>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</si>
  <si>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</si>
  <si>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</si>
  <si>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</si>
  <si>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</si>
  <si>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</si>
  <si>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</si>
  <si>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</si>
  <si>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</si>
  <si>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</si>
  <si>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</si>
  <si>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</si>
  <si>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</si>
  <si>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</si>
  <si>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</si>
  <si>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</si>
  <si>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</si>
  <si>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</si>
  <si>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</si>
  <si>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</si>
  <si>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</si>
  <si>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</si>
  <si>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</si>
  <si>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</si>
  <si>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</si>
  <si>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</si>
  <si>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</si>
  <si>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</si>
  <si>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</si>
  <si>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</si>
  <si>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</si>
  <si>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</si>
  <si>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</si>
  <si>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</si>
  <si>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</si>
  <si>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</si>
  <si>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</si>
  <si>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</si>
  <si>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</si>
  <si>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</si>
  <si>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</si>
  <si>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</si>
  <si>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</si>
  <si>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</si>
  <si>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</si>
  <si>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</si>
  <si>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</si>
  <si>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</si>
  <si>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</si>
  <si>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</si>
  <si>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</si>
  <si>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</si>
  <si>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</si>
  <si>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</si>
  <si>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</si>
  <si>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</si>
  <si>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</si>
  <si>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</si>
  <si>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</si>
  <si>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</si>
  <si>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</si>
  <si>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</si>
  <si>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</si>
  <si>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</si>
  <si>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</si>
  <si>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</si>
  <si>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</si>
  <si>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</si>
  <si>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</si>
  <si>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</si>
  <si>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</si>
  <si>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</si>
  <si>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</si>
  <si>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</si>
  <si>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</si>
  <si>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</si>
  <si>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</si>
  <si>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</si>
  <si>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</si>
  <si>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</si>
  <si>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</si>
  <si>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</si>
  <si>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</si>
  <si>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</si>
  <si>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</si>
  <si>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</si>
  <si>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</si>
  <si>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</si>
  <si>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</si>
  <si>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</si>
  <si>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</si>
  <si>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</si>
  <si>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</si>
  <si>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</si>
  <si>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</si>
  <si>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</si>
  <si>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</si>
  <si>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</si>
  <si>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</si>
  <si>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</si>
  <si>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</si>
  <si>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</si>
  <si>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</si>
  <si>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</si>
  <si>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</si>
  <si>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</si>
  <si>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</si>
  <si>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</si>
  <si>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</si>
  <si>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</si>
  <si>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</si>
  <si>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</si>
  <si>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</si>
  <si>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</si>
  <si>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</si>
  <si>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</si>
  <si>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</si>
  <si>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</si>
  <si>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</si>
  <si>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</si>
  <si>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</si>
  <si>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</si>
  <si>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</si>
  <si>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</si>
  <si>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</si>
  <si>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</si>
  <si>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</si>
  <si>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</si>
  <si>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</si>
  <si>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</si>
  <si>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</si>
  <si>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</si>
  <si>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</si>
  <si>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</si>
  <si>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</si>
  <si>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</si>
  <si>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</si>
  <si>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</si>
  <si>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</si>
  <si>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</si>
  <si>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</si>
  <si>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</si>
  <si>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</si>
  <si>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</si>
  <si>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</si>
  <si>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</si>
  <si>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</si>
  <si>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</si>
  <si>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</si>
  <si>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</si>
  <si>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</si>
  <si>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</si>
  <si>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</si>
  <si>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</si>
  <si>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</si>
  <si>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</si>
  <si>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</si>
  <si>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</si>
  <si>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</si>
  <si>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</si>
  <si>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</si>
  <si>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</si>
  <si>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</si>
  <si>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</si>
  <si>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</si>
  <si>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</si>
  <si>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</si>
  <si>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</si>
  <si>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</si>
  <si>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</si>
  <si>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</si>
  <si>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</si>
  <si>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</si>
  <si>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</si>
  <si>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</si>
  <si>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</si>
  <si>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</si>
  <si>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</si>
  <si>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</si>
  <si>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</si>
  <si>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</si>
  <si>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</si>
  <si>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</si>
  <si>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</si>
  <si>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</si>
  <si>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</si>
  <si>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</si>
  <si>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</si>
  <si>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</si>
  <si>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</si>
  <si>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</si>
  <si>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</si>
  <si>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</si>
  <si>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</si>
  <si>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</si>
  <si>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</si>
  <si>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</si>
  <si>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</si>
  <si>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</si>
  <si>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</si>
  <si>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</si>
  <si>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</si>
  <si>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</si>
  <si>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</si>
  <si>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</si>
  <si>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</si>
  <si>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</si>
  <si>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</si>
  <si>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</si>
  <si>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</si>
  <si>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</si>
  <si>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</si>
  <si>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</si>
  <si>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</si>
  <si>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</si>
  <si>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</si>
  <si>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</si>
  <si>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</si>
  <si>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</si>
  <si>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</si>
  <si>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</si>
  <si>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</si>
  <si>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</si>
  <si>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</si>
  <si>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</si>
  <si>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</si>
  <si>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</si>
  <si>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</si>
  <si>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</si>
  <si>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</si>
  <si>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</si>
  <si>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</si>
  <si>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</si>
  <si>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</si>
  <si>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</si>
  <si>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</si>
  <si>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</si>
  <si>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</si>
  <si>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</si>
  <si>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</si>
  <si>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</si>
  <si>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</si>
  <si>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</si>
  <si>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</si>
  <si>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</si>
  <si>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</si>
  <si>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</si>
  <si>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</si>
  <si>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</si>
  <si>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</si>
  <si>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</si>
  <si>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</si>
  <si>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</si>
  <si>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</si>
  <si>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</si>
  <si>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</si>
  <si>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</si>
  <si>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</si>
  <si>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</si>
  <si>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</si>
  <si>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</si>
  <si>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</si>
  <si>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</si>
  <si>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</si>
  <si>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</si>
  <si>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</si>
  <si>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</si>
  <si>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</si>
  <si>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</si>
  <si>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</si>
  <si>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</si>
  <si>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</si>
  <si>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</si>
  <si>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</si>
  <si>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</si>
  <si>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</si>
  <si>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</si>
  <si>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</si>
  <si>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</si>
  <si>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</si>
  <si>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</si>
  <si>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</si>
  <si>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</si>
  <si>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</si>
  <si>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</si>
  <si>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</si>
  <si>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</si>
  <si>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</si>
  <si>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</si>
  <si>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</si>
  <si>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</si>
  <si>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</si>
  <si>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</si>
  <si>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</si>
  <si>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</si>
  <si>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</si>
  <si>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</si>
  <si>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</si>
  <si>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</si>
  <si>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</si>
  <si>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</si>
  <si>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</si>
  <si>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</si>
  <si>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</si>
  <si>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</si>
  <si>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</si>
  <si>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</si>
  <si>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</si>
  <si>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</si>
  <si>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</si>
  <si>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</si>
  <si>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</si>
  <si>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</si>
  <si>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</si>
  <si>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</si>
  <si>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</si>
  <si>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</si>
  <si>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</si>
  <si>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</si>
  <si>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</si>
  <si>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</si>
  <si>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</si>
  <si>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</si>
  <si>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</si>
  <si>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</si>
  <si>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</si>
  <si>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</si>
  <si>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</si>
  <si>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</si>
  <si>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</si>
  <si>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</si>
  <si>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</si>
  <si>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</si>
  <si>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</si>
  <si>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</si>
  <si>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</si>
  <si>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</si>
  <si>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</si>
  <si>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</si>
  <si>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</si>
  <si>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</si>
  <si>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</si>
  <si>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</si>
  <si>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</si>
  <si>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</si>
  <si>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</si>
  <si>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</si>
  <si>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</si>
  <si>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</si>
  <si>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</si>
  <si>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</si>
  <si>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</si>
  <si>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</si>
  <si>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</si>
  <si>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</si>
  <si>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</si>
  <si>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</si>
  <si>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</si>
  <si>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</si>
  <si>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</si>
  <si>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</si>
  <si>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</si>
  <si>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</si>
  <si>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</si>
  <si>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</si>
  <si>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</si>
  <si>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</si>
  <si>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</si>
  <si>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</si>
  <si>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</si>
  <si>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</si>
  <si>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</si>
  <si>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</si>
  <si>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</si>
  <si>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</si>
  <si>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</si>
  <si>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</si>
  <si>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</si>
  <si>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</si>
  <si>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</si>
  <si>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</si>
  <si>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</si>
  <si>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</si>
  <si>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</si>
  <si>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</si>
  <si>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</si>
  <si>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</si>
  <si>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</si>
  <si>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</si>
  <si>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</si>
  <si>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</si>
  <si>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</si>
  <si>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</si>
  <si>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</si>
  <si>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</si>
  <si>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</si>
  <si>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</si>
  <si>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</si>
  <si>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</si>
  <si>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</si>
  <si>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</si>
  <si>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</si>
  <si>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</si>
  <si>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</si>
  <si>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</si>
  <si>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</si>
  <si>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</si>
  <si>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</si>
  <si>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</si>
  <si>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</si>
  <si>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</si>
  <si>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</si>
  <si>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</si>
  <si>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</si>
  <si>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</si>
  <si>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</si>
  <si>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</si>
  <si>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</si>
  <si>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</si>
  <si>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</si>
  <si>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</si>
  <si>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</si>
  <si>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</si>
  <si>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</si>
  <si>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</si>
  <si>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</si>
  <si>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</si>
  <si>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</si>
  <si>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</si>
  <si>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</si>
  <si>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</si>
  <si>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</si>
  <si>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</si>
  <si>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</si>
  <si>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</si>
  <si>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</si>
  <si>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</si>
  <si>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</si>
  <si>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</si>
  <si>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</si>
  <si>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</si>
  <si>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</si>
  <si>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</si>
  <si>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</si>
  <si>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</si>
  <si>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</si>
  <si>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</si>
  <si>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</si>
  <si>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</si>
  <si>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</si>
  <si>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</si>
  <si>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</si>
  <si>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</si>
  <si>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</si>
  <si>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</si>
  <si>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</si>
  <si>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</si>
  <si>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</si>
  <si>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</si>
  <si>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</si>
  <si>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</si>
  <si>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</si>
  <si>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</si>
  <si>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</si>
  <si>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</si>
  <si>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</si>
  <si>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</si>
  <si>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</si>
  <si>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</si>
  <si>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</si>
  <si>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</si>
  <si>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</si>
  <si>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</si>
  <si>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</si>
  <si>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</si>
  <si>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</si>
  <si>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</si>
  <si>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</si>
  <si>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</si>
  <si>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</si>
  <si>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</si>
  <si>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</si>
  <si>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</si>
  <si>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</si>
  <si>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</si>
  <si>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</si>
  <si>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</si>
  <si>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</si>
  <si>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</si>
  <si>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</si>
  <si>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</si>
  <si>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</si>
  <si>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</si>
  <si>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</si>
  <si>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</si>
  <si>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</si>
  <si>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</si>
  <si>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</si>
  <si>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</si>
  <si>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</si>
  <si>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</si>
  <si>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</si>
  <si>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</si>
  <si>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</si>
  <si>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</si>
  <si>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</si>
  <si>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</si>
  <si>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</si>
  <si>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</si>
  <si>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</si>
  <si>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</si>
  <si>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</si>
  <si>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</si>
  <si>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</si>
  <si>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</si>
  <si>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</si>
  <si>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</si>
  <si>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</si>
  <si>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</si>
  <si>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</si>
  <si>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</si>
  <si>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</si>
  <si>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</si>
  <si>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</si>
  <si>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</si>
  <si>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</si>
  <si>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</si>
  <si>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</si>
  <si>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</si>
  <si>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</si>
  <si>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</si>
  <si>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</si>
  <si>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</si>
  <si>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</si>
  <si>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</si>
  <si>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</si>
  <si>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</si>
  <si>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</si>
  <si>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</si>
  <si>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</si>
  <si>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</si>
  <si>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</si>
  <si>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</si>
  <si>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</si>
  <si>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</si>
  <si>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</si>
  <si>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</si>
  <si>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</si>
  <si>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</si>
  <si>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</si>
  <si>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</si>
  <si>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</si>
  <si>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</si>
  <si>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</si>
  <si>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</si>
  <si>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</si>
  <si>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</si>
  <si>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</si>
  <si>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</si>
  <si>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</si>
  <si>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</si>
  <si>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</si>
  <si>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</si>
  <si>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</si>
  <si>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</si>
  <si>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</si>
  <si>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</si>
  <si>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</si>
  <si>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</si>
  <si>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</si>
  <si>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</si>
  <si>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</si>
  <si>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</si>
  <si>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</si>
  <si>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</si>
  <si>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</si>
  <si>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</si>
  <si>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</si>
  <si>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</si>
  <si>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</si>
  <si>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</si>
  <si>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</si>
  <si>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</si>
  <si>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</si>
  <si>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</si>
  <si>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</si>
  <si>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</si>
  <si>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</si>
  <si>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</si>
  <si>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</si>
  <si>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</si>
  <si>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</si>
  <si>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</si>
  <si>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</si>
  <si>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</si>
  <si>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</si>
  <si>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</si>
  <si>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</si>
  <si>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</si>
  <si>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</si>
  <si>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</si>
  <si>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</si>
  <si>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</si>
  <si>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</si>
  <si>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</si>
  <si>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</si>
  <si>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</si>
  <si>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</si>
  <si>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</si>
  <si>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</si>
  <si>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</si>
  <si>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</si>
  <si>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</si>
  <si>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</si>
  <si>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</si>
  <si>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</si>
  <si>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</si>
  <si>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</si>
  <si>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</si>
  <si>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</si>
  <si>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</si>
  <si>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</si>
  <si>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</si>
  <si>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</si>
  <si>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</si>
  <si>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</si>
  <si>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</si>
  <si>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</si>
  <si>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</si>
  <si>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</si>
  <si>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</si>
  <si>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</si>
  <si>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</si>
  <si>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</si>
  <si>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</si>
  <si>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</si>
  <si>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</si>
  <si>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</si>
  <si>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</si>
  <si>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</si>
  <si>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</si>
  <si>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</si>
  <si>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</si>
  <si>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</si>
  <si>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</si>
  <si>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</si>
  <si>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</si>
  <si>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</si>
  <si>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</si>
  <si>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</si>
  <si>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</si>
  <si>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</si>
  <si>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</si>
  <si>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</si>
  <si>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</si>
  <si>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</si>
  <si>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</si>
  <si>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</si>
  <si>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</si>
  <si>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</si>
  <si>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</si>
  <si>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</si>
  <si>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</si>
  <si>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</si>
  <si>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</si>
  <si>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</si>
  <si>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</si>
  <si>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</si>
  <si>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</si>
  <si>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</si>
  <si>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</si>
  <si>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</si>
  <si>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</si>
  <si>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</si>
  <si>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</si>
  <si>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</si>
  <si>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</si>
  <si>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</si>
  <si>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</si>
  <si>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</si>
  <si>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</si>
  <si>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</si>
  <si>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</si>
  <si>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</si>
  <si>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</si>
  <si>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</si>
  <si>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</si>
  <si>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</si>
  <si>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</si>
  <si>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</si>
  <si>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</si>
  <si>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</si>
  <si>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</si>
  <si>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</si>
  <si>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</si>
  <si>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</si>
  <si>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</si>
  <si>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</si>
  <si>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</si>
  <si>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</si>
  <si>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</si>
  <si>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</si>
  <si>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</si>
  <si>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</si>
  <si>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</si>
  <si>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</si>
  <si>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</si>
  <si>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</si>
  <si>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</si>
  <si>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</si>
  <si>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</si>
  <si>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</si>
  <si>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</si>
  <si>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</si>
  <si>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</si>
  <si>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</si>
  <si>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</si>
  <si>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</si>
  <si>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</si>
  <si>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</si>
  <si>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</si>
  <si>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</si>
  <si>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</si>
  <si>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</si>
  <si>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</si>
  <si>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</si>
  <si>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</si>
  <si>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</si>
  <si>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</si>
  <si>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</si>
  <si>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</si>
  <si>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</si>
  <si>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</si>
  <si>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</si>
  <si>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</si>
  <si>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</si>
  <si>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</si>
  <si>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</si>
  <si>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</si>
  <si>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</si>
  <si>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</si>
  <si>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</si>
  <si>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</si>
  <si>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</si>
  <si>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</si>
  <si>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</si>
  <si>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</si>
  <si>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</si>
  <si>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</si>
  <si>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</si>
  <si>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</si>
  <si>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</si>
  <si>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</si>
  <si>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</si>
  <si>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</si>
  <si>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</si>
  <si>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</si>
  <si>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</si>
  <si>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</si>
  <si>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</si>
  <si>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</si>
  <si>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</si>
  <si>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</si>
  <si>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</si>
  <si>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</si>
  <si>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</si>
  <si>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</si>
  <si>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</si>
  <si>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</si>
  <si>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</si>
  <si>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</si>
  <si>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</si>
  <si>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</si>
  <si>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</si>
  <si>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</si>
  <si>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</si>
  <si>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</si>
  <si>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</si>
  <si>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</si>
  <si>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</si>
  <si>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</si>
  <si>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</si>
  <si>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</si>
  <si>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</si>
  <si>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</si>
  <si>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</si>
  <si>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</si>
  <si>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</si>
  <si>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</si>
  <si>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</si>
  <si>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</si>
  <si>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</si>
  <si>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</si>
  <si>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</si>
  <si>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</si>
  <si>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</si>
  <si>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</si>
  <si>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</si>
  <si>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</si>
  <si>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</si>
  <si>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</si>
  <si>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</si>
  <si>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</si>
  <si>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</si>
  <si>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</si>
  <si>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</si>
  <si>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</si>
  <si>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</si>
  <si>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</si>
  <si>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</si>
  <si>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</si>
  <si>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</si>
  <si>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</si>
  <si>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</si>
  <si>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</si>
  <si>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</si>
  <si>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</si>
  <si>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</si>
  <si>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</si>
  <si>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</si>
  <si>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</si>
  <si>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</si>
  <si>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</si>
  <si>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</si>
  <si>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</si>
  <si>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</si>
  <si>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</si>
  <si>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</si>
  <si>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</si>
  <si>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</si>
  <si>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</si>
  <si>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</si>
  <si>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</si>
  <si>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</si>
  <si>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</si>
  <si>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</si>
  <si>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</si>
  <si>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</si>
  <si>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</si>
  <si>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</si>
  <si>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</si>
  <si>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</si>
  <si>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</si>
  <si>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</si>
  <si>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</si>
  <si>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</si>
  <si>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</si>
  <si>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</si>
  <si>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</si>
  <si>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</si>
  <si>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</si>
  <si>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</si>
  <si>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</si>
  <si>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</si>
  <si>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</si>
  <si>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</si>
  <si>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</si>
  <si>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</si>
  <si>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</si>
  <si>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</si>
  <si>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</si>
  <si>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</si>
  <si>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</si>
  <si>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</si>
  <si>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</si>
  <si>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</si>
  <si>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</si>
  <si>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</si>
  <si>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</si>
  <si>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</si>
  <si>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</si>
  <si>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</si>
  <si>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</si>
  <si>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</si>
  <si>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</si>
  <si>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</si>
  <si>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</si>
  <si>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</si>
  <si>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</si>
  <si>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</si>
  <si>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</si>
  <si>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</si>
  <si>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</si>
  <si>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</si>
  <si>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</si>
  <si>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</si>
  <si>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</si>
  <si>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</si>
  <si>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</si>
  <si>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</si>
  <si>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</si>
  <si>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</si>
  <si>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</si>
  <si>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</si>
  <si>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</si>
  <si>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</si>
  <si>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</si>
  <si>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</si>
  <si>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</si>
  <si>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</si>
  <si>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</si>
  <si>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</si>
  <si>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</si>
  <si>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</si>
  <si>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</si>
  <si>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</si>
  <si>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</si>
  <si>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</si>
  <si>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</si>
  <si>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</si>
  <si>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</si>
  <si>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</si>
  <si>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</si>
  <si>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</si>
  <si>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</si>
  <si>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</si>
  <si>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</si>
  <si>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</si>
  <si>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</si>
  <si>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</si>
  <si>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</si>
  <si>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</si>
  <si>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</si>
  <si>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</si>
  <si>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</si>
  <si>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</si>
  <si>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</si>
  <si>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</si>
  <si>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</si>
  <si>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</si>
  <si>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</si>
  <si>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</si>
  <si>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</si>
  <si>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</si>
  <si>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</si>
  <si>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</si>
  <si>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</si>
  <si>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</si>
  <si>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</si>
  <si>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</si>
  <si>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</si>
  <si>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</si>
  <si>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</si>
  <si>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</si>
  <si>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</si>
  <si>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</si>
  <si>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</si>
  <si>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</si>
  <si>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</si>
  <si>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</si>
  <si>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</si>
  <si>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</si>
  <si>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</si>
  <si>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</si>
  <si>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</si>
  <si>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</si>
  <si>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</si>
  <si>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</si>
  <si>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</si>
  <si>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</si>
  <si>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</si>
  <si>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</si>
  <si>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</si>
  <si>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</si>
  <si>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</si>
  <si>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</si>
  <si>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</si>
  <si>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</si>
  <si>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</si>
  <si>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</si>
  <si>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</si>
  <si>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</si>
  <si>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</si>
  <si>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</si>
  <si>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</si>
  <si>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</si>
  <si>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</si>
  <si>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</si>
  <si>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</si>
  <si>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</si>
  <si>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</si>
  <si>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</si>
  <si>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</si>
  <si>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</si>
  <si>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</si>
  <si>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</si>
  <si>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</si>
  <si>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</si>
  <si>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</si>
  <si>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</si>
  <si>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</si>
  <si>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</si>
  <si>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</si>
  <si>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</si>
  <si>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</si>
  <si>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</si>
  <si>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</si>
  <si>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</si>
  <si>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</si>
  <si>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</si>
  <si>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</si>
  <si>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</si>
  <si>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</si>
  <si>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</si>
  <si>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</si>
  <si>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</si>
  <si>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</si>
  <si>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</si>
  <si>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</si>
  <si>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</si>
  <si>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</si>
  <si>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</si>
  <si>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</si>
  <si>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</si>
  <si>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</si>
  <si>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</si>
  <si>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</si>
  <si>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</si>
  <si>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</si>
  <si>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</si>
  <si>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</si>
  <si>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</si>
  <si>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</si>
  <si>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</si>
  <si>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</si>
  <si>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</si>
  <si>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</si>
  <si>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</si>
  <si>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</si>
  <si>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</si>
  <si>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</si>
  <si>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</si>
  <si>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</si>
  <si>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</si>
  <si>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</si>
  <si>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</si>
  <si>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</si>
  <si>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</si>
  <si>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</si>
  <si>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</si>
  <si>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</si>
  <si>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</si>
  <si>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</si>
  <si>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</si>
  <si>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</si>
  <si>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</si>
  <si>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</si>
  <si>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</si>
  <si>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</si>
  <si>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</si>
  <si>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</si>
  <si>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</si>
  <si>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</si>
  <si>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</si>
  <si>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</si>
  <si>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</si>
  <si>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</si>
  <si>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</si>
  <si>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</si>
  <si>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</si>
  <si>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</si>
  <si>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</si>
  <si>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</si>
  <si>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</si>
  <si>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</si>
  <si>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</si>
  <si>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</si>
  <si>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</si>
  <si>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</si>
  <si>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</si>
  <si>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</si>
  <si>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</si>
  <si>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</si>
  <si>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</si>
  <si>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</si>
  <si>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</si>
  <si>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</si>
  <si>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</si>
  <si>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</si>
  <si>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</si>
  <si>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</si>
  <si>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</si>
  <si>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</si>
  <si>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</si>
  <si>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</si>
  <si>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</si>
  <si>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</si>
  <si>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</si>
  <si>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</si>
  <si>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</si>
  <si>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</si>
  <si>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</si>
  <si>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</si>
  <si>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</si>
  <si>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</si>
  <si>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</si>
  <si>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</si>
  <si>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</si>
  <si>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</si>
  <si>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</si>
  <si>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</si>
  <si>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</si>
  <si>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</si>
  <si>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</si>
  <si>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</si>
  <si>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</si>
  <si>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</si>
  <si>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</si>
  <si>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</si>
  <si>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</si>
  <si>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</si>
  <si>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</si>
  <si>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</si>
  <si>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</si>
  <si>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</si>
  <si>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</si>
  <si>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</si>
  <si>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</si>
  <si>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</si>
  <si>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</si>
  <si>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</si>
  <si>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</si>
  <si>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</si>
  <si>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</si>
  <si>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</si>
  <si>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</si>
  <si>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</si>
  <si>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</si>
  <si>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</si>
  <si>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</si>
  <si>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</si>
  <si>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</si>
  <si>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</si>
  <si>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</si>
  <si>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</si>
  <si>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</si>
  <si>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</si>
  <si>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</si>
  <si>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</si>
  <si>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</si>
  <si>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</si>
  <si>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</si>
  <si>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</si>
  <si>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</si>
  <si>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</si>
  <si>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</si>
  <si>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</si>
  <si>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</si>
  <si>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</si>
  <si>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</si>
  <si>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</si>
  <si>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</si>
  <si>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</si>
  <si>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</si>
  <si>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</si>
  <si>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</si>
  <si>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</si>
  <si>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</si>
  <si>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</si>
  <si>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</si>
  <si>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</si>
  <si>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</si>
  <si>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</si>
  <si>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</si>
  <si>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</si>
  <si>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</si>
  <si>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</si>
  <si>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</si>
  <si>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</si>
  <si>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</si>
  <si>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</si>
  <si>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</si>
  <si>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</si>
  <si>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</si>
  <si>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</si>
  <si>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</si>
  <si>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</si>
  <si>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</si>
  <si>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</si>
  <si>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</si>
  <si>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</si>
  <si>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</si>
  <si>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</si>
  <si>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</si>
  <si>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</si>
  <si>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</si>
  <si>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</si>
  <si>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</si>
  <si>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</si>
  <si>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</si>
  <si>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</si>
  <si>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</si>
  <si>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</si>
  <si>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</si>
  <si>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</si>
  <si>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</si>
  <si>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</si>
  <si>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</si>
  <si>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</si>
  <si>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</si>
  <si>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</si>
  <si>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</si>
  <si>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</si>
  <si>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</si>
  <si>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</si>
  <si>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</si>
  <si>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</si>
  <si>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</si>
  <si>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</si>
  <si>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</si>
  <si>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</si>
  <si>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</si>
  <si>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</si>
  <si>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</si>
  <si>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</si>
  <si>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</si>
  <si>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</si>
  <si>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</si>
  <si>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</si>
  <si>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</si>
  <si>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</si>
  <si>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</si>
  <si>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</si>
  <si>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</si>
  <si>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</si>
  <si>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</si>
  <si>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</si>
  <si>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</si>
  <si>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</si>
  <si>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</si>
  <si>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</si>
  <si>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</si>
  <si>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</si>
  <si>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</si>
  <si>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</si>
  <si>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</si>
  <si>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</si>
  <si>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</si>
  <si>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</si>
  <si>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</si>
  <si>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</si>
  <si>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</si>
  <si>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</si>
  <si>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</si>
  <si>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</si>
  <si>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</si>
  <si>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</si>
  <si>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</si>
  <si>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</si>
  <si>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</si>
  <si>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</si>
  <si>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</si>
  <si>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</si>
  <si>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</si>
  <si>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</si>
  <si>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</si>
  <si>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</si>
  <si>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</si>
  <si>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</si>
  <si>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</si>
  <si>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</si>
  <si>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</si>
  <si>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</si>
  <si>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</si>
  <si>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</si>
  <si>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</si>
  <si>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</si>
  <si>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</si>
  <si>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</si>
  <si>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</si>
  <si>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</si>
  <si>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</si>
  <si>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</si>
  <si>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</si>
  <si>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</si>
  <si>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</si>
  <si>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</si>
  <si>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</si>
  <si>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</si>
  <si>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</si>
  <si>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</si>
  <si>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</si>
  <si>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</si>
  <si>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</si>
  <si>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</si>
  <si>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</si>
  <si>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</si>
  <si>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</si>
  <si>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</si>
  <si>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</si>
  <si>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</si>
  <si>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</si>
  <si>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</si>
  <si>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</si>
  <si>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</si>
  <si>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</si>
  <si>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</si>
  <si>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</si>
  <si>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</si>
  <si>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</si>
  <si>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</si>
  <si>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</si>
  <si>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</si>
  <si>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</si>
  <si>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</si>
  <si>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</si>
  <si>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</si>
  <si>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</si>
  <si>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</si>
  <si>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</si>
  <si>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</si>
  <si>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</si>
  <si>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</si>
  <si>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</si>
  <si>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</si>
  <si>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</si>
  <si>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</si>
  <si>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</si>
  <si>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</si>
  <si>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</si>
  <si>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</si>
  <si>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</si>
  <si>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</si>
  <si>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</si>
  <si>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</si>
  <si>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</si>
  <si>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</si>
  <si>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</si>
  <si>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</si>
  <si>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</si>
  <si>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</si>
  <si>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</si>
  <si>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</si>
  <si>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</si>
  <si>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</si>
  <si>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</si>
  <si>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</si>
  <si>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</si>
  <si>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</si>
  <si>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</si>
  <si>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</si>
  <si>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</si>
  <si>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</si>
  <si>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</si>
  <si>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</si>
  <si>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</si>
  <si>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</si>
  <si>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</si>
  <si>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</si>
  <si>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</si>
  <si>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</si>
  <si>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</si>
  <si>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</si>
  <si>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</si>
  <si>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</si>
  <si>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</si>
  <si>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</si>
  <si>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</si>
  <si>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</si>
  <si>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</si>
  <si>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</si>
  <si>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</si>
  <si>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</si>
  <si>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</si>
  <si>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</si>
  <si>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</si>
  <si>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</si>
  <si>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</si>
  <si>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</si>
  <si>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</si>
  <si>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</si>
  <si>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</si>
  <si>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</si>
  <si>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</si>
  <si>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</si>
  <si>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</si>
  <si>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</si>
  <si>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</si>
  <si>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</si>
  <si>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</si>
  <si>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</si>
  <si>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</si>
  <si>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</si>
  <si>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</si>
  <si>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</si>
  <si>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</si>
  <si>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</si>
  <si>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</si>
  <si>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</si>
  <si>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</si>
  <si>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</si>
  <si>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</si>
  <si>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</si>
  <si>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</si>
  <si>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</si>
  <si>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</si>
  <si>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</si>
  <si>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</si>
  <si>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</si>
  <si>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</si>
  <si>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</si>
  <si>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</si>
  <si>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</si>
  <si>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</si>
  <si>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</si>
  <si>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</si>
  <si>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</si>
  <si>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</si>
  <si>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</si>
  <si>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</si>
  <si>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</si>
  <si>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</si>
  <si>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</si>
  <si>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</si>
  <si>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</si>
  <si>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Brilliance x 30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</si>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</sst>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 [$$-2C0A]\ * #,##0.00_ ;_ [$$-2C0A]\ * \-#,##0.00_ ;_ [$$-2C0A]\ * &quot;-&quot;_ ;_ @_ "/>
    <numFmt numFmtId="167" formatCode="[$$-2C0A]\ #,##0.00"/>
    <numFmt numFmtId="168" formatCode="_ &quot;$&quot;\ * #,##0.00_ ;_ &quot;$&quot;\ * \-#,##0.00_ ;_ &quot;$&quot;\ * &quot;-&quot;??_ ;_ @_ "/>
    <numFmt numFmtId="169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69" fontId="1" fillId="0" borderId="0"/>
    <xf numFmtId="168" fontId="1" fillId="0" borderId="0" applyFont="0" applyFill="0" applyBorder="0" applyAlignment="0" applyProtection="0"/>
    <xf numFmtId="169" fontId="9" fillId="0" borderId="0"/>
    <xf numFmtId="169" fontId="19" fillId="0" borderId="0"/>
    <xf numFmtId="169" fontId="24" fillId="12" borderId="0" applyNumberFormat="0" applyBorder="0" applyAlignment="0" applyProtection="0"/>
    <xf numFmtId="169" fontId="24" fillId="13" borderId="0" applyNumberFormat="0" applyBorder="0" applyAlignment="0" applyProtection="0"/>
    <xf numFmtId="169" fontId="24" fillId="14" borderId="0" applyNumberFormat="0" applyBorder="0" applyAlignment="0" applyProtection="0"/>
    <xf numFmtId="169" fontId="24" fillId="15" borderId="0" applyNumberFormat="0" applyBorder="0" applyAlignment="0" applyProtection="0"/>
    <xf numFmtId="169" fontId="24" fillId="16" borderId="0" applyNumberFormat="0" applyBorder="0" applyAlignment="0" applyProtection="0"/>
    <xf numFmtId="169" fontId="24" fillId="17" borderId="0" applyNumberFormat="0" applyBorder="0" applyAlignment="0" applyProtection="0"/>
    <xf numFmtId="169" fontId="24" fillId="18" borderId="0" applyNumberFormat="0" applyBorder="0" applyAlignment="0" applyProtection="0"/>
    <xf numFmtId="169" fontId="24" fillId="19" borderId="0" applyNumberFormat="0" applyBorder="0" applyAlignment="0" applyProtection="0"/>
    <xf numFmtId="169" fontId="24" fillId="20" borderId="0" applyNumberFormat="0" applyBorder="0" applyAlignment="0" applyProtection="0"/>
    <xf numFmtId="169" fontId="24" fillId="15" borderId="0" applyNumberFormat="0" applyBorder="0" applyAlignment="0" applyProtection="0"/>
    <xf numFmtId="169" fontId="24" fillId="18" borderId="0" applyNumberFormat="0" applyBorder="0" applyAlignment="0" applyProtection="0"/>
    <xf numFmtId="169" fontId="24" fillId="21" borderId="0" applyNumberFormat="0" applyBorder="0" applyAlignment="0" applyProtection="0"/>
    <xf numFmtId="169" fontId="25" fillId="22" borderId="0" applyNumberFormat="0" applyBorder="0" applyAlignment="0" applyProtection="0"/>
    <xf numFmtId="169" fontId="25" fillId="19" borderId="0" applyNumberFormat="0" applyBorder="0" applyAlignment="0" applyProtection="0"/>
    <xf numFmtId="169" fontId="25" fillId="20" borderId="0" applyNumberFormat="0" applyBorder="0" applyAlignment="0" applyProtection="0"/>
    <xf numFmtId="169" fontId="25" fillId="23" borderId="0" applyNumberFormat="0" applyBorder="0" applyAlignment="0" applyProtection="0"/>
    <xf numFmtId="169" fontId="25" fillId="24" borderId="0" applyNumberFormat="0" applyBorder="0" applyAlignment="0" applyProtection="0"/>
    <xf numFmtId="169" fontId="25" fillId="25" borderId="0" applyNumberFormat="0" applyBorder="0" applyAlignment="0" applyProtection="0"/>
    <xf numFmtId="169" fontId="25" fillId="26" borderId="0" applyNumberFormat="0" applyBorder="0" applyAlignment="0" applyProtection="0"/>
    <xf numFmtId="169" fontId="25" fillId="27" borderId="0" applyNumberFormat="0" applyBorder="0" applyAlignment="0" applyProtection="0"/>
    <xf numFmtId="169" fontId="25" fillId="28" borderId="0" applyNumberFormat="0" applyBorder="0" applyAlignment="0" applyProtection="0"/>
    <xf numFmtId="169" fontId="25" fillId="23" borderId="0" applyNumberFormat="0" applyBorder="0" applyAlignment="0" applyProtection="0"/>
    <xf numFmtId="169" fontId="25" fillId="24" borderId="0" applyNumberFormat="0" applyBorder="0" applyAlignment="0" applyProtection="0"/>
    <xf numFmtId="169" fontId="25" fillId="29" borderId="0" applyNumberFormat="0" applyBorder="0" applyAlignment="0" applyProtection="0"/>
    <xf numFmtId="169" fontId="26" fillId="13" borderId="0" applyNumberFormat="0" applyBorder="0" applyAlignment="0" applyProtection="0"/>
    <xf numFmtId="169" fontId="27" fillId="30" borderId="31" applyNumberFormat="0" applyAlignment="0" applyProtection="0"/>
    <xf numFmtId="169" fontId="28" fillId="31" borderId="32" applyNumberFormat="0" applyAlignment="0" applyProtection="0"/>
    <xf numFmtId="44" fontId="24" fillId="0" borderId="0" applyFont="0" applyFill="0" applyBorder="0" applyAlignment="0" applyProtection="0"/>
    <xf numFmtId="49" fontId="22" fillId="32" borderId="8">
      <alignment horizontal="left" vertical="center"/>
    </xf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29" fillId="0" borderId="0" applyNumberFormat="0" applyFill="0" applyBorder="0" applyAlignment="0" applyProtection="0"/>
    <xf numFmtId="169" fontId="30" fillId="14" borderId="0" applyNumberFormat="0" applyBorder="0" applyAlignment="0" applyProtection="0"/>
    <xf numFmtId="169" fontId="31" fillId="0" borderId="33" applyNumberFormat="0" applyFill="0" applyAlignment="0" applyProtection="0"/>
    <xf numFmtId="169" fontId="32" fillId="0" borderId="34" applyNumberFormat="0" applyFill="0" applyAlignment="0" applyProtection="0"/>
    <xf numFmtId="169" fontId="33" fillId="0" borderId="35" applyNumberFormat="0" applyFill="0" applyAlignment="0" applyProtection="0"/>
    <xf numFmtId="169" fontId="33" fillId="0" borderId="0" applyNumberFormat="0" applyFill="0" applyBorder="0" applyAlignment="0" applyProtection="0"/>
    <xf numFmtId="169" fontId="34" fillId="17" borderId="31" applyNumberFormat="0" applyAlignment="0" applyProtection="0"/>
    <xf numFmtId="169" fontId="35" fillId="0" borderId="36" applyNumberFormat="0" applyFill="0" applyAlignment="0" applyProtection="0"/>
    <xf numFmtId="169" fontId="36" fillId="33" borderId="0" applyNumberFormat="0" applyBorder="0" applyAlignment="0" applyProtection="0"/>
    <xf numFmtId="169" fontId="9" fillId="34" borderId="37" applyNumberFormat="0" applyFont="0" applyAlignment="0" applyProtection="0"/>
    <xf numFmtId="169" fontId="22" fillId="0" borderId="8" applyFill="0">
      <alignment horizontal="center" vertical="center"/>
    </xf>
    <xf numFmtId="169" fontId="22" fillId="0" borderId="11" applyBorder="0">
      <alignment horizontal="center" vertical="center" wrapText="1"/>
    </xf>
    <xf numFmtId="169" fontId="37" fillId="30" borderId="38" applyNumberFormat="0" applyAlignment="0" applyProtection="0"/>
    <xf numFmtId="169" fontId="23" fillId="35" borderId="8">
      <alignment horizontal="center" vertical="center"/>
    </xf>
    <xf numFmtId="169" fontId="38" fillId="0" borderId="0" applyNumberFormat="0" applyFill="0" applyBorder="0" applyAlignment="0" applyProtection="0"/>
    <xf numFmtId="169" fontId="39" fillId="0" borderId="39" applyNumberFormat="0" applyFill="0" applyAlignment="0" applyProtection="0"/>
    <xf numFmtId="169" fontId="40" fillId="0" borderId="0" applyNumberForma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4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4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4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4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4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4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4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4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5" fontId="8" fillId="8" borderId="8" xfId="2" applyNumberFormat="1" applyFont="1" applyFill="1" applyBorder="1" applyAlignment="1">
      <alignment horizontal="right"/>
    </xf>
    <xf numFmtId="166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7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69" fontId="2" fillId="0" borderId="0" xfId="64" applyFont="1"/>
    <xf numFmtId="0" fontId="2" fillId="0" borderId="0" xfId="64" applyNumberFormat="1" applyFont="1"/>
    <xf numFmtId="168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168" fontId="4" fillId="0" borderId="5" xfId="13" applyFont="1" applyBorder="1" applyAlignment="1">
      <alignment horizontal="center"/>
    </xf>
    <xf numFmtId="168" fontId="4" fillId="0" borderId="6" xfId="13" applyFont="1" applyBorder="1" applyAlignment="1">
      <alignment horizontal="center"/>
    </xf>
    <xf numFmtId="0" fontId="3" fillId="6" borderId="5" xfId="0" applyFont="1" applyFill="1" applyBorder="1"/>
    <xf numFmtId="168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168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168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168" fontId="4" fillId="36" borderId="6" xfId="13" applyFont="1" applyFill="1" applyBorder="1" applyAlignment="1">
      <alignment horizontal="center"/>
    </xf>
    <xf numFmtId="168" fontId="3" fillId="36" borderId="5" xfId="13" applyFont="1" applyFill="1" applyBorder="1" applyAlignment="1">
      <alignment horizontal="center"/>
    </xf>
    <xf numFmtId="168" fontId="41" fillId="36" borderId="6" xfId="13" applyFont="1" applyFill="1" applyBorder="1" applyAlignment="1">
      <alignment horizontal="center"/>
    </xf>
    <xf numFmtId="168" fontId="18" fillId="36" borderId="41" xfId="13" applyFont="1" applyFill="1" applyBorder="1" applyAlignment="1">
      <alignment horizontal="center"/>
    </xf>
    <xf numFmtId="168" fontId="18" fillId="0" borderId="6" xfId="13" applyFont="1" applyFill="1" applyBorder="1" applyAlignment="1">
      <alignment horizontal="center"/>
    </xf>
    <xf numFmtId="168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168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168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168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168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69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69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4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4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4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4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44" fontId="4" fillId="39" borderId="8" xfId="1" applyFont="1" applyFill="1" applyBorder="1" applyAlignment="1">
      <alignment horizontal="left"/>
    </xf>
    <xf numFmtId="0" fontId="0" fillId="38" borderId="23" xfId="0" applyFill="1" applyBorder="1"/>
    <xf numFmtId="4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4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4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168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7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4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69" fontId="7" fillId="36" borderId="27" xfId="45" applyFont="1" applyFill="1" applyBorder="1" applyAlignment="1">
      <alignment horizontal="center"/>
    </xf>
    <xf numFmtId="169" fontId="7" fillId="36" borderId="28" xfId="45" applyFont="1" applyFill="1" applyBorder="1" applyAlignment="1">
      <alignment horizontal="center"/>
    </xf>
    <xf numFmtId="169" fontId="7" fillId="36" borderId="42" xfId="45" applyFont="1" applyFill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</cellXfs>
  <cellStyles count="70">
    <cellStyle name="20% - Accent1 2" xfId="16" xr:uid="{00000000-0005-0000-0000-000000000000}"/>
    <cellStyle name="20% - Accent2 2" xfId="17" xr:uid="{00000000-0005-0000-0000-000001000000}"/>
    <cellStyle name="20% - Accent3 2" xfId="18" xr:uid="{00000000-0005-0000-0000-000002000000}"/>
    <cellStyle name="20% - Accent4 2" xfId="19" xr:uid="{00000000-0005-0000-0000-000003000000}"/>
    <cellStyle name="20% - Accent5 2" xfId="20" xr:uid="{00000000-0005-0000-0000-000004000000}"/>
    <cellStyle name="20% - Accent6 2" xfId="21" xr:uid="{00000000-0005-0000-0000-000005000000}"/>
    <cellStyle name="40% - Accent1 2" xfId="22" xr:uid="{00000000-0005-0000-0000-000006000000}"/>
    <cellStyle name="40% - Accent2 2" xfId="23" xr:uid="{00000000-0005-0000-0000-000007000000}"/>
    <cellStyle name="40% - Accent3 2" xfId="24" xr:uid="{00000000-0005-0000-0000-000008000000}"/>
    <cellStyle name="40% - Accent4 2" xfId="25" xr:uid="{00000000-0005-0000-0000-000009000000}"/>
    <cellStyle name="40% - Accent5 2" xfId="26" xr:uid="{00000000-0005-0000-0000-00000A000000}"/>
    <cellStyle name="40% - Accent6 2" xfId="27" xr:uid="{00000000-0005-0000-0000-00000B000000}"/>
    <cellStyle name="60% - Accent1 2" xfId="28" xr:uid="{00000000-0005-0000-0000-00000C000000}"/>
    <cellStyle name="60% - Accent2 2" xfId="29" xr:uid="{00000000-0005-0000-0000-00000D000000}"/>
    <cellStyle name="60% - Accent3 2" xfId="30" xr:uid="{00000000-0005-0000-0000-00000E000000}"/>
    <cellStyle name="60% - Accent4 2" xfId="31" xr:uid="{00000000-0005-0000-0000-00000F000000}"/>
    <cellStyle name="60% - Accent5 2" xfId="32" xr:uid="{00000000-0005-0000-0000-000010000000}"/>
    <cellStyle name="60% - Accent6 2" xfId="33" xr:uid="{00000000-0005-0000-0000-000011000000}"/>
    <cellStyle name="Accent1 2" xfId="34" xr:uid="{00000000-0005-0000-0000-000012000000}"/>
    <cellStyle name="Accent2 2" xfId="35" xr:uid="{00000000-0005-0000-0000-000013000000}"/>
    <cellStyle name="Accent3 2" xfId="36" xr:uid="{00000000-0005-0000-0000-000014000000}"/>
    <cellStyle name="Accent4 2" xfId="37" xr:uid="{00000000-0005-0000-0000-000015000000}"/>
    <cellStyle name="Accent5 2" xfId="38" xr:uid="{00000000-0005-0000-0000-000016000000}"/>
    <cellStyle name="Accent6 2" xfId="39" xr:uid="{00000000-0005-0000-0000-000017000000}"/>
    <cellStyle name="Bad 2" xfId="40" xr:uid="{00000000-0005-0000-0000-000018000000}"/>
    <cellStyle name="Calculation 2" xfId="41" xr:uid="{00000000-0005-0000-0000-000019000000}"/>
    <cellStyle name="Check Cell 2" xfId="42" xr:uid="{00000000-0005-0000-0000-00001A000000}"/>
    <cellStyle name="Comma" xfId="2" builtinId="3"/>
    <cellStyle name="Currency" xfId="1" builtinId="4"/>
    <cellStyle name="Currency 2" xfId="43" xr:uid="{00000000-0005-0000-0000-00001C000000}"/>
    <cellStyle name="Currency 3" xfId="13" xr:uid="{00000000-0005-0000-0000-000053000000}"/>
    <cellStyle name="Description" xfId="44" xr:uid="{00000000-0005-0000-0000-00001D000000}"/>
    <cellStyle name="Euro" xfId="45" xr:uid="{00000000-0005-0000-0000-00001E000000}"/>
    <cellStyle name="Euro 2" xfId="46" xr:uid="{00000000-0005-0000-0000-00001F000000}"/>
    <cellStyle name="Explanatory Text 2" xfId="47" xr:uid="{00000000-0005-0000-0000-000020000000}"/>
    <cellStyle name="Good 2" xfId="48" xr:uid="{00000000-0005-0000-0000-000021000000}"/>
    <cellStyle name="Heading 1 2" xfId="49" xr:uid="{00000000-0005-0000-0000-000022000000}"/>
    <cellStyle name="Heading 2 2" xfId="50" xr:uid="{00000000-0005-0000-0000-000023000000}"/>
    <cellStyle name="Heading 3 2" xfId="51" xr:uid="{00000000-0005-0000-0000-000024000000}"/>
    <cellStyle name="Heading 4 2" xfId="52" xr:uid="{00000000-0005-0000-0000-000025000000}"/>
    <cellStyle name="Hyperlink" xfId="69" builtinId="8"/>
    <cellStyle name="Input 2" xfId="53" xr:uid="{00000000-0005-0000-0000-000026000000}"/>
    <cellStyle name="Linked Cell 2" xfId="54" xr:uid="{00000000-0005-0000-0000-000027000000}"/>
    <cellStyle name="Neutral 2" xfId="55" xr:uid="{00000000-0005-0000-0000-000028000000}"/>
    <cellStyle name="Normal" xfId="0" builtinId="0"/>
    <cellStyle name="Normal 10" xfId="68" xr:uid="{00000000-0005-0000-0000-00006D000000}"/>
    <cellStyle name="Normal 11" xfId="5" xr:uid="{00000000-0005-0000-0000-000003000000}"/>
    <cellStyle name="Normal 12" xfId="67" xr:uid="{00000000-0005-0000-0000-00006E000000}"/>
    <cellStyle name="Normal 13" xfId="65" xr:uid="{00000000-0005-0000-0000-00006F000000}"/>
    <cellStyle name="Normal 14" xfId="66" xr:uid="{00000000-0005-0000-0000-000070000000}"/>
    <cellStyle name="Normal 2" xfId="9" xr:uid="{00000000-0005-0000-0000-000004000000}"/>
    <cellStyle name="Normal 2 2" xfId="14" xr:uid="{00000000-0005-0000-0000-00002A000000}"/>
    <cellStyle name="Normal 3" xfId="4" xr:uid="{00000000-0005-0000-0000-000005000000}"/>
    <cellStyle name="Normal 3 2" xfId="15" xr:uid="{00000000-0005-0000-0000-00002B000000}"/>
    <cellStyle name="Normal 4" xfId="10" xr:uid="{00000000-0005-0000-0000-000006000000}"/>
    <cellStyle name="Normal 5" xfId="11" xr:uid="{00000000-0005-0000-0000-000007000000}"/>
    <cellStyle name="Normal 6" xfId="8" xr:uid="{00000000-0005-0000-0000-000008000000}"/>
    <cellStyle name="Normal 7" xfId="3" xr:uid="{00000000-0005-0000-0000-000009000000}"/>
    <cellStyle name="Normal 8" xfId="12" xr:uid="{00000000-0005-0000-0000-000061000000}"/>
    <cellStyle name="Normal 9" xfId="64" xr:uid="{00000000-0005-0000-0000-00006C000000}"/>
    <cellStyle name="Normal_BM-CHINA" xfId="7" xr:uid="{00000000-0005-0000-0000-00000A000000}"/>
    <cellStyle name="Normal_JDE Pricing 11.5.08" xfId="6" xr:uid="{00000000-0005-0000-0000-00000B000000}"/>
    <cellStyle name="Note 2" xfId="56" xr:uid="{00000000-0005-0000-0000-00002C000000}"/>
    <cellStyle name="Numbers" xfId="57" xr:uid="{00000000-0005-0000-0000-00002D000000}"/>
    <cellStyle name="Order Factor" xfId="58" xr:uid="{00000000-0005-0000-0000-00002E000000}"/>
    <cellStyle name="Output 2" xfId="59" xr:uid="{00000000-0005-0000-0000-00002F000000}"/>
    <cellStyle name="SubHeader" xfId="60" xr:uid="{00000000-0005-0000-0000-000031000000}"/>
    <cellStyle name="Title 2" xfId="61" xr:uid="{00000000-0005-0000-0000-000032000000}"/>
    <cellStyle name="Total 2" xfId="62" xr:uid="{00000000-0005-0000-0000-000033000000}"/>
    <cellStyle name="Warning Text 2" xfId="63" xr:uid="{00000000-0005-0000-0000-000034000000}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44</xdr:row>
          <xdr:rowOff>31750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47</xdr:row>
          <xdr:rowOff>12700</xdr:rowOff>
        </xdr:from>
        <xdr:to>
          <xdr:col>9</xdr:col>
          <xdr:colOff>285750</xdr:colOff>
          <xdr:row>151</xdr:row>
          <xdr:rowOff>50800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144</xdr:row>
          <xdr:rowOff>12700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153</xdr:row>
          <xdr:rowOff>12700</xdr:rowOff>
        </xdr:from>
        <xdr:to>
          <xdr:col>9</xdr:col>
          <xdr:colOff>285750</xdr:colOff>
          <xdr:row>296</xdr:row>
          <xdr:rowOff>31750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205</xdr:row>
          <xdr:rowOff>12700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107950</xdr:rowOff>
        </xdr:from>
        <xdr:to>
          <xdr:col>9</xdr:col>
          <xdr:colOff>298450</xdr:colOff>
          <xdr:row>336</xdr:row>
          <xdr:rowOff>222250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10</xdr:row>
          <xdr:rowOff>31750</xdr:rowOff>
        </xdr:from>
        <xdr:to>
          <xdr:col>0</xdr:col>
          <xdr:colOff>927100</xdr:colOff>
          <xdr:row>11</xdr:row>
          <xdr:rowOff>50800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107950</xdr:rowOff>
        </xdr:from>
        <xdr:to>
          <xdr:col>0</xdr:col>
          <xdr:colOff>914400</xdr:colOff>
          <xdr:row>12</xdr:row>
          <xdr:rowOff>165100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488950</xdr:colOff>
          <xdr:row>10</xdr:row>
          <xdr:rowOff>0</xdr:rowOff>
        </xdr:from>
        <xdr:to>
          <xdr:col>6</xdr:col>
          <xdr:colOff>19050</xdr:colOff>
          <xdr:row>10</xdr:row>
          <xdr:rowOff>184150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127000</xdr:rowOff>
        </xdr:from>
        <xdr:to>
          <xdr:col>6</xdr:col>
          <xdr:colOff>0</xdr:colOff>
          <xdr:row>13</xdr:row>
          <xdr:rowOff>12700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88900</xdr:colOff>
          <xdr:row>391</xdr:row>
          <xdr:rowOff>50800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88900</xdr:colOff>
          <xdr:row>423</xdr:row>
          <xdr:rowOff>50800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336550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336550</xdr:colOff>
          <xdr:row>8</xdr:row>
          <xdr:rowOff>69850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336550</xdr:colOff>
          <xdr:row>17</xdr:row>
          <xdr:rowOff>69850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336550</xdr:colOff>
          <xdr:row>27</xdr:row>
          <xdr:rowOff>69850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355600</xdr:colOff>
          <xdr:row>20</xdr:row>
          <xdr:rowOff>165100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146050</xdr:colOff>
          <xdr:row>28</xdr:row>
          <xdr:rowOff>114300</xdr:rowOff>
        </xdr:from>
        <xdr:to>
          <xdr:col>9</xdr:col>
          <xdr:colOff>304800</xdr:colOff>
          <xdr:row>30</xdr:row>
          <xdr:rowOff>31750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1555750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5</xdr:row>
          <xdr:rowOff>152400</xdr:rowOff>
        </xdr:from>
        <xdr:to>
          <xdr:col>9</xdr:col>
          <xdr:colOff>571500</xdr:colOff>
          <xdr:row>7</xdr:row>
          <xdr:rowOff>69850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8</xdr:row>
          <xdr:rowOff>165100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17</xdr:row>
          <xdr:rowOff>152400</xdr:rowOff>
        </xdr:from>
        <xdr:to>
          <xdr:col>9</xdr:col>
          <xdr:colOff>571500</xdr:colOff>
          <xdr:row>19</xdr:row>
          <xdr:rowOff>69850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20</xdr:row>
          <xdr:rowOff>165100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28</xdr:row>
          <xdr:rowOff>152400</xdr:rowOff>
        </xdr:from>
        <xdr:to>
          <xdr:col>9</xdr:col>
          <xdr:colOff>571500</xdr:colOff>
          <xdr:row>30</xdr:row>
          <xdr:rowOff>69850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31</xdr:row>
          <xdr:rowOff>165100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40</xdr:row>
          <xdr:rowOff>152400</xdr:rowOff>
        </xdr:from>
        <xdr:to>
          <xdr:col>9</xdr:col>
          <xdr:colOff>571500</xdr:colOff>
          <xdr:row>42</xdr:row>
          <xdr:rowOff>69850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43</xdr:row>
          <xdr:rowOff>165100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46</xdr:row>
          <xdr:rowOff>152400</xdr:rowOff>
        </xdr:from>
        <xdr:to>
          <xdr:col>9</xdr:col>
          <xdr:colOff>571500</xdr:colOff>
          <xdr:row>48</xdr:row>
          <xdr:rowOff>69850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49</xdr:row>
          <xdr:rowOff>165100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52</xdr:row>
          <xdr:rowOff>152400</xdr:rowOff>
        </xdr:from>
        <xdr:to>
          <xdr:col>9</xdr:col>
          <xdr:colOff>571500</xdr:colOff>
          <xdr:row>54</xdr:row>
          <xdr:rowOff>69850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55</xdr:row>
          <xdr:rowOff>165100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59</xdr:row>
          <xdr:rowOff>152400</xdr:rowOff>
        </xdr:from>
        <xdr:to>
          <xdr:col>9</xdr:col>
          <xdr:colOff>571500</xdr:colOff>
          <xdr:row>61</xdr:row>
          <xdr:rowOff>69850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62</xdr:row>
          <xdr:rowOff>165100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72</xdr:row>
          <xdr:rowOff>152400</xdr:rowOff>
        </xdr:from>
        <xdr:to>
          <xdr:col>9</xdr:col>
          <xdr:colOff>571500</xdr:colOff>
          <xdr:row>74</xdr:row>
          <xdr:rowOff>69850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75</xdr:row>
          <xdr:rowOff>165100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412750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88</xdr:row>
          <xdr:rowOff>152400</xdr:rowOff>
        </xdr:from>
        <xdr:to>
          <xdr:col>9</xdr:col>
          <xdr:colOff>571500</xdr:colOff>
          <xdr:row>90</xdr:row>
          <xdr:rowOff>69850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92</xdr:row>
          <xdr:rowOff>165100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431800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7</xdr:row>
          <xdr:rowOff>57150</xdr:rowOff>
        </xdr:from>
        <xdr:to>
          <xdr:col>10</xdr:col>
          <xdr:colOff>0</xdr:colOff>
          <xdr:row>8</xdr:row>
          <xdr:rowOff>165100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584200</xdr:colOff>
          <xdr:row>15</xdr:row>
          <xdr:rowOff>69850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546100</xdr:colOff>
          <xdr:row>12</xdr:row>
          <xdr:rowOff>165100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3</xdr:row>
          <xdr:rowOff>152400</xdr:rowOff>
        </xdr:from>
        <xdr:to>
          <xdr:col>11</xdr:col>
          <xdr:colOff>1847850</xdr:colOff>
          <xdr:row>5</xdr:row>
          <xdr:rowOff>69850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12700</xdr:rowOff>
        </xdr:from>
        <xdr:to>
          <xdr:col>12</xdr:col>
          <xdr:colOff>1670050</xdr:colOff>
          <xdr:row>4</xdr:row>
          <xdr:rowOff>107950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279400</xdr:colOff>
          <xdr:row>3</xdr:row>
          <xdr:rowOff>31750</xdr:rowOff>
        </xdr:from>
        <xdr:to>
          <xdr:col>12</xdr:col>
          <xdr:colOff>1638300</xdr:colOff>
          <xdr:row>4</xdr:row>
          <xdr:rowOff>107950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546100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146050</xdr:rowOff>
        </xdr:from>
        <xdr:to>
          <xdr:col>10</xdr:col>
          <xdr:colOff>50800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50800</xdr:colOff>
          <xdr:row>9</xdr:row>
          <xdr:rowOff>69850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527050</xdr:colOff>
          <xdr:row>23</xdr:row>
          <xdr:rowOff>152400</xdr:rowOff>
        </xdr:from>
        <xdr:to>
          <xdr:col>10</xdr:col>
          <xdr:colOff>69850</xdr:colOff>
          <xdr:row>25</xdr:row>
          <xdr:rowOff>69850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527050</xdr:colOff>
          <xdr:row>26</xdr:row>
          <xdr:rowOff>165100</xdr:rowOff>
        </xdr:from>
        <xdr:to>
          <xdr:col>10</xdr:col>
          <xdr:colOff>69850</xdr:colOff>
          <xdr:row>28</xdr:row>
          <xdr:rowOff>69850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527050</xdr:colOff>
          <xdr:row>31</xdr:row>
          <xdr:rowOff>50800</xdr:rowOff>
        </xdr:from>
        <xdr:to>
          <xdr:col>10</xdr:col>
          <xdr:colOff>69850</xdr:colOff>
          <xdr:row>32</xdr:row>
          <xdr:rowOff>146050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527050</xdr:colOff>
          <xdr:row>34</xdr:row>
          <xdr:rowOff>50800</xdr:rowOff>
        </xdr:from>
        <xdr:to>
          <xdr:col>10</xdr:col>
          <xdr:colOff>69850</xdr:colOff>
          <xdr:row>35</xdr:row>
          <xdr:rowOff>146050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39</xdr:row>
          <xdr:rowOff>133350</xdr:rowOff>
        </xdr:from>
        <xdr:to>
          <xdr:col>10</xdr:col>
          <xdr:colOff>38100</xdr:colOff>
          <xdr:row>41</xdr:row>
          <xdr:rowOff>50800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42</xdr:row>
          <xdr:rowOff>146050</xdr:rowOff>
        </xdr:from>
        <xdr:to>
          <xdr:col>10</xdr:col>
          <xdr:colOff>38100</xdr:colOff>
          <xdr:row>44</xdr:row>
          <xdr:rowOff>50800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49</xdr:row>
          <xdr:rowOff>133350</xdr:rowOff>
        </xdr:from>
        <xdr:to>
          <xdr:col>10</xdr:col>
          <xdr:colOff>38100</xdr:colOff>
          <xdr:row>51</xdr:row>
          <xdr:rowOff>50800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52</xdr:row>
          <xdr:rowOff>165100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57</xdr:row>
          <xdr:rowOff>133350</xdr:rowOff>
        </xdr:from>
        <xdr:to>
          <xdr:col>10</xdr:col>
          <xdr:colOff>38100</xdr:colOff>
          <xdr:row>59</xdr:row>
          <xdr:rowOff>50800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60</xdr:row>
          <xdr:rowOff>146050</xdr:rowOff>
        </xdr:from>
        <xdr:to>
          <xdr:col>10</xdr:col>
          <xdr:colOff>38100</xdr:colOff>
          <xdr:row>62</xdr:row>
          <xdr:rowOff>50800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66</xdr:row>
          <xdr:rowOff>133350</xdr:rowOff>
        </xdr:from>
        <xdr:to>
          <xdr:col>10</xdr:col>
          <xdr:colOff>38100</xdr:colOff>
          <xdr:row>68</xdr:row>
          <xdr:rowOff>50800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68</xdr:row>
          <xdr:rowOff>12700</xdr:rowOff>
        </xdr:from>
        <xdr:to>
          <xdr:col>10</xdr:col>
          <xdr:colOff>31750</xdr:colOff>
          <xdr:row>69</xdr:row>
          <xdr:rowOff>107950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73</xdr:row>
          <xdr:rowOff>133350</xdr:rowOff>
        </xdr:from>
        <xdr:to>
          <xdr:col>10</xdr:col>
          <xdr:colOff>38100</xdr:colOff>
          <xdr:row>75</xdr:row>
          <xdr:rowOff>50800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69850</xdr:rowOff>
        </xdr:from>
        <xdr:to>
          <xdr:col>10</xdr:col>
          <xdr:colOff>12700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469900</xdr:colOff>
          <xdr:row>79</xdr:row>
          <xdr:rowOff>88900</xdr:rowOff>
        </xdr:from>
        <xdr:to>
          <xdr:col>10</xdr:col>
          <xdr:colOff>12700</xdr:colOff>
          <xdr:row>80</xdr:row>
          <xdr:rowOff>184150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81</xdr:row>
          <xdr:rowOff>19050</xdr:rowOff>
        </xdr:from>
        <xdr:to>
          <xdr:col>10</xdr:col>
          <xdr:colOff>31750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89</xdr:row>
          <xdr:rowOff>133350</xdr:rowOff>
        </xdr:from>
        <xdr:to>
          <xdr:col>10</xdr:col>
          <xdr:colOff>38100</xdr:colOff>
          <xdr:row>91</xdr:row>
          <xdr:rowOff>50800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488950</xdr:colOff>
          <xdr:row>91</xdr:row>
          <xdr:rowOff>31750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146050</xdr:rowOff>
        </xdr:from>
        <xdr:to>
          <xdr:col>10</xdr:col>
          <xdr:colOff>31750</xdr:colOff>
          <xdr:row>95</xdr:row>
          <xdr:rowOff>50800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469900</xdr:colOff>
          <xdr:row>95</xdr:row>
          <xdr:rowOff>19050</xdr:rowOff>
        </xdr:from>
        <xdr:to>
          <xdr:col>10</xdr:col>
          <xdr:colOff>12700</xdr:colOff>
          <xdr:row>96</xdr:row>
          <xdr:rowOff>107950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431800</xdr:colOff>
          <xdr:row>84</xdr:row>
          <xdr:rowOff>57150</xdr:rowOff>
        </xdr:from>
        <xdr:to>
          <xdr:col>9</xdr:col>
          <xdr:colOff>584200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584200</xdr:colOff>
          <xdr:row>86</xdr:row>
          <xdr:rowOff>165100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69850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165100</xdr:rowOff>
        </xdr:from>
        <xdr:to>
          <xdr:col>11</xdr:col>
          <xdr:colOff>171450</xdr:colOff>
          <xdr:row>10</xdr:row>
          <xdr:rowOff>69850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69850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165100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69850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165100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374650</xdr:colOff>
          <xdr:row>2</xdr:row>
          <xdr:rowOff>152400</xdr:rowOff>
        </xdr:from>
        <xdr:to>
          <xdr:col>12</xdr:col>
          <xdr:colOff>1066800</xdr:colOff>
          <xdr:row>4</xdr:row>
          <xdr:rowOff>69850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279400</xdr:colOff>
          <xdr:row>2</xdr:row>
          <xdr:rowOff>127000</xdr:rowOff>
        </xdr:from>
        <xdr:to>
          <xdr:col>7</xdr:col>
          <xdr:colOff>1670050</xdr:colOff>
          <xdr:row>4</xdr:row>
          <xdr:rowOff>50800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18</xdr:row>
          <xdr:rowOff>152400</xdr:rowOff>
        </xdr:from>
        <xdr:to>
          <xdr:col>11</xdr:col>
          <xdr:colOff>12700</xdr:colOff>
          <xdr:row>20</xdr:row>
          <xdr:rowOff>69850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21</xdr:row>
          <xdr:rowOff>165100</xdr:rowOff>
        </xdr:from>
        <xdr:to>
          <xdr:col>11</xdr:col>
          <xdr:colOff>12700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31</xdr:row>
          <xdr:rowOff>152400</xdr:rowOff>
        </xdr:from>
        <xdr:to>
          <xdr:col>11</xdr:col>
          <xdr:colOff>12700</xdr:colOff>
          <xdr:row>33</xdr:row>
          <xdr:rowOff>69850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34</xdr:row>
          <xdr:rowOff>165100</xdr:rowOff>
        </xdr:from>
        <xdr:to>
          <xdr:col>11</xdr:col>
          <xdr:colOff>12700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46</xdr:row>
          <xdr:rowOff>152400</xdr:rowOff>
        </xdr:from>
        <xdr:to>
          <xdr:col>11</xdr:col>
          <xdr:colOff>12700</xdr:colOff>
          <xdr:row>48</xdr:row>
          <xdr:rowOff>69850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49</xdr:row>
          <xdr:rowOff>165100</xdr:rowOff>
        </xdr:from>
        <xdr:to>
          <xdr:col>11</xdr:col>
          <xdr:colOff>12700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2</xdr:row>
          <xdr:rowOff>171450</xdr:rowOff>
        </xdr:from>
        <xdr:to>
          <xdr:col>11</xdr:col>
          <xdr:colOff>1536700</xdr:colOff>
          <xdr:row>4</xdr:row>
          <xdr:rowOff>88900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508000</xdr:colOff>
          <xdr:row>3</xdr:row>
          <xdr:rowOff>0</xdr:rowOff>
        </xdr:from>
        <xdr:to>
          <xdr:col>10</xdr:col>
          <xdr:colOff>355600</xdr:colOff>
          <xdr:row>4</xdr:row>
          <xdr:rowOff>107950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7</xdr:row>
          <xdr:rowOff>127000</xdr:rowOff>
        </xdr:from>
        <xdr:to>
          <xdr:col>11</xdr:col>
          <xdr:colOff>88900</xdr:colOff>
          <xdr:row>9</xdr:row>
          <xdr:rowOff>31750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12700</xdr:rowOff>
        </xdr:from>
        <xdr:to>
          <xdr:col>12</xdr:col>
          <xdr:colOff>1670050</xdr:colOff>
          <xdr:row>4</xdr:row>
          <xdr:rowOff>107950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3</xdr:row>
          <xdr:rowOff>184150</xdr:rowOff>
        </xdr:from>
        <xdr:to>
          <xdr:col>9</xdr:col>
          <xdr:colOff>514350</xdr:colOff>
          <xdr:row>5</xdr:row>
          <xdr:rowOff>88900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6</xdr:row>
          <xdr:rowOff>184150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336550</xdr:colOff>
          <xdr:row>11</xdr:row>
          <xdr:rowOff>0</xdr:rowOff>
        </xdr:from>
        <xdr:to>
          <xdr:col>9</xdr:col>
          <xdr:colOff>488950</xdr:colOff>
          <xdr:row>12</xdr:row>
          <xdr:rowOff>107950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336550</xdr:colOff>
          <xdr:row>14</xdr:row>
          <xdr:rowOff>12700</xdr:rowOff>
        </xdr:from>
        <xdr:to>
          <xdr:col>9</xdr:col>
          <xdr:colOff>488950</xdr:colOff>
          <xdr:row>15</xdr:row>
          <xdr:rowOff>107950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19</xdr:row>
          <xdr:rowOff>146050</xdr:rowOff>
        </xdr:from>
        <xdr:to>
          <xdr:col>9</xdr:col>
          <xdr:colOff>603250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22</xdr:row>
          <xdr:rowOff>152400</xdr:rowOff>
        </xdr:from>
        <xdr:to>
          <xdr:col>9</xdr:col>
          <xdr:colOff>603250</xdr:colOff>
          <xdr:row>24</xdr:row>
          <xdr:rowOff>69850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603250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88900</xdr:rowOff>
        </xdr:from>
        <xdr:to>
          <xdr:col>9</xdr:col>
          <xdr:colOff>603250</xdr:colOff>
          <xdr:row>32</xdr:row>
          <xdr:rowOff>184150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36</xdr:row>
          <xdr:rowOff>171450</xdr:rowOff>
        </xdr:from>
        <xdr:to>
          <xdr:col>9</xdr:col>
          <xdr:colOff>603250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39</xdr:row>
          <xdr:rowOff>31750</xdr:rowOff>
        </xdr:from>
        <xdr:to>
          <xdr:col>9</xdr:col>
          <xdr:colOff>603250</xdr:colOff>
          <xdr:row>40</xdr:row>
          <xdr:rowOff>127000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44</xdr:row>
          <xdr:rowOff>146050</xdr:rowOff>
        </xdr:from>
        <xdr:to>
          <xdr:col>9</xdr:col>
          <xdr:colOff>603250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450850</xdr:colOff>
          <xdr:row>47</xdr:row>
          <xdr:rowOff>152400</xdr:rowOff>
        </xdr:from>
        <xdr:to>
          <xdr:col>9</xdr:col>
          <xdr:colOff>603250</xdr:colOff>
          <xdr:row>49</xdr:row>
          <xdr:rowOff>69850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298450</xdr:colOff>
          <xdr:row>0</xdr:row>
          <xdr:rowOff>88900</xdr:rowOff>
        </xdr:from>
        <xdr:to>
          <xdr:col>8</xdr:col>
          <xdr:colOff>298450</xdr:colOff>
          <xdr:row>1</xdr:row>
          <xdr:rowOff>88900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336550</xdr:colOff>
          <xdr:row>0</xdr:row>
          <xdr:rowOff>76200</xdr:rowOff>
        </xdr:from>
        <xdr:to>
          <xdr:col>9</xdr:col>
          <xdr:colOff>260350</xdr:colOff>
          <xdr:row>1</xdr:row>
          <xdr:rowOff>69850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0</xdr:row>
          <xdr:rowOff>88900</xdr:rowOff>
        </xdr:from>
        <xdr:to>
          <xdr:col>11</xdr:col>
          <xdr:colOff>508000</xdr:colOff>
          <xdr:row>2</xdr:row>
          <xdr:rowOff>107950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298450</xdr:colOff>
          <xdr:row>0</xdr:row>
          <xdr:rowOff>88900</xdr:rowOff>
        </xdr:from>
        <xdr:to>
          <xdr:col>8</xdr:col>
          <xdr:colOff>298450</xdr:colOff>
          <xdr:row>1</xdr:row>
          <xdr:rowOff>88900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336550</xdr:colOff>
          <xdr:row>0</xdr:row>
          <xdr:rowOff>76200</xdr:rowOff>
        </xdr:from>
        <xdr:to>
          <xdr:col>9</xdr:col>
          <xdr:colOff>260350</xdr:colOff>
          <xdr:row>1</xdr:row>
          <xdr:rowOff>69850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298450</xdr:colOff>
          <xdr:row>0</xdr:row>
          <xdr:rowOff>88900</xdr:rowOff>
        </xdr:from>
        <xdr:to>
          <xdr:col>8</xdr:col>
          <xdr:colOff>298450</xdr:colOff>
          <xdr:row>1</xdr:row>
          <xdr:rowOff>88900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12700</xdr:rowOff>
        </xdr:from>
        <xdr:to>
          <xdr:col>6</xdr:col>
          <xdr:colOff>222250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22</xdr:row>
          <xdr:rowOff>12700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119</xdr:row>
          <xdr:rowOff>12700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128</xdr:row>
          <xdr:rowOff>12700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180</xdr:row>
          <xdr:rowOff>12700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107950</xdr:rowOff>
        </xdr:from>
        <xdr:to>
          <xdr:col>4</xdr:col>
          <xdr:colOff>298450</xdr:colOff>
          <xdr:row>273</xdr:row>
          <xdr:rowOff>146050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313</xdr:row>
          <xdr:rowOff>0</xdr:rowOff>
        </xdr:from>
        <xdr:to>
          <xdr:col>4</xdr:col>
          <xdr:colOff>285750</xdr:colOff>
          <xdr:row>314</xdr:row>
          <xdr:rowOff>50800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10</xdr:row>
          <xdr:rowOff>31750</xdr:rowOff>
        </xdr:from>
        <xdr:to>
          <xdr:col>0</xdr:col>
          <xdr:colOff>927100</xdr:colOff>
          <xdr:row>11</xdr:row>
          <xdr:rowOff>50800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107950</xdr:rowOff>
        </xdr:from>
        <xdr:to>
          <xdr:col>0</xdr:col>
          <xdr:colOff>914400</xdr:colOff>
          <xdr:row>12</xdr:row>
          <xdr:rowOff>165100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93857fe249531ea/Documents/Dairy/listas%20de%20precios/2023/Septiembre/base%2009.2023.xlsx" TargetMode="External"/><Relationship Id="rId1" Type="http://schemas.openxmlformats.org/officeDocument/2006/relationships/externalLinkPath" Target="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8DA2-3262-4AFE-BCA8-2E880DEFD1EA}">
  <sheetPr codeName="Sheet9">
    <pageSetUpPr fitToPage="1"/>
  </sheetPr>
  <dimension ref="A2:L386"/>
  <sheetViews>
    <sheetView topLeftCell="A144" zoomScale="85" zoomScaleNormal="85" workbookViewId="0">
      <selection activeCell="A329" sqref="A329:D329"/>
    </sheetView>
  </sheetViews>
  <sheetFormatPr defaultColWidth="8.7265625" defaultRowHeight="14.5" x14ac:dyDescent="0.35"/>
  <cols>
    <col min="1" max="1" width="13.1796875" customWidth="1"/>
    <col min="2" max="2" width="77.54296875" bestFit="1" customWidth="1"/>
    <col min="3" max="3" width="5.81640625" bestFit="1" customWidth="1"/>
    <col min="4" max="4" width="8.26953125" style="87" bestFit="1" customWidth="1"/>
    <col min="5" max="5" width="12.7265625" style="87" customWidth="1"/>
    <col min="10" max="10" width="31.26953125" bestFit="1" customWidth="1"/>
  </cols>
  <sheetData>
    <row r="2" spans="1:5" x14ac:dyDescent="0.35">
      <c r="A2" s="160"/>
      <c r="B2" s="160"/>
      <c r="C2" s="160"/>
      <c r="D2" s="245"/>
      <c r="E2" s="245"/>
    </row>
    <row r="3" spans="1:5" x14ac:dyDescent="0.35">
      <c r="A3" s="160"/>
      <c r="B3" s="161" t="s">
        <v>1883</v>
      </c>
      <c r="C3" s="160"/>
      <c r="D3" s="245"/>
      <c r="E3" s="245"/>
    </row>
    <row r="4" spans="1:5" x14ac:dyDescent="0.35">
      <c r="A4" s="160"/>
      <c r="B4" s="161" t="s">
        <v>1884</v>
      </c>
      <c r="C4" s="160"/>
      <c r="D4" s="245"/>
      <c r="E4" s="245"/>
    </row>
    <row r="5" spans="1:5" x14ac:dyDescent="0.35">
      <c r="A5" s="160"/>
      <c r="B5" s="160"/>
      <c r="C5" s="160"/>
      <c r="D5" s="245"/>
      <c r="E5" s="245"/>
    </row>
    <row r="6" spans="1:5" x14ac:dyDescent="0.35">
      <c r="A6" s="160"/>
      <c r="B6" s="160"/>
      <c r="C6" s="160"/>
      <c r="D6" s="245"/>
      <c r="E6" s="245"/>
    </row>
    <row r="7" spans="1:5" x14ac:dyDescent="0.35">
      <c r="A7" s="160"/>
      <c r="B7" s="160"/>
      <c r="C7" s="160"/>
      <c r="D7" s="245"/>
      <c r="E7" s="245"/>
    </row>
    <row r="8" spans="1:5" x14ac:dyDescent="0.35">
      <c r="A8" s="160"/>
      <c r="B8" s="160"/>
      <c r="C8" s="160"/>
      <c r="D8" s="245"/>
      <c r="E8" s="245"/>
    </row>
    <row r="9" spans="1:5" x14ac:dyDescent="0.35">
      <c r="A9" s="441" t="s">
        <v>1885</v>
      </c>
      <c r="B9" s="442"/>
      <c r="C9" s="442"/>
      <c r="D9" s="442"/>
      <c r="E9" s="443"/>
    </row>
    <row r="10" spans="1:5" x14ac:dyDescent="0.3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3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3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3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35">
      <c r="A14" s="444" t="s">
        <v>1889</v>
      </c>
      <c r="B14" s="445"/>
      <c r="C14" s="445"/>
      <c r="D14" s="445"/>
      <c r="E14" s="446"/>
    </row>
    <row r="15" spans="1:5" x14ac:dyDescent="0.35">
      <c r="A15" s="164"/>
      <c r="B15" s="164"/>
      <c r="C15" s="164"/>
      <c r="D15" s="248"/>
      <c r="E15" s="248"/>
    </row>
    <row r="16" spans="1:5" x14ac:dyDescent="0.3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3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3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35">
      <c r="A19" s="447" t="s">
        <v>1890</v>
      </c>
      <c r="B19" s="448"/>
      <c r="C19" s="448"/>
      <c r="D19" s="448"/>
      <c r="E19" s="449"/>
    </row>
    <row r="20" spans="1:10" x14ac:dyDescent="0.35">
      <c r="A20" s="164"/>
      <c r="B20" s="164"/>
      <c r="C20" s="164"/>
      <c r="D20" s="248"/>
      <c r="E20" s="248"/>
      <c r="J20" t="s">
        <v>1837</v>
      </c>
    </row>
    <row r="21" spans="1:10" x14ac:dyDescent="0.3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3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3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3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3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3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35">
      <c r="A27" s="447" t="s">
        <v>1891</v>
      </c>
      <c r="B27" s="448"/>
      <c r="C27" s="448"/>
      <c r="D27" s="448"/>
      <c r="E27" s="449"/>
    </row>
    <row r="28" spans="1:10" x14ac:dyDescent="0.35">
      <c r="A28" s="166"/>
      <c r="B28" s="167"/>
      <c r="C28" s="167"/>
      <c r="D28" s="249"/>
      <c r="E28" s="250"/>
    </row>
    <row r="29" spans="1:10" x14ac:dyDescent="0.3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35">
      <c r="A30" s="163"/>
      <c r="B30" s="164"/>
      <c r="C30" s="163"/>
      <c r="D30" s="247"/>
      <c r="E30" s="247"/>
    </row>
    <row r="31" spans="1:10" x14ac:dyDescent="0.3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3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35">
      <c r="A33" s="163"/>
      <c r="B33" s="164"/>
      <c r="C33" s="163"/>
      <c r="D33" s="247"/>
      <c r="E33" s="247"/>
    </row>
    <row r="34" spans="1:5" x14ac:dyDescent="0.3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3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3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3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35">
      <c r="A38" s="163"/>
      <c r="B38" s="164"/>
      <c r="C38" s="164"/>
      <c r="D38" s="248"/>
      <c r="E38" s="248"/>
    </row>
    <row r="39" spans="1:5" x14ac:dyDescent="0.3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3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3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35">
      <c r="A42" s="450" t="s">
        <v>1892</v>
      </c>
      <c r="B42" s="450"/>
      <c r="C42" s="450"/>
      <c r="D42" s="450"/>
      <c r="E42" s="450"/>
    </row>
    <row r="43" spans="1:5" x14ac:dyDescent="0.35">
      <c r="A43" s="168"/>
      <c r="B43" s="168"/>
      <c r="C43" s="168"/>
      <c r="D43" s="251"/>
      <c r="E43" s="251"/>
    </row>
    <row r="44" spans="1:5" x14ac:dyDescent="0.3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35">
      <c r="A45" s="168"/>
      <c r="B45" s="168"/>
      <c r="C45" s="168"/>
      <c r="D45" s="251"/>
      <c r="E45" s="251"/>
    </row>
    <row r="46" spans="1:5" x14ac:dyDescent="0.35">
      <c r="A46" s="441" t="s">
        <v>1894</v>
      </c>
      <c r="B46" s="442"/>
      <c r="C46" s="442"/>
      <c r="D46" s="442"/>
      <c r="E46" s="443"/>
    </row>
    <row r="47" spans="1:5" x14ac:dyDescent="0.3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3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3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3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3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3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35">
      <c r="A53" s="454" t="s">
        <v>1900</v>
      </c>
      <c r="B53" s="455"/>
      <c r="C53" s="455"/>
      <c r="D53" s="455"/>
      <c r="E53" s="456"/>
    </row>
    <row r="54" spans="1:5" x14ac:dyDescent="0.35">
      <c r="A54" s="171"/>
      <c r="B54" s="172"/>
      <c r="C54" s="172"/>
      <c r="D54" s="249"/>
      <c r="E54" s="250"/>
    </row>
    <row r="55" spans="1:5" x14ac:dyDescent="0.3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3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3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35">
      <c r="A58" s="173"/>
      <c r="B58" s="164"/>
      <c r="C58" s="163"/>
      <c r="D58" s="247"/>
      <c r="E58" s="247"/>
    </row>
    <row r="59" spans="1:5" x14ac:dyDescent="0.3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3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3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35">
      <c r="A62" s="451"/>
      <c r="B62" s="452"/>
      <c r="C62" s="452"/>
      <c r="D62" s="452"/>
      <c r="E62" s="453"/>
    </row>
    <row r="63" spans="1:5" x14ac:dyDescent="0.3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3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35">
      <c r="A65" s="166"/>
      <c r="B65" s="167"/>
      <c r="C65" s="167"/>
      <c r="D65" s="249"/>
      <c r="E65" s="250"/>
    </row>
    <row r="66" spans="1:5" x14ac:dyDescent="0.35">
      <c r="A66" s="441" t="s">
        <v>1909</v>
      </c>
      <c r="B66" s="442"/>
      <c r="C66" s="442"/>
      <c r="D66" s="442"/>
      <c r="E66" s="443"/>
    </row>
    <row r="67" spans="1:5" x14ac:dyDescent="0.3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3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35">
      <c r="A69" s="447" t="s">
        <v>1910</v>
      </c>
      <c r="B69" s="448"/>
      <c r="C69" s="448"/>
      <c r="D69" s="448"/>
      <c r="E69" s="449"/>
    </row>
    <row r="70" spans="1:5" x14ac:dyDescent="0.35">
      <c r="A70" s="166"/>
      <c r="B70" s="167"/>
      <c r="C70" s="167"/>
      <c r="D70" s="249"/>
      <c r="E70" s="250"/>
    </row>
    <row r="71" spans="1:5" x14ac:dyDescent="0.3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35">
      <c r="A72" s="447" t="s">
        <v>1911</v>
      </c>
      <c r="B72" s="448"/>
      <c r="C72" s="448"/>
      <c r="D72" s="448"/>
      <c r="E72" s="449"/>
    </row>
    <row r="73" spans="1:5" x14ac:dyDescent="0.35">
      <c r="A73" s="166"/>
      <c r="B73" s="167"/>
      <c r="C73" s="167"/>
      <c r="D73" s="249"/>
      <c r="E73" s="250"/>
    </row>
    <row r="74" spans="1:5" x14ac:dyDescent="0.3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35">
      <c r="A75" s="457" t="s">
        <v>1912</v>
      </c>
      <c r="B75" s="458"/>
      <c r="C75" s="458"/>
      <c r="D75" s="458"/>
      <c r="E75" s="459"/>
    </row>
    <row r="76" spans="1:5" x14ac:dyDescent="0.35">
      <c r="A76" s="175"/>
      <c r="B76" s="176"/>
      <c r="C76" s="176"/>
      <c r="D76" s="252"/>
      <c r="E76" s="253"/>
    </row>
    <row r="77" spans="1:5" x14ac:dyDescent="0.3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35">
      <c r="A78" s="164"/>
      <c r="B78" s="165"/>
      <c r="C78" s="164"/>
      <c r="D78" s="247"/>
      <c r="E78" s="247"/>
    </row>
    <row r="79" spans="1:5" x14ac:dyDescent="0.3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3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35">
      <c r="A81" s="163"/>
      <c r="B81" s="165"/>
      <c r="C81" s="163"/>
      <c r="D81" s="247"/>
      <c r="E81" s="247"/>
    </row>
    <row r="82" spans="1:5" x14ac:dyDescent="0.3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3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3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35">
      <c r="A85" s="163"/>
      <c r="B85" s="165"/>
      <c r="C85" s="163"/>
      <c r="D85" s="247"/>
      <c r="E85" s="247"/>
    </row>
    <row r="86" spans="1:5" x14ac:dyDescent="0.3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35">
      <c r="A87" s="160"/>
      <c r="B87" s="160"/>
      <c r="C87" s="160"/>
      <c r="D87" s="245"/>
      <c r="E87" s="245"/>
    </row>
    <row r="88" spans="1:5" x14ac:dyDescent="0.35">
      <c r="A88" s="441" t="s">
        <v>1917</v>
      </c>
      <c r="B88" s="442"/>
      <c r="C88" s="442"/>
      <c r="D88" s="442"/>
      <c r="E88" s="443"/>
    </row>
    <row r="89" spans="1:5" x14ac:dyDescent="0.3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3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5" customHeight="1" x14ac:dyDescent="0.3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35">
      <c r="A92" s="178"/>
      <c r="B92" s="179"/>
      <c r="C92" s="180"/>
      <c r="D92" s="254"/>
      <c r="E92" s="254"/>
    </row>
    <row r="93" spans="1:5" x14ac:dyDescent="0.3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3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3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3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35">
      <c r="A97" s="163"/>
      <c r="B97" s="164"/>
      <c r="C97" s="163"/>
      <c r="D97" s="247"/>
      <c r="E97" s="247"/>
    </row>
    <row r="98" spans="1:5" x14ac:dyDescent="0.3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3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3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35">
      <c r="A101" s="163"/>
      <c r="B101" s="165"/>
      <c r="C101" s="163"/>
      <c r="D101" s="247"/>
      <c r="E101" s="247"/>
    </row>
    <row r="102" spans="1:5" x14ac:dyDescent="0.3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3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3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3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35">
      <c r="A106" s="182"/>
      <c r="B106" s="160"/>
      <c r="C106" s="160"/>
      <c r="D106" s="245"/>
      <c r="E106" s="245"/>
    </row>
    <row r="107" spans="1:5" x14ac:dyDescent="0.3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35">
      <c r="A108" s="160"/>
      <c r="B108" s="160"/>
      <c r="C108" s="160"/>
      <c r="D108" s="245"/>
      <c r="E108" s="245"/>
    </row>
    <row r="109" spans="1:5" x14ac:dyDescent="0.3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3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3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3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3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3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3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35">
      <c r="A116" s="183"/>
      <c r="B116" s="184"/>
      <c r="C116" s="160"/>
      <c r="D116" s="245"/>
      <c r="E116" s="245"/>
    </row>
    <row r="117" spans="1:5" x14ac:dyDescent="0.35">
      <c r="A117" s="441" t="s">
        <v>1928</v>
      </c>
      <c r="B117" s="442"/>
      <c r="C117" s="442"/>
      <c r="D117" s="442"/>
      <c r="E117" s="443"/>
    </row>
    <row r="118" spans="1:5" x14ac:dyDescent="0.3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3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3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35">
      <c r="A121" s="163"/>
      <c r="B121" s="165"/>
      <c r="C121" s="168"/>
      <c r="D121" s="251"/>
      <c r="E121" s="251"/>
    </row>
    <row r="122" spans="1:5" x14ac:dyDescent="0.3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3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3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35">
      <c r="A125" s="163"/>
      <c r="B125" s="165"/>
      <c r="C125" s="168"/>
      <c r="D125" s="251"/>
      <c r="E125" s="251"/>
    </row>
    <row r="126" spans="1:5" x14ac:dyDescent="0.3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3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3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35">
      <c r="A129" s="163"/>
      <c r="B129" s="165"/>
      <c r="C129" s="168"/>
      <c r="D129" s="251"/>
      <c r="E129" s="251"/>
    </row>
    <row r="130" spans="1:5" x14ac:dyDescent="0.3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3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35">
      <c r="A132" s="163"/>
      <c r="B132" s="165"/>
      <c r="C132" s="181"/>
      <c r="D132" s="251"/>
      <c r="E132" s="251"/>
    </row>
    <row r="133" spans="1:5" x14ac:dyDescent="0.3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3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3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35">
      <c r="A136" s="163"/>
      <c r="B136" s="165"/>
      <c r="C136" s="168"/>
      <c r="D136" s="251"/>
      <c r="E136" s="251"/>
    </row>
    <row r="137" spans="1:5" x14ac:dyDescent="0.3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3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3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3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3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35">
      <c r="A142" s="160"/>
      <c r="B142" s="165" t="e">
        <v>#N/A</v>
      </c>
      <c r="C142" s="187"/>
      <c r="D142" s="255"/>
      <c r="E142" s="255"/>
    </row>
    <row r="143" spans="1:5" x14ac:dyDescent="0.35">
      <c r="A143" s="160"/>
      <c r="B143" s="184"/>
      <c r="C143" s="160"/>
      <c r="D143" s="245"/>
      <c r="E143" s="245"/>
    </row>
    <row r="144" spans="1:5" x14ac:dyDescent="0.35">
      <c r="A144" s="441" t="s">
        <v>1941</v>
      </c>
      <c r="B144" s="442"/>
      <c r="C144" s="442"/>
      <c r="D144" s="442"/>
      <c r="E144" s="443"/>
    </row>
    <row r="145" spans="1:5" x14ac:dyDescent="0.3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3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3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3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3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3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3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3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35">
      <c r="A153" s="160"/>
      <c r="B153" s="160"/>
      <c r="C153" s="160"/>
      <c r="D153" s="245"/>
      <c r="E153" s="245"/>
    </row>
    <row r="154" spans="1:5" x14ac:dyDescent="0.35">
      <c r="A154" s="441" t="s">
        <v>1948</v>
      </c>
      <c r="B154" s="442"/>
      <c r="C154" s="442"/>
      <c r="D154" s="442"/>
      <c r="E154" s="443"/>
    </row>
    <row r="155" spans="1:5" x14ac:dyDescent="0.3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3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3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3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3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3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35">
      <c r="A161" s="163"/>
      <c r="B161" s="164"/>
      <c r="C161" s="168"/>
      <c r="D161" s="251"/>
      <c r="E161" s="251"/>
    </row>
    <row r="162" spans="1:5" x14ac:dyDescent="0.3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3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3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3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35">
      <c r="A166" s="163"/>
      <c r="B166" s="164"/>
      <c r="C166" s="168"/>
      <c r="D166" s="251"/>
      <c r="E166" s="251"/>
    </row>
    <row r="167" spans="1:5" x14ac:dyDescent="0.3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35">
      <c r="A168" s="163"/>
      <c r="B168" s="164"/>
      <c r="C168" s="168"/>
      <c r="D168" s="251"/>
      <c r="E168" s="251"/>
    </row>
    <row r="169" spans="1:5" x14ac:dyDescent="0.3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35">
      <c r="A170" s="163"/>
      <c r="B170" s="164"/>
      <c r="C170" s="168"/>
      <c r="D170" s="251"/>
      <c r="E170" s="251"/>
    </row>
    <row r="171" spans="1:5" x14ac:dyDescent="0.3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3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35">
      <c r="A173" s="164"/>
      <c r="B173" s="164"/>
      <c r="C173" s="164"/>
      <c r="D173" s="248"/>
      <c r="E173" s="248"/>
    </row>
    <row r="174" spans="1:5" x14ac:dyDescent="0.3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3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3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3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3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35">
      <c r="A179" s="168"/>
      <c r="B179" s="164"/>
      <c r="C179" s="163"/>
      <c r="D179" s="247"/>
      <c r="E179" s="247"/>
    </row>
    <row r="180" spans="1:5" x14ac:dyDescent="0.3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3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3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3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3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3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35">
      <c r="A186" s="168"/>
      <c r="B186" s="165"/>
      <c r="C186" s="163"/>
      <c r="D186" s="247"/>
      <c r="E186" s="247"/>
    </row>
    <row r="187" spans="1:5" x14ac:dyDescent="0.35">
      <c r="A187" s="168"/>
      <c r="B187" s="165"/>
      <c r="C187" s="163"/>
      <c r="D187" s="247"/>
      <c r="E187" s="247"/>
    </row>
    <row r="188" spans="1:5" x14ac:dyDescent="0.3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3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3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3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35">
      <c r="A192" s="163"/>
      <c r="B192" s="165"/>
      <c r="C192" s="164"/>
      <c r="D192" s="248"/>
      <c r="E192" s="248"/>
    </row>
    <row r="193" spans="1:5" x14ac:dyDescent="0.3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3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3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35">
      <c r="A196" s="163"/>
      <c r="B196" s="164"/>
      <c r="C196" s="163"/>
      <c r="D196" s="247"/>
      <c r="E196" s="247"/>
    </row>
    <row r="197" spans="1:5" x14ac:dyDescent="0.3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3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3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3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3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3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3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3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3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3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3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3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3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3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3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35">
      <c r="A212" s="163"/>
      <c r="B212" s="164"/>
      <c r="C212" s="163"/>
      <c r="D212" s="247"/>
      <c r="E212" s="247"/>
    </row>
    <row r="213" spans="1:5" x14ac:dyDescent="0.3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35">
      <c r="A214" s="163"/>
      <c r="B214" s="164"/>
      <c r="C214" s="163"/>
      <c r="D214" s="247"/>
      <c r="E214" s="247"/>
    </row>
    <row r="215" spans="1:5" x14ac:dyDescent="0.3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3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3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3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35">
      <c r="A219" s="163"/>
      <c r="B219" s="164"/>
      <c r="C219" s="163"/>
      <c r="D219" s="247"/>
      <c r="E219" s="247"/>
    </row>
    <row r="220" spans="1:5" x14ac:dyDescent="0.3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35">
      <c r="A221" s="163"/>
      <c r="B221" s="164"/>
      <c r="C221" s="163"/>
      <c r="D221" s="247"/>
      <c r="E221" s="247"/>
    </row>
    <row r="222" spans="1:5" x14ac:dyDescent="0.3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3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3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3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3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35">
      <c r="A227" s="163"/>
      <c r="B227" s="164"/>
      <c r="C227" s="163"/>
      <c r="D227" s="247"/>
      <c r="E227" s="247"/>
    </row>
    <row r="228" spans="1:5" x14ac:dyDescent="0.3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35">
      <c r="A229" s="163"/>
      <c r="B229" s="164"/>
      <c r="C229" s="163"/>
      <c r="D229" s="247"/>
      <c r="E229" s="247"/>
    </row>
    <row r="230" spans="1:5" x14ac:dyDescent="0.3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3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3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3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3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35">
      <c r="A235" s="163"/>
      <c r="B235" s="164"/>
      <c r="C235" s="163"/>
      <c r="D235" s="247"/>
      <c r="E235" s="247"/>
    </row>
    <row r="236" spans="1:5" x14ac:dyDescent="0.3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3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3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3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35">
      <c r="A240" s="163"/>
      <c r="B240" s="164"/>
      <c r="C240" s="163"/>
      <c r="D240" s="247"/>
      <c r="E240" s="247"/>
    </row>
    <row r="241" spans="1:5" x14ac:dyDescent="0.3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3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3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3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3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35">
      <c r="A246" s="163"/>
      <c r="B246" s="164"/>
      <c r="C246" s="163"/>
      <c r="D246" s="247"/>
      <c r="E246" s="247"/>
    </row>
    <row r="247" spans="1:5" x14ac:dyDescent="0.3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3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3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3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35">
      <c r="A251" s="163"/>
      <c r="B251" s="164"/>
      <c r="C251" s="163"/>
      <c r="D251" s="247"/>
      <c r="E251" s="247"/>
    </row>
    <row r="252" spans="1:5" x14ac:dyDescent="0.3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35">
      <c r="A253" s="163"/>
      <c r="B253" s="164"/>
      <c r="C253" s="163"/>
      <c r="D253" s="247"/>
      <c r="E253" s="247"/>
    </row>
    <row r="254" spans="1:5" x14ac:dyDescent="0.3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35">
      <c r="A255" s="163"/>
      <c r="B255" s="164"/>
      <c r="C255" s="163"/>
      <c r="D255" s="247"/>
      <c r="E255" s="247"/>
    </row>
    <row r="256" spans="1:5" x14ac:dyDescent="0.3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35">
      <c r="A257" s="160"/>
      <c r="B257" s="160"/>
      <c r="C257" s="160"/>
      <c r="D257" s="245"/>
      <c r="E257" s="245"/>
    </row>
    <row r="258" spans="1:5" x14ac:dyDescent="0.35">
      <c r="A258" s="460" t="s">
        <v>1961</v>
      </c>
      <c r="B258" s="461"/>
      <c r="C258" s="461"/>
      <c r="D258" s="461"/>
      <c r="E258" s="462"/>
    </row>
    <row r="259" spans="1:5" x14ac:dyDescent="0.3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3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3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3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35">
      <c r="A263" s="451"/>
      <c r="B263" s="452"/>
      <c r="C263" s="452"/>
      <c r="D263" s="452"/>
      <c r="E263" s="453"/>
    </row>
    <row r="264" spans="1:5" x14ac:dyDescent="0.3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3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35">
      <c r="A266" s="189"/>
      <c r="B266" s="190"/>
      <c r="C266" s="191"/>
      <c r="D266" s="256"/>
      <c r="E266" s="256"/>
    </row>
    <row r="267" spans="1:5" x14ac:dyDescent="0.3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3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3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3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35">
      <c r="A271" s="193"/>
      <c r="B271" s="194"/>
      <c r="C271" s="195"/>
      <c r="D271" s="257"/>
      <c r="E271" s="257"/>
    </row>
    <row r="272" spans="1:5" x14ac:dyDescent="0.35">
      <c r="A272" s="196"/>
      <c r="B272" s="197" t="s">
        <v>1963</v>
      </c>
      <c r="C272" s="196"/>
      <c r="D272" s="258"/>
      <c r="E272" s="258"/>
    </row>
    <row r="273" spans="1:5" x14ac:dyDescent="0.3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3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3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35">
      <c r="A276" s="163"/>
      <c r="B276" s="164"/>
      <c r="C276" s="163"/>
      <c r="D276" s="247"/>
      <c r="E276" s="247"/>
    </row>
    <row r="277" spans="1:5" x14ac:dyDescent="0.35">
      <c r="A277" s="198">
        <v>4026118</v>
      </c>
      <c r="B277" s="32" t="s">
        <v>2258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35">
      <c r="A278" s="198">
        <v>4026121</v>
      </c>
      <c r="B278" s="32" t="s">
        <v>2259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35">
      <c r="A279" s="198">
        <v>4026123</v>
      </c>
      <c r="B279" s="75" t="s">
        <v>2260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35">
      <c r="A280" s="198">
        <v>4026127</v>
      </c>
      <c r="B280" s="75" t="s">
        <v>2261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35">
      <c r="A281" s="198"/>
      <c r="B281" s="75"/>
      <c r="C281" s="163"/>
      <c r="D281" s="247"/>
      <c r="E281" s="247"/>
    </row>
    <row r="282" spans="1:5" x14ac:dyDescent="0.35">
      <c r="A282" s="163"/>
      <c r="B282" s="164"/>
      <c r="C282" s="163"/>
      <c r="D282" s="247"/>
      <c r="E282" s="247"/>
    </row>
    <row r="283" spans="1:5" x14ac:dyDescent="0.35">
      <c r="A283" s="196"/>
      <c r="B283" s="197" t="s">
        <v>1812</v>
      </c>
      <c r="C283" s="196"/>
      <c r="D283" s="258"/>
      <c r="E283" s="258"/>
    </row>
    <row r="284" spans="1:5" x14ac:dyDescent="0.3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3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3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35">
      <c r="A287" s="164"/>
      <c r="B287" s="164"/>
      <c r="C287" s="164"/>
      <c r="D287" s="248"/>
      <c r="E287" s="248"/>
    </row>
    <row r="288" spans="1:5" x14ac:dyDescent="0.35">
      <c r="A288" s="196"/>
      <c r="B288" s="197" t="s">
        <v>1969</v>
      </c>
      <c r="C288" s="196"/>
      <c r="D288" s="258"/>
      <c r="E288" s="258"/>
    </row>
    <row r="289" spans="1:12" x14ac:dyDescent="0.3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3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3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3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35">
      <c r="A293" s="160"/>
      <c r="B293" s="160"/>
      <c r="C293" s="160"/>
      <c r="D293" s="245"/>
      <c r="E293" s="245"/>
    </row>
    <row r="294" spans="1:12" x14ac:dyDescent="0.35">
      <c r="A294" s="199"/>
      <c r="B294" s="200" t="s">
        <v>1970</v>
      </c>
      <c r="C294" s="199"/>
      <c r="D294" s="259"/>
      <c r="E294" s="259"/>
    </row>
    <row r="295" spans="1:12" x14ac:dyDescent="0.3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3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3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3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35">
      <c r="A299" s="168"/>
      <c r="B299" s="164"/>
      <c r="C299" s="163"/>
      <c r="D299" s="247"/>
      <c r="E299" s="247"/>
    </row>
    <row r="300" spans="1:12" x14ac:dyDescent="0.3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3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35">
      <c r="A302" s="206"/>
      <c r="B302" s="164"/>
      <c r="C302" s="164"/>
      <c r="D302" s="248"/>
      <c r="E302" s="248"/>
    </row>
    <row r="303" spans="1:12" x14ac:dyDescent="0.3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3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3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3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3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3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3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3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35">
      <c r="A311" s="183"/>
      <c r="B311" s="160"/>
      <c r="C311" s="195"/>
      <c r="D311" s="382"/>
      <c r="E311" s="382"/>
    </row>
    <row r="312" spans="1:5" x14ac:dyDescent="0.3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35">
      <c r="A313" s="383" t="s">
        <v>973</v>
      </c>
      <c r="B313" s="32" t="s">
        <v>2156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35">
      <c r="A314" s="383" t="s">
        <v>975</v>
      </c>
      <c r="B314" s="32" t="s">
        <v>2157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35">
      <c r="A315" s="383" t="s">
        <v>1177</v>
      </c>
      <c r="B315" s="32" t="s">
        <v>2158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35">
      <c r="A316" s="383" t="s">
        <v>1556</v>
      </c>
      <c r="B316" s="164" t="s">
        <v>2159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3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35">
      <c r="A318" s="183"/>
      <c r="B318" s="160"/>
      <c r="C318" s="195"/>
      <c r="D318" s="382"/>
      <c r="E318" s="382"/>
    </row>
    <row r="319" spans="1:5" x14ac:dyDescent="0.3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3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3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3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3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35">
      <c r="A324" s="160"/>
      <c r="B324" s="160"/>
      <c r="C324" s="160"/>
      <c r="D324" s="245"/>
      <c r="E324" s="245"/>
    </row>
    <row r="325" spans="1:5" x14ac:dyDescent="0.35">
      <c r="A325" s="160"/>
      <c r="B325" s="209" t="s">
        <v>1982</v>
      </c>
      <c r="C325" s="160"/>
      <c r="D325" s="245"/>
      <c r="E325" s="245"/>
    </row>
    <row r="326" spans="1:5" x14ac:dyDescent="0.35">
      <c r="A326" s="160"/>
      <c r="B326" s="160"/>
      <c r="C326" s="160"/>
      <c r="D326" s="245"/>
      <c r="E326" s="245"/>
    </row>
    <row r="327" spans="1:5" x14ac:dyDescent="0.3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3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3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3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3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3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35">
      <c r="A333" s="160"/>
      <c r="B333" s="160"/>
      <c r="C333" s="160"/>
      <c r="D333" s="245"/>
      <c r="E333" s="245"/>
    </row>
    <row r="334" spans="1:5" x14ac:dyDescent="0.3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3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35">
      <c r="A336" s="160"/>
      <c r="B336" s="160"/>
      <c r="C336" s="160"/>
      <c r="D336" s="245"/>
      <c r="E336" s="245"/>
    </row>
    <row r="337" spans="1:5" x14ac:dyDescent="0.3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3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3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3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35">
      <c r="A341" s="160"/>
      <c r="B341" s="160"/>
      <c r="C341" s="160"/>
      <c r="D341" s="245"/>
      <c r="E341" s="245"/>
    </row>
    <row r="342" spans="1:5" x14ac:dyDescent="0.3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3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3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3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35">
      <c r="A346" s="160"/>
      <c r="B346" s="160"/>
      <c r="C346" s="160"/>
      <c r="D346" s="245"/>
      <c r="E346" s="245"/>
    </row>
    <row r="347" spans="1:5" x14ac:dyDescent="0.3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3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3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3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3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3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3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35">
      <c r="A354" s="183"/>
      <c r="B354" s="421"/>
      <c r="C354" s="183"/>
      <c r="D354" s="257"/>
      <c r="E354" s="257"/>
    </row>
    <row r="355" spans="1:5" x14ac:dyDescent="0.3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3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3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35">
      <c r="A358" s="160"/>
      <c r="B358" s="160"/>
      <c r="C358" s="160"/>
      <c r="D358" s="245"/>
      <c r="E358" s="245"/>
    </row>
    <row r="359" spans="1:5" x14ac:dyDescent="0.3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3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3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35">
      <c r="A362" s="168"/>
      <c r="B362" s="164"/>
      <c r="C362" s="168"/>
      <c r="D362" s="247"/>
      <c r="E362" s="247"/>
    </row>
    <row r="363" spans="1:5" x14ac:dyDescent="0.35">
      <c r="A363" s="420" t="s">
        <v>2217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3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3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3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3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3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3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3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3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35">
      <c r="A372" s="168"/>
      <c r="B372" s="164"/>
      <c r="C372" s="168"/>
      <c r="D372" s="247"/>
      <c r="E372" s="247"/>
    </row>
    <row r="373" spans="1:5" x14ac:dyDescent="0.3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3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3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3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3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3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3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3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3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3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3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35">
      <c r="A384" s="168"/>
      <c r="B384" s="164"/>
      <c r="C384" s="163"/>
      <c r="D384" s="247"/>
      <c r="E384" s="247"/>
    </row>
    <row r="385" spans="1:5" x14ac:dyDescent="0.3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3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  <mergeCell ref="A46:E46"/>
    <mergeCell ref="A9:E9"/>
    <mergeCell ref="A14:E14"/>
    <mergeCell ref="A19:E19"/>
    <mergeCell ref="A27:E27"/>
    <mergeCell ref="A42:E42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2ADA-4116-4BAB-AD15-78914B8C27AB}">
  <sheetPr codeName="Sheet10">
    <pageSetUpPr fitToPage="1"/>
  </sheetPr>
  <dimension ref="A4:F100"/>
  <sheetViews>
    <sheetView tabSelected="1" workbookViewId="0">
      <selection activeCell="A19" sqref="A19"/>
    </sheetView>
  </sheetViews>
  <sheetFormatPr defaultColWidth="11.453125" defaultRowHeight="14.5" x14ac:dyDescent="0.35"/>
  <cols>
    <col min="1" max="1" width="9.81640625" bestFit="1" customWidth="1"/>
    <col min="2" max="2" width="64.26953125" bestFit="1" customWidth="1"/>
    <col min="3" max="3" width="9.54296875" bestFit="1" customWidth="1"/>
    <col min="4" max="4" width="13.54296875" style="87" bestFit="1" customWidth="1"/>
    <col min="5" max="5" width="13.1796875" customWidth="1"/>
    <col min="6" max="6" width="11.453125" bestFit="1" customWidth="1"/>
  </cols>
  <sheetData>
    <row r="4" spans="1:6" ht="21" x14ac:dyDescent="0.5">
      <c r="B4" s="217"/>
    </row>
    <row r="6" spans="1:6" ht="29" x14ac:dyDescent="0.3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5" x14ac:dyDescent="0.35">
      <c r="A7" s="221" t="s">
        <v>553</v>
      </c>
      <c r="B7" s="222" t="s">
        <v>2052</v>
      </c>
      <c r="C7" s="223">
        <v>30</v>
      </c>
      <c r="D7" s="224">
        <f>+VLOOKUP(A7,Base!A5:G1310,4,FALSE)</f>
        <v>102.00548797740667</v>
      </c>
      <c r="E7" s="224">
        <f>+VLOOKUP(A7,Base!A5:E1313,5,FALSE)</f>
        <v>127.50685997175833</v>
      </c>
      <c r="F7" s="225">
        <f>+D7/C7</f>
        <v>3.4001829325802224</v>
      </c>
    </row>
    <row r="8" spans="1:6" ht="15.5" x14ac:dyDescent="0.35">
      <c r="A8" s="226" t="s">
        <v>2053</v>
      </c>
      <c r="B8" s="222" t="s">
        <v>2054</v>
      </c>
      <c r="C8" s="223">
        <v>230</v>
      </c>
      <c r="D8" s="224">
        <f>+VLOOKUP(A8,Base!A6:G1311,4,FALSE)</f>
        <v>731.09522206827069</v>
      </c>
      <c r="E8" s="224">
        <f>+VLOOKUP(A8,Base!A6:E1311,5,FALSE)</f>
        <v>974.79362942436092</v>
      </c>
      <c r="F8" s="225">
        <f>+D8/C8</f>
        <v>3.1786748785576986</v>
      </c>
    </row>
    <row r="9" spans="1:6" ht="15.5" x14ac:dyDescent="0.35">
      <c r="A9" s="226" t="s">
        <v>2055</v>
      </c>
      <c r="B9" s="222" t="s">
        <v>2056</v>
      </c>
      <c r="C9" s="223">
        <v>1150</v>
      </c>
      <c r="D9" s="224">
        <f>+VLOOKUP(A9,Base!A7:G1312,4,FALSE)</f>
        <v>3586.6138812391855</v>
      </c>
      <c r="E9" s="224">
        <f>+VLOOKUP(A9,Base!A7:E1312,5,FALSE)</f>
        <v>4782.1518416522476</v>
      </c>
      <c r="F9" s="225">
        <f>+D9/C9</f>
        <v>3.1187946793384222</v>
      </c>
    </row>
    <row r="10" spans="1:6" ht="15.5" x14ac:dyDescent="0.35">
      <c r="A10" s="226"/>
      <c r="B10" s="222"/>
      <c r="C10" s="223"/>
      <c r="D10" s="224"/>
      <c r="E10" s="224"/>
      <c r="F10" s="225"/>
    </row>
    <row r="11" spans="1:6" ht="15.5" x14ac:dyDescent="0.35">
      <c r="A11" s="226" t="s">
        <v>496</v>
      </c>
      <c r="B11" s="222" t="s">
        <v>1746</v>
      </c>
      <c r="C11" s="222">
        <v>30</v>
      </c>
      <c r="D11" s="224">
        <f>+VLOOKUP(A11,Base!A9:G1314,4,FALSE)</f>
        <v>43.164860681114547</v>
      </c>
      <c r="E11" s="224">
        <f>+VLOOKUP(A11,Base!A9:E1314,5,FALSE)</f>
        <v>53.95607585139318</v>
      </c>
      <c r="F11" s="225">
        <f>+D11/C11</f>
        <v>1.4388286893704849</v>
      </c>
    </row>
    <row r="12" spans="1:6" ht="15.5" x14ac:dyDescent="0.35">
      <c r="A12" s="221" t="s">
        <v>561</v>
      </c>
      <c r="B12" s="227" t="s">
        <v>2153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5" x14ac:dyDescent="0.3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5" x14ac:dyDescent="0.35">
      <c r="A14" s="226"/>
      <c r="B14" s="227"/>
      <c r="C14" s="222"/>
      <c r="D14" s="224"/>
      <c r="E14" s="224"/>
      <c r="F14" s="225"/>
    </row>
    <row r="15" spans="1:6" ht="15.5" x14ac:dyDescent="0.35">
      <c r="A15" s="221" t="s">
        <v>554</v>
      </c>
      <c r="B15" s="222" t="s">
        <v>2057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5" x14ac:dyDescent="0.35">
      <c r="A16" s="226" t="s">
        <v>2058</v>
      </c>
      <c r="B16" s="222" t="s">
        <v>2154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5" x14ac:dyDescent="0.35">
      <c r="A17" s="226" t="s">
        <v>2060</v>
      </c>
      <c r="B17" s="222" t="s">
        <v>2061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5" x14ac:dyDescent="0.35">
      <c r="A18" s="226"/>
      <c r="B18" s="222"/>
      <c r="C18" s="222"/>
      <c r="D18" s="224"/>
      <c r="E18" s="228"/>
      <c r="F18" s="228"/>
    </row>
    <row r="19" spans="1:6" ht="15.5" x14ac:dyDescent="0.3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5" x14ac:dyDescent="0.35">
      <c r="A20" s="226" t="s">
        <v>533</v>
      </c>
      <c r="B20" s="222" t="s">
        <v>2155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5" x14ac:dyDescent="0.3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5" x14ac:dyDescent="0.35">
      <c r="A22" s="226"/>
      <c r="B22" s="229"/>
      <c r="C22" s="222"/>
      <c r="D22" s="224"/>
      <c r="E22" s="224"/>
      <c r="F22" s="225"/>
    </row>
    <row r="23" spans="1:6" ht="15.5" x14ac:dyDescent="0.35">
      <c r="A23" s="221" t="s">
        <v>559</v>
      </c>
      <c r="B23" s="222" t="s">
        <v>2062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5" x14ac:dyDescent="0.35">
      <c r="A24" s="226" t="s">
        <v>2063</v>
      </c>
      <c r="B24" s="222" t="s">
        <v>2064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5" x14ac:dyDescent="0.35">
      <c r="A25" s="226" t="s">
        <v>2065</v>
      </c>
      <c r="B25" s="222" t="s">
        <v>2066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5" x14ac:dyDescent="0.35">
      <c r="A26" s="226"/>
      <c r="B26" s="229"/>
      <c r="C26" s="222"/>
      <c r="D26" s="224"/>
      <c r="E26" s="224"/>
      <c r="F26" s="225"/>
    </row>
    <row r="27" spans="1:6" ht="15.5" x14ac:dyDescent="0.3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5" x14ac:dyDescent="0.35">
      <c r="A28" s="230"/>
      <c r="B28" s="231"/>
      <c r="C28" s="222"/>
      <c r="D28" s="224"/>
      <c r="E28" s="224"/>
      <c r="F28" s="225"/>
    </row>
    <row r="29" spans="1:6" ht="15.5" x14ac:dyDescent="0.35">
      <c r="A29" s="228"/>
      <c r="B29" s="232" t="s">
        <v>2067</v>
      </c>
      <c r="C29" s="228"/>
      <c r="D29" s="233"/>
      <c r="E29" s="228"/>
      <c r="F29" s="228"/>
    </row>
    <row r="30" spans="1:6" ht="15.5" x14ac:dyDescent="0.3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5" x14ac:dyDescent="0.3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5" x14ac:dyDescent="0.3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5" x14ac:dyDescent="0.3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5" x14ac:dyDescent="0.3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5" x14ac:dyDescent="0.3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5" x14ac:dyDescent="0.3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5" x14ac:dyDescent="0.3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5" x14ac:dyDescent="0.3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5" x14ac:dyDescent="0.3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5" x14ac:dyDescent="0.3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5" x14ac:dyDescent="0.3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5" x14ac:dyDescent="0.3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5" x14ac:dyDescent="0.3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5" x14ac:dyDescent="0.3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5" x14ac:dyDescent="0.35">
      <c r="A45" s="226"/>
      <c r="B45" s="222"/>
      <c r="C45" s="222"/>
      <c r="D45" s="224"/>
      <c r="E45" s="228"/>
      <c r="F45" s="228"/>
    </row>
    <row r="46" spans="1:6" ht="15.5" x14ac:dyDescent="0.3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5" x14ac:dyDescent="0.3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5" x14ac:dyDescent="0.3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5" x14ac:dyDescent="0.3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5" x14ac:dyDescent="0.3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5" x14ac:dyDescent="0.3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5" x14ac:dyDescent="0.3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5" x14ac:dyDescent="0.3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5" x14ac:dyDescent="0.3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5" x14ac:dyDescent="0.35">
      <c r="A55" s="226" t="s">
        <v>2125</v>
      </c>
      <c r="B55" s="164" t="s">
        <v>2128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5" x14ac:dyDescent="0.35">
      <c r="A56" s="226" t="s">
        <v>2126</v>
      </c>
      <c r="B56" s="164" t="s">
        <v>2129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5" x14ac:dyDescent="0.35">
      <c r="A57" s="226" t="s">
        <v>2127</v>
      </c>
      <c r="B57" s="164" t="s">
        <v>2130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5" x14ac:dyDescent="0.35">
      <c r="A58" s="226"/>
      <c r="B58" s="222"/>
      <c r="C58" s="222"/>
      <c r="D58" s="224"/>
      <c r="E58" s="228"/>
      <c r="F58" s="228"/>
    </row>
    <row r="59" spans="1:6" ht="15.5" x14ac:dyDescent="0.35">
      <c r="A59" s="226"/>
      <c r="B59" s="222"/>
      <c r="C59" s="222"/>
      <c r="D59" s="224"/>
      <c r="E59" s="228"/>
      <c r="F59" s="228"/>
    </row>
    <row r="60" spans="1:6" ht="15.5" x14ac:dyDescent="0.3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5" x14ac:dyDescent="0.3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5" x14ac:dyDescent="0.3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5" x14ac:dyDescent="0.35">
      <c r="A63" s="226"/>
      <c r="B63" s="222"/>
      <c r="C63" s="222"/>
      <c r="D63" s="224"/>
      <c r="E63" s="224"/>
      <c r="F63" s="234"/>
    </row>
    <row r="64" spans="1:6" ht="15.5" x14ac:dyDescent="0.3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5" x14ac:dyDescent="0.3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5" x14ac:dyDescent="0.3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5" x14ac:dyDescent="0.35">
      <c r="A67" s="226"/>
      <c r="B67" s="222"/>
      <c r="C67" s="222"/>
      <c r="D67" s="224"/>
      <c r="E67" s="224"/>
      <c r="F67" s="234"/>
    </row>
    <row r="68" spans="1:6" ht="15.5" x14ac:dyDescent="0.3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5" x14ac:dyDescent="0.3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5" x14ac:dyDescent="0.3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5" x14ac:dyDescent="0.35">
      <c r="A71" s="235"/>
      <c r="B71" s="236"/>
      <c r="C71" s="236"/>
      <c r="D71" s="357"/>
      <c r="E71" s="357"/>
      <c r="F71" s="358"/>
    </row>
    <row r="72" spans="1:6" ht="15.5" x14ac:dyDescent="0.35">
      <c r="A72" s="164" t="s">
        <v>2122</v>
      </c>
      <c r="B72" s="222" t="s">
        <v>2160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5" x14ac:dyDescent="0.35">
      <c r="A73" s="164" t="s">
        <v>2123</v>
      </c>
      <c r="B73" s="222" t="s">
        <v>2161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5" x14ac:dyDescent="0.35">
      <c r="A74" s="164" t="s">
        <v>2124</v>
      </c>
      <c r="B74" s="222" t="s">
        <v>2162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5" x14ac:dyDescent="0.35">
      <c r="A75" s="235"/>
      <c r="B75" s="236"/>
      <c r="C75" s="236"/>
      <c r="D75" s="357"/>
      <c r="E75" s="357"/>
      <c r="F75" s="358"/>
    </row>
    <row r="76" spans="1:6" ht="15.5" x14ac:dyDescent="0.35">
      <c r="A76" s="168" t="s">
        <v>2131</v>
      </c>
      <c r="B76" s="164" t="s">
        <v>2134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5" x14ac:dyDescent="0.35">
      <c r="A77" s="168" t="s">
        <v>2132</v>
      </c>
      <c r="B77" s="164" t="s">
        <v>2135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5" x14ac:dyDescent="0.35">
      <c r="A78" s="168" t="s">
        <v>2133</v>
      </c>
      <c r="B78" s="164" t="s">
        <v>2136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5" x14ac:dyDescent="0.35">
      <c r="A79" s="235"/>
      <c r="B79" s="236"/>
      <c r="C79" s="236"/>
      <c r="D79" s="357"/>
      <c r="E79" s="357"/>
      <c r="F79" s="358"/>
    </row>
    <row r="80" spans="1:6" ht="15.5" x14ac:dyDescent="0.35">
      <c r="A80" s="168" t="s">
        <v>563</v>
      </c>
      <c r="B80" s="164" t="s">
        <v>2209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5" x14ac:dyDescent="0.35">
      <c r="A81" s="168" t="s">
        <v>565</v>
      </c>
      <c r="B81" s="164" t="s">
        <v>2210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5" x14ac:dyDescent="0.35">
      <c r="A82" s="168" t="s">
        <v>567</v>
      </c>
      <c r="B82" s="164" t="s">
        <v>2211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5" x14ac:dyDescent="0.35">
      <c r="A83" s="168" t="s">
        <v>569</v>
      </c>
      <c r="B83" s="164" t="s">
        <v>2212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5" x14ac:dyDescent="0.35">
      <c r="A84" s="235"/>
      <c r="B84" s="236"/>
      <c r="C84" s="236"/>
      <c r="D84" s="237"/>
      <c r="E84" s="238"/>
      <c r="F84" s="238"/>
    </row>
    <row r="85" spans="1:6" ht="15.5" x14ac:dyDescent="0.35">
      <c r="A85" s="235"/>
      <c r="B85" s="239" t="s">
        <v>2068</v>
      </c>
      <c r="C85" s="236"/>
      <c r="D85" s="237"/>
      <c r="E85" s="238"/>
      <c r="F85" s="238"/>
    </row>
    <row r="86" spans="1:6" ht="15.5" x14ac:dyDescent="0.35">
      <c r="A86" s="238"/>
      <c r="B86" s="238"/>
      <c r="C86" s="238"/>
      <c r="D86" s="237"/>
      <c r="E86" s="238"/>
      <c r="F86" s="238"/>
    </row>
    <row r="87" spans="1:6" ht="31" x14ac:dyDescent="0.3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2255</v>
      </c>
    </row>
    <row r="88" spans="1:6" ht="15.5" x14ac:dyDescent="0.3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5" x14ac:dyDescent="0.35">
      <c r="A89" s="243">
        <v>8589524</v>
      </c>
      <c r="B89" s="244" t="s">
        <v>2069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5" x14ac:dyDescent="0.35">
      <c r="A90" s="243">
        <v>8589528</v>
      </c>
      <c r="B90" s="244" t="s">
        <v>2069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5" x14ac:dyDescent="0.3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5" x14ac:dyDescent="0.3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5" x14ac:dyDescent="0.3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5" x14ac:dyDescent="0.35">
      <c r="A94" s="238"/>
      <c r="B94" s="238"/>
      <c r="C94" s="238"/>
      <c r="D94" s="237"/>
      <c r="E94" s="238"/>
      <c r="F94" s="238"/>
    </row>
    <row r="95" spans="1:6" ht="15.5" x14ac:dyDescent="0.35">
      <c r="A95" s="413" t="s">
        <v>1834</v>
      </c>
      <c r="B95" s="414" t="s">
        <v>1812</v>
      </c>
      <c r="C95" s="413" t="s">
        <v>1886</v>
      </c>
      <c r="D95" s="415" t="s">
        <v>2216</v>
      </c>
      <c r="E95" s="415" t="s">
        <v>2216</v>
      </c>
      <c r="F95" s="238"/>
    </row>
    <row r="96" spans="1:6" ht="15.5" x14ac:dyDescent="0.35">
      <c r="A96" s="416" t="s">
        <v>973</v>
      </c>
      <c r="B96" s="417" t="s">
        <v>2156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5" x14ac:dyDescent="0.35">
      <c r="A97" s="416" t="s">
        <v>975</v>
      </c>
      <c r="B97" s="417" t="s">
        <v>2157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5" x14ac:dyDescent="0.35">
      <c r="A98" s="416" t="s">
        <v>1177</v>
      </c>
      <c r="B98" s="417" t="s">
        <v>2158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5" x14ac:dyDescent="0.35">
      <c r="A99" s="416" t="s">
        <v>1556</v>
      </c>
      <c r="B99" s="222" t="s">
        <v>2159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5" x14ac:dyDescent="0.3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defaultColWidth="8.7265625" defaultRowHeight="14.5" x14ac:dyDescent="0.35"/>
  <cols>
    <col min="1" max="1" width="13.54296875" style="83" bestFit="1" customWidth="1"/>
    <col min="2" max="2" width="63.54296875" customWidth="1"/>
    <col min="3" max="3" width="9.453125" customWidth="1"/>
    <col min="4" max="4" width="11.81640625" style="56" bestFit="1" customWidth="1"/>
    <col min="5" max="5" width="7.1796875" style="56" bestFit="1" customWidth="1"/>
    <col min="6" max="6" width="10.453125" style="56" bestFit="1" customWidth="1"/>
  </cols>
  <sheetData>
    <row r="1" spans="1:6" x14ac:dyDescent="0.35">
      <c r="A1" s="83">
        <v>11</v>
      </c>
    </row>
    <row r="8" spans="1:6" x14ac:dyDescent="0.35">
      <c r="A8" s="83" t="s">
        <v>57</v>
      </c>
    </row>
    <row r="11" spans="1:6" x14ac:dyDescent="0.35">
      <c r="B11" t="s">
        <v>4</v>
      </c>
      <c r="C11" s="56">
        <v>1</v>
      </c>
      <c r="D11" s="56" t="s">
        <v>6</v>
      </c>
    </row>
    <row r="12" spans="1:6" x14ac:dyDescent="0.35">
      <c r="B12" t="s">
        <v>5</v>
      </c>
      <c r="C12" s="56">
        <v>1</v>
      </c>
      <c r="D12" s="56" t="s">
        <v>7</v>
      </c>
    </row>
    <row r="15" spans="1:6" x14ac:dyDescent="0.3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5" x14ac:dyDescent="0.45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35">
      <c r="A17" s="84"/>
      <c r="B17" s="17"/>
      <c r="C17" s="17"/>
      <c r="D17" s="274"/>
      <c r="E17" s="274"/>
      <c r="F17" s="275"/>
    </row>
    <row r="18" spans="1:6" hidden="1" x14ac:dyDescent="0.35">
      <c r="A18" s="85"/>
      <c r="B18" s="18"/>
      <c r="C18" s="18"/>
      <c r="D18" s="276"/>
      <c r="E18" s="276"/>
      <c r="F18" s="275"/>
    </row>
    <row r="19" spans="1:6" hidden="1" x14ac:dyDescent="0.35">
      <c r="A19" s="85"/>
      <c r="B19" s="18"/>
      <c r="C19" s="18"/>
      <c r="D19" s="276"/>
      <c r="E19" s="276"/>
      <c r="F19" s="277"/>
    </row>
    <row r="20" spans="1:6" hidden="1" x14ac:dyDescent="0.35">
      <c r="A20" s="85"/>
      <c r="B20" s="18"/>
      <c r="C20" s="18"/>
      <c r="D20" s="276"/>
      <c r="E20" s="276"/>
      <c r="F20" s="275"/>
    </row>
    <row r="21" spans="1:6" hidden="1" x14ac:dyDescent="0.35">
      <c r="A21" s="85"/>
      <c r="B21" s="18"/>
      <c r="C21" s="18"/>
      <c r="D21" s="276"/>
      <c r="E21" s="276"/>
      <c r="F21" s="277"/>
    </row>
    <row r="22" spans="1:6" hidden="1" x14ac:dyDescent="0.35">
      <c r="A22" s="85"/>
      <c r="B22" s="18"/>
      <c r="C22" s="18"/>
      <c r="D22" s="276"/>
      <c r="E22" s="276"/>
      <c r="F22" s="277"/>
    </row>
    <row r="23" spans="1:6" hidden="1" x14ac:dyDescent="0.35">
      <c r="A23" s="85"/>
      <c r="B23" s="18"/>
      <c r="C23" s="18"/>
      <c r="D23" s="276"/>
      <c r="E23" s="18"/>
      <c r="F23" s="277"/>
    </row>
    <row r="24" spans="1:6" hidden="1" x14ac:dyDescent="0.35">
      <c r="A24" s="85"/>
      <c r="B24" s="18"/>
      <c r="C24" s="18"/>
      <c r="D24" s="276"/>
      <c r="E24" s="18"/>
      <c r="F24" s="277"/>
    </row>
    <row r="25" spans="1:6" hidden="1" x14ac:dyDescent="0.35">
      <c r="A25" s="85"/>
      <c r="B25" s="18"/>
      <c r="C25" s="18"/>
      <c r="D25" s="276"/>
      <c r="E25" s="18"/>
      <c r="F25" s="277"/>
    </row>
    <row r="26" spans="1:6" hidden="1" x14ac:dyDescent="0.35">
      <c r="A26" s="85"/>
      <c r="B26" s="18"/>
      <c r="C26" s="18"/>
      <c r="D26" s="276"/>
      <c r="E26" s="18"/>
      <c r="F26" s="277"/>
    </row>
    <row r="27" spans="1:6" hidden="1" x14ac:dyDescent="0.35">
      <c r="A27" s="85"/>
      <c r="B27" s="18"/>
      <c r="C27" s="18"/>
      <c r="D27" s="276"/>
      <c r="E27" s="18"/>
      <c r="F27" s="277"/>
    </row>
    <row r="28" spans="1:6" hidden="1" x14ac:dyDescent="0.35">
      <c r="A28" s="85"/>
      <c r="B28" s="18"/>
      <c r="C28" s="18"/>
      <c r="D28" s="276"/>
      <c r="E28" s="18"/>
      <c r="F28" s="277"/>
    </row>
    <row r="29" spans="1:6" hidden="1" x14ac:dyDescent="0.35">
      <c r="A29" s="85"/>
      <c r="B29" s="18"/>
      <c r="C29" s="18"/>
      <c r="D29" s="276"/>
      <c r="E29" s="18"/>
      <c r="F29" s="277"/>
    </row>
    <row r="30" spans="1:6" hidden="1" x14ac:dyDescent="0.35">
      <c r="A30" s="85"/>
      <c r="B30" s="18"/>
      <c r="C30" s="18"/>
      <c r="D30" s="276"/>
      <c r="E30" s="18"/>
      <c r="F30" s="277"/>
    </row>
    <row r="31" spans="1:6" hidden="1" x14ac:dyDescent="0.35">
      <c r="A31" s="85"/>
      <c r="B31" s="18"/>
      <c r="C31" s="18"/>
      <c r="D31" s="276"/>
      <c r="E31" s="18"/>
      <c r="F31" s="277"/>
    </row>
    <row r="32" spans="1:6" hidden="1" x14ac:dyDescent="0.35">
      <c r="A32" s="85"/>
      <c r="B32" s="18"/>
      <c r="C32" s="18"/>
      <c r="D32" s="276"/>
      <c r="E32" s="18"/>
      <c r="F32" s="277"/>
    </row>
    <row r="33" spans="1:6" hidden="1" x14ac:dyDescent="0.35">
      <c r="A33" s="85"/>
      <c r="B33" s="18"/>
      <c r="C33" s="18"/>
      <c r="D33" s="276"/>
      <c r="E33" s="18"/>
      <c r="F33" s="277"/>
    </row>
    <row r="34" spans="1:6" hidden="1" x14ac:dyDescent="0.35">
      <c r="A34" s="85"/>
      <c r="B34" s="18"/>
      <c r="C34" s="18"/>
      <c r="D34" s="276"/>
      <c r="E34" s="18"/>
      <c r="F34" s="277"/>
    </row>
    <row r="35" spans="1:6" hidden="1" x14ac:dyDescent="0.35">
      <c r="A35" s="85"/>
      <c r="B35" s="18"/>
      <c r="C35" s="18"/>
      <c r="D35" s="276"/>
      <c r="E35" s="276"/>
      <c r="F35" s="277"/>
    </row>
    <row r="36" spans="1:6" hidden="1" x14ac:dyDescent="0.35">
      <c r="A36" s="85"/>
      <c r="B36" s="18"/>
      <c r="C36" s="18"/>
      <c r="D36" s="276"/>
      <c r="E36" s="276"/>
      <c r="F36" s="277"/>
    </row>
    <row r="37" spans="1:6" hidden="1" x14ac:dyDescent="0.35">
      <c r="A37" s="85"/>
      <c r="B37" s="18"/>
      <c r="C37" s="18"/>
      <c r="D37" s="276"/>
      <c r="E37" s="276"/>
      <c r="F37" s="277"/>
    </row>
    <row r="38" spans="1:6" hidden="1" x14ac:dyDescent="0.35">
      <c r="A38" s="85"/>
      <c r="B38" s="18"/>
      <c r="C38" s="18"/>
      <c r="D38" s="276"/>
      <c r="E38" s="276"/>
      <c r="F38" s="277"/>
    </row>
    <row r="39" spans="1:6" hidden="1" x14ac:dyDescent="0.35">
      <c r="A39" s="85"/>
      <c r="B39" s="18"/>
      <c r="C39" s="18"/>
      <c r="D39" s="276"/>
      <c r="E39" s="276"/>
      <c r="F39" s="277"/>
    </row>
    <row r="40" spans="1:6" hidden="1" x14ac:dyDescent="0.35">
      <c r="A40" s="85"/>
      <c r="B40" s="18"/>
      <c r="C40" s="18"/>
      <c r="D40" s="276"/>
      <c r="E40" s="276"/>
      <c r="F40" s="277"/>
    </row>
    <row r="41" spans="1:6" hidden="1" x14ac:dyDescent="0.35">
      <c r="A41" s="85"/>
      <c r="B41" s="18"/>
      <c r="C41" s="18"/>
      <c r="D41" s="276"/>
      <c r="E41" s="276"/>
      <c r="F41" s="277"/>
    </row>
    <row r="42" spans="1:6" hidden="1" x14ac:dyDescent="0.35">
      <c r="A42" s="85"/>
      <c r="B42" s="18"/>
      <c r="C42" s="18"/>
      <c r="D42" s="276"/>
      <c r="E42" s="276"/>
      <c r="F42" s="277"/>
    </row>
    <row r="43" spans="1:6" hidden="1" x14ac:dyDescent="0.35">
      <c r="A43" s="85"/>
      <c r="B43" s="18"/>
      <c r="C43" s="18"/>
      <c r="D43" s="276"/>
      <c r="E43" s="276"/>
      <c r="F43" s="277"/>
    </row>
    <row r="44" spans="1:6" ht="15" hidden="1" thickBot="1" x14ac:dyDescent="0.4">
      <c r="A44" s="86"/>
      <c r="B44" s="19"/>
      <c r="C44" s="19"/>
      <c r="D44" s="278"/>
      <c r="E44" s="278"/>
      <c r="F44" s="279"/>
    </row>
    <row r="45" spans="1:6" x14ac:dyDescent="0.3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35">
      <c r="A46" s="85"/>
      <c r="B46" s="18"/>
      <c r="C46" s="18"/>
      <c r="D46" s="276"/>
      <c r="E46" s="276"/>
      <c r="F46" s="277"/>
    </row>
    <row r="47" spans="1:6" hidden="1" x14ac:dyDescent="0.35">
      <c r="A47" s="85"/>
      <c r="B47" s="18"/>
      <c r="C47" s="18"/>
      <c r="D47" s="276"/>
      <c r="E47" s="276"/>
      <c r="F47" s="277"/>
    </row>
    <row r="48" spans="1:6" hidden="1" x14ac:dyDescent="0.35">
      <c r="A48" s="85"/>
      <c r="B48" s="18"/>
      <c r="C48" s="18"/>
      <c r="D48" s="276"/>
      <c r="E48" s="276"/>
      <c r="F48" s="277"/>
    </row>
    <row r="49" spans="1:6" hidden="1" x14ac:dyDescent="0.35">
      <c r="A49" s="85"/>
      <c r="B49" s="18"/>
      <c r="C49" s="18"/>
      <c r="D49" s="276"/>
      <c r="E49" s="276"/>
      <c r="F49" s="277"/>
    </row>
    <row r="50" spans="1:6" hidden="1" x14ac:dyDescent="0.35">
      <c r="A50" s="85"/>
      <c r="B50" s="18"/>
      <c r="C50" s="18"/>
      <c r="D50" s="276"/>
      <c r="E50" s="276"/>
      <c r="F50" s="277"/>
    </row>
    <row r="51" spans="1:6" hidden="1" x14ac:dyDescent="0.35">
      <c r="A51" s="85"/>
      <c r="B51" s="18"/>
      <c r="C51" s="18"/>
      <c r="D51" s="276"/>
      <c r="E51" s="276"/>
      <c r="F51" s="277"/>
    </row>
    <row r="52" spans="1:6" hidden="1" x14ac:dyDescent="0.35">
      <c r="A52" s="85"/>
      <c r="B52" s="18"/>
      <c r="C52" s="18"/>
      <c r="D52" s="276"/>
      <c r="E52" s="276"/>
      <c r="F52" s="277"/>
    </row>
    <row r="53" spans="1:6" hidden="1" x14ac:dyDescent="0.35">
      <c r="A53" s="85"/>
      <c r="B53" s="18"/>
      <c r="C53" s="18"/>
      <c r="D53" s="276"/>
      <c r="E53" s="276"/>
      <c r="F53" s="277"/>
    </row>
    <row r="54" spans="1:6" hidden="1" x14ac:dyDescent="0.35">
      <c r="A54" s="85"/>
      <c r="B54" s="18"/>
      <c r="C54" s="18"/>
      <c r="D54" s="276"/>
      <c r="E54" s="276"/>
      <c r="F54" s="277"/>
    </row>
    <row r="55" spans="1:6" hidden="1" x14ac:dyDescent="0.35">
      <c r="A55" s="85"/>
      <c r="B55" s="18"/>
      <c r="C55" s="18"/>
      <c r="D55" s="276"/>
      <c r="E55" s="276"/>
      <c r="F55" s="277"/>
    </row>
    <row r="56" spans="1:6" hidden="1" x14ac:dyDescent="0.35">
      <c r="A56" s="85"/>
      <c r="B56" s="18"/>
      <c r="C56" s="18"/>
      <c r="D56" s="276"/>
      <c r="E56" s="276"/>
      <c r="F56" s="277"/>
    </row>
    <row r="57" spans="1:6" hidden="1" x14ac:dyDescent="0.35">
      <c r="A57" s="85"/>
      <c r="B57" s="18"/>
      <c r="C57" s="18"/>
      <c r="D57" s="276"/>
      <c r="E57" s="18"/>
      <c r="F57" s="277"/>
    </row>
    <row r="58" spans="1:6" hidden="1" x14ac:dyDescent="0.35">
      <c r="A58" s="85"/>
      <c r="B58" s="18"/>
      <c r="C58" s="18"/>
      <c r="D58" s="276"/>
      <c r="E58" s="18"/>
      <c r="F58" s="277"/>
    </row>
    <row r="59" spans="1:6" hidden="1" x14ac:dyDescent="0.35">
      <c r="A59" s="85"/>
      <c r="B59" s="18"/>
      <c r="C59" s="18"/>
      <c r="D59" s="276"/>
      <c r="E59" s="18"/>
      <c r="F59" s="277"/>
    </row>
    <row r="60" spans="1:6" hidden="1" x14ac:dyDescent="0.35">
      <c r="A60" s="85"/>
      <c r="B60" s="18"/>
      <c r="C60" s="18"/>
      <c r="D60" s="276"/>
      <c r="E60" s="18"/>
      <c r="F60" s="277"/>
    </row>
    <row r="61" spans="1:6" hidden="1" x14ac:dyDescent="0.35">
      <c r="A61" s="85"/>
      <c r="B61" s="18"/>
      <c r="C61" s="18"/>
      <c r="D61" s="276"/>
      <c r="E61" s="18"/>
      <c r="F61" s="277"/>
    </row>
    <row r="62" spans="1:6" hidden="1" x14ac:dyDescent="0.35">
      <c r="A62" s="85"/>
      <c r="B62" s="18"/>
      <c r="C62" s="18"/>
      <c r="D62" s="276"/>
      <c r="E62" s="18"/>
      <c r="F62" s="277"/>
    </row>
    <row r="63" spans="1:6" hidden="1" x14ac:dyDescent="0.35">
      <c r="A63" s="85"/>
      <c r="B63" s="18"/>
      <c r="C63" s="18"/>
      <c r="D63" s="276"/>
      <c r="E63" s="18"/>
      <c r="F63" s="277"/>
    </row>
    <row r="64" spans="1:6" hidden="1" x14ac:dyDescent="0.35">
      <c r="A64" s="85"/>
      <c r="B64" s="18"/>
      <c r="C64" s="18"/>
      <c r="D64" s="276"/>
      <c r="E64" s="18"/>
      <c r="F64" s="277"/>
    </row>
    <row r="65" spans="1:6" hidden="1" x14ac:dyDescent="0.35">
      <c r="A65" s="85"/>
      <c r="B65" s="18"/>
      <c r="C65" s="18"/>
      <c r="D65" s="276"/>
      <c r="E65" s="18"/>
      <c r="F65" s="277"/>
    </row>
    <row r="66" spans="1:6" hidden="1" x14ac:dyDescent="0.35">
      <c r="A66" s="85"/>
      <c r="B66" s="18"/>
      <c r="C66" s="18"/>
      <c r="D66" s="276"/>
      <c r="E66" s="18"/>
      <c r="F66" s="277"/>
    </row>
    <row r="67" spans="1:6" hidden="1" x14ac:dyDescent="0.35">
      <c r="A67" s="85"/>
      <c r="B67" s="18"/>
      <c r="C67" s="18"/>
      <c r="D67" s="276"/>
      <c r="E67" s="18"/>
      <c r="F67" s="277"/>
    </row>
    <row r="68" spans="1:6" hidden="1" x14ac:dyDescent="0.35">
      <c r="A68" s="85"/>
      <c r="B68" s="18"/>
      <c r="C68" s="18"/>
      <c r="D68" s="276"/>
      <c r="E68" s="18"/>
      <c r="F68" s="277"/>
    </row>
    <row r="69" spans="1:6" hidden="1" x14ac:dyDescent="0.35">
      <c r="A69" s="85"/>
      <c r="B69" s="18"/>
      <c r="C69" s="18"/>
      <c r="D69" s="276"/>
      <c r="E69" s="18"/>
      <c r="F69" s="277"/>
    </row>
    <row r="70" spans="1:6" hidden="1" x14ac:dyDescent="0.35">
      <c r="A70" s="85"/>
      <c r="B70" s="18"/>
      <c r="C70" s="18"/>
      <c r="D70" s="276"/>
      <c r="E70" s="18"/>
      <c r="F70" s="277"/>
    </row>
    <row r="71" spans="1:6" hidden="1" x14ac:dyDescent="0.35">
      <c r="A71" s="85"/>
      <c r="B71" s="18"/>
      <c r="C71" s="18"/>
      <c r="D71" s="276"/>
      <c r="E71" s="18"/>
      <c r="F71" s="277"/>
    </row>
    <row r="72" spans="1:6" hidden="1" x14ac:dyDescent="0.35">
      <c r="A72" s="85"/>
      <c r="B72" s="18"/>
      <c r="C72" s="18"/>
      <c r="D72" s="276"/>
      <c r="E72" s="18"/>
      <c r="F72" s="277"/>
    </row>
    <row r="73" spans="1:6" hidden="1" x14ac:dyDescent="0.35">
      <c r="A73" s="85"/>
      <c r="B73" s="18"/>
      <c r="C73" s="18"/>
      <c r="D73" s="276"/>
      <c r="E73" s="18"/>
      <c r="F73" s="277"/>
    </row>
    <row r="74" spans="1:6" hidden="1" x14ac:dyDescent="0.35">
      <c r="A74" s="85"/>
      <c r="B74" s="18"/>
      <c r="C74" s="18"/>
      <c r="D74" s="276"/>
      <c r="E74" s="18"/>
      <c r="F74" s="277"/>
    </row>
    <row r="75" spans="1:6" hidden="1" x14ac:dyDescent="0.35">
      <c r="A75" s="85"/>
      <c r="B75" s="18"/>
      <c r="C75" s="18"/>
      <c r="D75" s="276"/>
      <c r="E75" s="18"/>
      <c r="F75" s="277"/>
    </row>
    <row r="76" spans="1:6" hidden="1" x14ac:dyDescent="0.35">
      <c r="A76" s="85"/>
      <c r="B76" s="18"/>
      <c r="C76" s="18"/>
      <c r="D76" s="276"/>
      <c r="E76" s="18"/>
      <c r="F76" s="277"/>
    </row>
    <row r="77" spans="1:6" hidden="1" x14ac:dyDescent="0.35">
      <c r="A77" s="85"/>
      <c r="B77" s="18"/>
      <c r="C77" s="18"/>
      <c r="D77" s="276"/>
      <c r="E77" s="18"/>
      <c r="F77" s="277"/>
    </row>
    <row r="78" spans="1:6" hidden="1" x14ac:dyDescent="0.35">
      <c r="A78" s="85"/>
      <c r="B78" s="18"/>
      <c r="C78" s="18"/>
      <c r="D78" s="276"/>
      <c r="E78" s="276"/>
      <c r="F78" s="277"/>
    </row>
    <row r="79" spans="1:6" hidden="1" x14ac:dyDescent="0.35">
      <c r="A79" s="85"/>
      <c r="B79" s="18"/>
      <c r="C79" s="18"/>
      <c r="D79" s="276"/>
      <c r="E79" s="276"/>
      <c r="F79" s="277"/>
    </row>
    <row r="80" spans="1:6" hidden="1" x14ac:dyDescent="0.35">
      <c r="A80" s="85"/>
      <c r="B80" s="18"/>
      <c r="C80" s="18"/>
      <c r="D80" s="276"/>
      <c r="E80" s="276"/>
      <c r="F80" s="277"/>
    </row>
    <row r="81" spans="1:6" hidden="1" x14ac:dyDescent="0.35">
      <c r="A81" s="85"/>
      <c r="B81" s="18"/>
      <c r="C81" s="18"/>
      <c r="D81" s="276"/>
      <c r="E81" s="276"/>
      <c r="F81" s="277"/>
    </row>
    <row r="82" spans="1:6" hidden="1" x14ac:dyDescent="0.35">
      <c r="A82" s="85"/>
      <c r="B82" s="18"/>
      <c r="C82" s="18"/>
      <c r="D82" s="276"/>
      <c r="E82" s="276"/>
      <c r="F82" s="277"/>
    </row>
    <row r="83" spans="1:6" hidden="1" x14ac:dyDescent="0.35">
      <c r="A83" s="85"/>
      <c r="B83" s="18"/>
      <c r="C83" s="18"/>
      <c r="D83" s="276"/>
      <c r="E83" s="18"/>
      <c r="F83" s="277"/>
    </row>
    <row r="84" spans="1:6" hidden="1" x14ac:dyDescent="0.35">
      <c r="A84" s="85"/>
      <c r="B84" s="18"/>
      <c r="C84" s="18"/>
      <c r="D84" s="276"/>
      <c r="E84" s="18"/>
      <c r="F84" s="277"/>
    </row>
    <row r="85" spans="1:6" hidden="1" x14ac:dyDescent="0.35">
      <c r="A85" s="85"/>
      <c r="B85" s="18"/>
      <c r="C85" s="18"/>
      <c r="D85" s="276"/>
      <c r="E85" s="18"/>
      <c r="F85" s="277"/>
    </row>
    <row r="86" spans="1:6" hidden="1" x14ac:dyDescent="0.35">
      <c r="A86" s="85"/>
      <c r="B86" s="18"/>
      <c r="C86" s="18"/>
      <c r="D86" s="276"/>
      <c r="E86" s="18"/>
      <c r="F86" s="277"/>
    </row>
    <row r="87" spans="1:6" hidden="1" x14ac:dyDescent="0.35">
      <c r="A87" s="85"/>
      <c r="B87" s="18"/>
      <c r="C87" s="18"/>
      <c r="D87" s="276"/>
      <c r="E87" s="18"/>
      <c r="F87" s="277"/>
    </row>
    <row r="88" spans="1:6" hidden="1" x14ac:dyDescent="0.35">
      <c r="A88" s="85"/>
      <c r="B88" s="18"/>
      <c r="C88" s="18"/>
      <c r="D88" s="276"/>
      <c r="E88" s="18"/>
      <c r="F88" s="277"/>
    </row>
    <row r="89" spans="1:6" hidden="1" x14ac:dyDescent="0.35">
      <c r="A89" s="85"/>
      <c r="B89" s="18"/>
      <c r="C89" s="18"/>
      <c r="D89" s="276"/>
      <c r="E89" s="18"/>
      <c r="F89" s="277"/>
    </row>
    <row r="90" spans="1:6" hidden="1" x14ac:dyDescent="0.35">
      <c r="A90" s="85"/>
      <c r="B90" s="18"/>
      <c r="C90" s="18"/>
      <c r="D90" s="276"/>
      <c r="E90" s="18"/>
      <c r="F90" s="277"/>
    </row>
    <row r="91" spans="1:6" hidden="1" x14ac:dyDescent="0.35">
      <c r="A91" s="85"/>
      <c r="B91" s="18"/>
      <c r="C91" s="18"/>
      <c r="D91" s="276"/>
      <c r="E91" s="18"/>
      <c r="F91" s="277"/>
    </row>
    <row r="92" spans="1:6" hidden="1" x14ac:dyDescent="0.35">
      <c r="A92" s="85"/>
      <c r="B92" s="18"/>
      <c r="C92" s="18"/>
      <c r="D92" s="276"/>
      <c r="E92" s="18"/>
      <c r="F92" s="277"/>
    </row>
    <row r="93" spans="1:6" hidden="1" x14ac:dyDescent="0.35">
      <c r="A93" s="85"/>
      <c r="B93" s="18"/>
      <c r="C93" s="18"/>
      <c r="D93" s="276"/>
      <c r="E93" s="18"/>
      <c r="F93" s="277"/>
    </row>
    <row r="94" spans="1:6" hidden="1" x14ac:dyDescent="0.35">
      <c r="A94" s="85"/>
      <c r="B94" s="18"/>
      <c r="C94" s="18"/>
      <c r="D94" s="276"/>
      <c r="E94" s="18"/>
      <c r="F94" s="277"/>
    </row>
    <row r="95" spans="1:6" hidden="1" x14ac:dyDescent="0.35">
      <c r="A95" s="85"/>
      <c r="B95" s="18"/>
      <c r="C95" s="18"/>
      <c r="D95" s="276"/>
      <c r="E95" s="18"/>
      <c r="F95" s="277"/>
    </row>
    <row r="96" spans="1:6" hidden="1" x14ac:dyDescent="0.35">
      <c r="A96" s="85"/>
      <c r="B96" s="18"/>
      <c r="C96" s="18"/>
      <c r="D96" s="276"/>
      <c r="E96" s="18"/>
      <c r="F96" s="277"/>
    </row>
    <row r="97" spans="1:6" hidden="1" x14ac:dyDescent="0.35">
      <c r="A97" s="85"/>
      <c r="B97" s="18"/>
      <c r="C97" s="18"/>
      <c r="D97" s="276"/>
      <c r="E97" s="18"/>
      <c r="F97" s="277"/>
    </row>
    <row r="98" spans="1:6" hidden="1" x14ac:dyDescent="0.35">
      <c r="A98" s="85"/>
      <c r="B98" s="18"/>
      <c r="C98" s="18"/>
      <c r="D98" s="276"/>
      <c r="E98" s="18"/>
      <c r="F98" s="277"/>
    </row>
    <row r="99" spans="1:6" hidden="1" x14ac:dyDescent="0.35">
      <c r="A99" s="85"/>
      <c r="B99" s="18"/>
      <c r="C99" s="18"/>
      <c r="D99" s="276"/>
      <c r="E99" s="18"/>
      <c r="F99" s="277"/>
    </row>
    <row r="100" spans="1:6" hidden="1" x14ac:dyDescent="0.35">
      <c r="A100" s="85"/>
      <c r="B100" s="18"/>
      <c r="C100" s="18"/>
      <c r="D100" s="276"/>
      <c r="E100" s="18"/>
      <c r="F100" s="277"/>
    </row>
    <row r="101" spans="1:6" hidden="1" x14ac:dyDescent="0.35">
      <c r="A101" s="85"/>
      <c r="B101" s="18"/>
      <c r="C101" s="18"/>
      <c r="D101" s="276"/>
      <c r="E101" s="18"/>
      <c r="F101" s="277"/>
    </row>
    <row r="102" spans="1:6" hidden="1" x14ac:dyDescent="0.35">
      <c r="A102" s="85"/>
      <c r="B102" s="18"/>
      <c r="C102" s="18"/>
      <c r="D102" s="276"/>
      <c r="E102" s="18"/>
      <c r="F102" s="277"/>
    </row>
    <row r="103" spans="1:6" hidden="1" x14ac:dyDescent="0.35">
      <c r="A103" s="85"/>
      <c r="B103" s="18"/>
      <c r="C103" s="18"/>
      <c r="D103" s="276"/>
      <c r="E103" s="18"/>
      <c r="F103" s="277"/>
    </row>
    <row r="104" spans="1:6" hidden="1" x14ac:dyDescent="0.35">
      <c r="A104" s="85"/>
      <c r="B104" s="18"/>
      <c r="C104" s="18"/>
      <c r="D104" s="276"/>
      <c r="E104" s="18"/>
      <c r="F104" s="277"/>
    </row>
    <row r="105" spans="1:6" hidden="1" x14ac:dyDescent="0.35">
      <c r="A105" s="85"/>
      <c r="B105" s="18"/>
      <c r="C105" s="18"/>
      <c r="D105" s="276"/>
      <c r="E105" s="18"/>
      <c r="F105" s="277"/>
    </row>
    <row r="106" spans="1:6" hidden="1" x14ac:dyDescent="0.35">
      <c r="A106" s="85"/>
      <c r="B106" s="18"/>
      <c r="C106" s="18"/>
      <c r="D106" s="276"/>
      <c r="E106" s="18"/>
      <c r="F106" s="277"/>
    </row>
    <row r="107" spans="1:6" hidden="1" x14ac:dyDescent="0.35">
      <c r="A107" s="85"/>
      <c r="B107" s="18"/>
      <c r="C107" s="18"/>
      <c r="D107" s="276"/>
      <c r="E107" s="18"/>
      <c r="F107" s="277"/>
    </row>
    <row r="108" spans="1:6" hidden="1" x14ac:dyDescent="0.35">
      <c r="A108" s="85"/>
      <c r="B108" s="18"/>
      <c r="C108" s="18"/>
      <c r="D108" s="276"/>
      <c r="E108" s="18"/>
      <c r="F108" s="277"/>
    </row>
    <row r="109" spans="1:6" hidden="1" x14ac:dyDescent="0.35">
      <c r="A109" s="85"/>
      <c r="B109" s="18"/>
      <c r="C109" s="18"/>
      <c r="D109" s="276"/>
      <c r="E109" s="18"/>
      <c r="F109" s="277"/>
    </row>
    <row r="110" spans="1:6" hidden="1" x14ac:dyDescent="0.35">
      <c r="A110" s="85"/>
      <c r="B110" s="18"/>
      <c r="C110" s="18"/>
      <c r="D110" s="276"/>
      <c r="E110" s="18"/>
      <c r="F110" s="277"/>
    </row>
    <row r="111" spans="1:6" hidden="1" x14ac:dyDescent="0.35">
      <c r="A111" s="85"/>
      <c r="B111" s="18"/>
      <c r="C111" s="18"/>
      <c r="D111" s="276"/>
      <c r="E111" s="18"/>
      <c r="F111" s="277"/>
    </row>
    <row r="112" spans="1:6" hidden="1" x14ac:dyDescent="0.35">
      <c r="A112" s="85"/>
      <c r="B112" s="18"/>
      <c r="C112" s="18"/>
      <c r="D112" s="276"/>
      <c r="E112" s="18"/>
      <c r="F112" s="277"/>
    </row>
    <row r="113" spans="1:6" hidden="1" x14ac:dyDescent="0.35">
      <c r="A113" s="85"/>
      <c r="B113" s="18"/>
      <c r="C113" s="18"/>
      <c r="D113" s="276"/>
      <c r="E113" s="18"/>
      <c r="F113" s="277"/>
    </row>
    <row r="114" spans="1:6" hidden="1" x14ac:dyDescent="0.35">
      <c r="A114" s="85"/>
      <c r="B114" s="18"/>
      <c r="C114" s="18"/>
      <c r="D114" s="276"/>
      <c r="E114" s="18"/>
      <c r="F114" s="277"/>
    </row>
    <row r="115" spans="1:6" hidden="1" x14ac:dyDescent="0.35">
      <c r="A115" s="85"/>
      <c r="B115" s="18"/>
      <c r="C115" s="18"/>
      <c r="D115" s="276"/>
      <c r="E115" s="18"/>
      <c r="F115" s="277"/>
    </row>
    <row r="116" spans="1:6" hidden="1" x14ac:dyDescent="0.35">
      <c r="A116" s="85"/>
      <c r="B116" s="18"/>
      <c r="C116" s="18"/>
      <c r="D116" s="276"/>
      <c r="E116" s="18"/>
      <c r="F116" s="277"/>
    </row>
    <row r="117" spans="1:6" hidden="1" x14ac:dyDescent="0.35">
      <c r="A117" s="85"/>
      <c r="B117" s="18"/>
      <c r="C117" s="18"/>
      <c r="D117" s="276"/>
      <c r="E117" s="18"/>
      <c r="F117" s="277"/>
    </row>
    <row r="118" spans="1:6" hidden="1" x14ac:dyDescent="0.35">
      <c r="A118" s="85"/>
      <c r="B118" s="18"/>
      <c r="C118" s="18"/>
      <c r="D118" s="276"/>
      <c r="E118" s="18"/>
      <c r="F118" s="277"/>
    </row>
    <row r="119" spans="1:6" hidden="1" x14ac:dyDescent="0.35">
      <c r="A119" s="85"/>
      <c r="B119" s="18"/>
      <c r="C119" s="18"/>
      <c r="D119" s="276"/>
      <c r="E119" s="18"/>
      <c r="F119" s="277"/>
    </row>
    <row r="120" spans="1:6" hidden="1" x14ac:dyDescent="0.35">
      <c r="A120" s="85"/>
      <c r="B120" s="18"/>
      <c r="C120" s="18"/>
      <c r="D120" s="276"/>
      <c r="E120" s="18"/>
      <c r="F120" s="277"/>
    </row>
    <row r="121" spans="1:6" hidden="1" x14ac:dyDescent="0.35">
      <c r="A121" s="85"/>
      <c r="B121" s="18"/>
      <c r="C121" s="18"/>
      <c r="D121" s="276"/>
      <c r="E121" s="18"/>
      <c r="F121" s="277"/>
    </row>
    <row r="122" spans="1:6" hidden="1" x14ac:dyDescent="0.35">
      <c r="A122" s="85"/>
      <c r="B122" s="18"/>
      <c r="C122" s="18"/>
      <c r="D122" s="276"/>
      <c r="E122" s="276"/>
      <c r="F122" s="277"/>
    </row>
    <row r="123" spans="1:6" hidden="1" x14ac:dyDescent="0.35">
      <c r="A123" s="85"/>
      <c r="B123" s="18"/>
      <c r="C123" s="18"/>
      <c r="D123" s="276"/>
      <c r="E123" s="276"/>
      <c r="F123" s="277"/>
    </row>
    <row r="124" spans="1:6" hidden="1" x14ac:dyDescent="0.35">
      <c r="A124" s="85"/>
      <c r="B124" s="18"/>
      <c r="C124" s="18"/>
      <c r="D124" s="276"/>
      <c r="E124" s="276"/>
      <c r="F124" s="277"/>
    </row>
    <row r="125" spans="1:6" hidden="1" x14ac:dyDescent="0.35">
      <c r="A125" s="85"/>
      <c r="B125" s="18"/>
      <c r="C125" s="18"/>
      <c r="D125" s="276"/>
      <c r="E125" s="276"/>
      <c r="F125" s="277"/>
    </row>
    <row r="126" spans="1:6" hidden="1" x14ac:dyDescent="0.35">
      <c r="A126" s="85"/>
      <c r="B126" s="18"/>
      <c r="C126" s="18"/>
      <c r="D126" s="276"/>
      <c r="E126" s="276"/>
      <c r="F126" s="277"/>
    </row>
    <row r="127" spans="1:6" hidden="1" x14ac:dyDescent="0.35">
      <c r="A127" s="85"/>
      <c r="B127" s="18"/>
      <c r="C127" s="18"/>
      <c r="D127" s="276"/>
      <c r="E127" s="276"/>
      <c r="F127" s="277"/>
    </row>
    <row r="128" spans="1:6" hidden="1" x14ac:dyDescent="0.35">
      <c r="A128" s="85"/>
      <c r="B128" s="18"/>
      <c r="C128" s="18"/>
      <c r="D128" s="276"/>
      <c r="E128" s="276"/>
      <c r="F128" s="277"/>
    </row>
    <row r="129" spans="1:6" hidden="1" x14ac:dyDescent="0.35">
      <c r="A129" s="85"/>
      <c r="B129" s="18"/>
      <c r="C129" s="18"/>
      <c r="D129" s="276"/>
      <c r="E129" s="276"/>
      <c r="F129" s="277"/>
    </row>
    <row r="130" spans="1:6" hidden="1" x14ac:dyDescent="0.35">
      <c r="A130" s="85"/>
      <c r="B130" s="18"/>
      <c r="C130" s="18"/>
      <c r="D130" s="276"/>
      <c r="E130" s="276"/>
      <c r="F130" s="277"/>
    </row>
    <row r="131" spans="1:6" hidden="1" x14ac:dyDescent="0.35">
      <c r="A131" s="85"/>
      <c r="B131" s="18"/>
      <c r="C131" s="18"/>
      <c r="D131" s="276"/>
      <c r="E131" s="276"/>
      <c r="F131" s="277"/>
    </row>
    <row r="132" spans="1:6" hidden="1" x14ac:dyDescent="0.35">
      <c r="A132" s="85"/>
      <c r="B132" s="18"/>
      <c r="C132" s="18"/>
      <c r="D132" s="276"/>
      <c r="E132" s="276"/>
      <c r="F132" s="277"/>
    </row>
    <row r="133" spans="1:6" hidden="1" x14ac:dyDescent="0.35">
      <c r="A133" s="85"/>
      <c r="B133" s="18"/>
      <c r="C133" s="18"/>
      <c r="D133" s="276"/>
      <c r="E133" s="276"/>
      <c r="F133" s="277"/>
    </row>
    <row r="134" spans="1:6" hidden="1" x14ac:dyDescent="0.35">
      <c r="A134" s="85"/>
      <c r="B134" s="18"/>
      <c r="C134" s="18"/>
      <c r="D134" s="276"/>
      <c r="E134" s="276"/>
      <c r="F134" s="277"/>
    </row>
    <row r="135" spans="1:6" hidden="1" x14ac:dyDescent="0.35">
      <c r="A135" s="82"/>
      <c r="B135" s="18"/>
      <c r="C135" s="18"/>
      <c r="D135" s="276"/>
      <c r="E135" s="276"/>
      <c r="F135" s="276"/>
    </row>
    <row r="136" spans="1:6" hidden="1" x14ac:dyDescent="0.35">
      <c r="A136" s="82"/>
      <c r="B136" s="18"/>
      <c r="C136" s="18"/>
      <c r="D136" s="276"/>
      <c r="E136" s="276"/>
      <c r="F136" s="276"/>
    </row>
    <row r="137" spans="1:6" hidden="1" x14ac:dyDescent="0.35">
      <c r="A137" s="82"/>
      <c r="B137" s="18"/>
      <c r="C137" s="18"/>
      <c r="D137" s="276"/>
      <c r="E137" s="276"/>
      <c r="F137" s="276"/>
    </row>
    <row r="138" spans="1:6" hidden="1" x14ac:dyDescent="0.35">
      <c r="A138" s="82"/>
      <c r="B138" s="18"/>
      <c r="C138" s="18"/>
      <c r="D138" s="276"/>
      <c r="E138" s="276"/>
      <c r="F138" s="276"/>
    </row>
    <row r="139" spans="1:6" hidden="1" x14ac:dyDescent="0.35">
      <c r="A139" s="82"/>
      <c r="B139" s="18"/>
      <c r="C139" s="18"/>
      <c r="D139" s="276"/>
      <c r="E139" s="276"/>
      <c r="F139" s="276"/>
    </row>
    <row r="140" spans="1:6" hidden="1" x14ac:dyDescent="0.35">
      <c r="A140" s="82"/>
      <c r="B140" s="18"/>
      <c r="C140" s="18"/>
      <c r="D140" s="276"/>
      <c r="E140" s="276"/>
      <c r="F140" s="276"/>
    </row>
    <row r="141" spans="1:6" x14ac:dyDescent="0.35">
      <c r="A141" s="88" t="s">
        <v>1837</v>
      </c>
      <c r="B141" s="439" t="s">
        <v>2266</v>
      </c>
      <c r="F141" s="280">
        <f>SUM(F142:F151)</f>
        <v>0</v>
      </c>
    </row>
    <row r="142" spans="1:6" hidden="1" x14ac:dyDescent="0.35">
      <c r="A142" s="89"/>
      <c r="B142" s="18"/>
      <c r="C142" s="18"/>
      <c r="D142" s="276"/>
      <c r="E142" s="276"/>
      <c r="F142" s="277"/>
    </row>
    <row r="143" spans="1:6" hidden="1" x14ac:dyDescent="0.35">
      <c r="A143" s="89"/>
      <c r="B143" s="18"/>
      <c r="C143" s="18"/>
      <c r="D143" s="276"/>
      <c r="E143" s="276"/>
      <c r="F143" s="277"/>
    </row>
    <row r="144" spans="1:6" hidden="1" x14ac:dyDescent="0.35">
      <c r="A144" s="89"/>
      <c r="B144" s="18"/>
      <c r="C144" s="18"/>
      <c r="D144" s="276"/>
      <c r="E144" s="276"/>
      <c r="F144" s="277"/>
    </row>
    <row r="145" spans="1:6" hidden="1" x14ac:dyDescent="0.35">
      <c r="A145" s="89"/>
      <c r="B145" s="18"/>
      <c r="C145" s="18"/>
      <c r="D145" s="276"/>
      <c r="E145" s="18"/>
      <c r="F145" s="275"/>
    </row>
    <row r="146" spans="1:6" hidden="1" x14ac:dyDescent="0.35">
      <c r="A146" s="89"/>
      <c r="B146" s="18"/>
      <c r="C146" s="18"/>
      <c r="D146" s="276"/>
      <c r="E146" s="18"/>
      <c r="F146" s="275"/>
    </row>
    <row r="147" spans="1:6" hidden="1" x14ac:dyDescent="0.35">
      <c r="A147" s="89"/>
      <c r="B147" s="18"/>
      <c r="C147" s="18"/>
      <c r="D147" s="276"/>
      <c r="E147" s="276"/>
      <c r="F147" s="277"/>
    </row>
    <row r="148" spans="1:6" hidden="1" x14ac:dyDescent="0.35">
      <c r="A148" s="89"/>
      <c r="B148" s="18"/>
      <c r="C148" s="18"/>
      <c r="D148" s="276"/>
      <c r="E148" s="276"/>
      <c r="F148" s="277"/>
    </row>
    <row r="149" spans="1:6" hidden="1" x14ac:dyDescent="0.35">
      <c r="A149" s="89"/>
      <c r="B149" s="18"/>
      <c r="C149" s="18"/>
      <c r="D149" s="276"/>
      <c r="E149" s="276"/>
      <c r="F149" s="277"/>
    </row>
    <row r="150" spans="1:6" hidden="1" x14ac:dyDescent="0.35">
      <c r="A150" s="89"/>
      <c r="B150" s="18"/>
      <c r="C150" s="18"/>
      <c r="D150" s="276"/>
      <c r="E150" s="276"/>
      <c r="F150" s="277"/>
    </row>
    <row r="151" spans="1:6" hidden="1" x14ac:dyDescent="0.35">
      <c r="A151" s="89"/>
      <c r="B151" s="18"/>
      <c r="C151" s="18"/>
      <c r="D151" s="276"/>
      <c r="E151" s="276"/>
      <c r="F151" s="277"/>
    </row>
    <row r="152" spans="1:6" ht="21" x14ac:dyDescent="0.5">
      <c r="A152" s="88" t="s">
        <v>1837</v>
      </c>
      <c r="B152" s="429" t="s">
        <v>2265</v>
      </c>
      <c r="F152" s="280">
        <f>SUM(F153:F202)</f>
        <v>0</v>
      </c>
    </row>
    <row r="153" spans="1:6" hidden="1" x14ac:dyDescent="0.35">
      <c r="A153" s="85" t="s">
        <v>2095</v>
      </c>
      <c r="B153" s="18" t="s">
        <v>2095</v>
      </c>
      <c r="C153" s="18" t="s">
        <v>2095</v>
      </c>
      <c r="D153" s="276" t="s">
        <v>2095</v>
      </c>
      <c r="E153" s="18" t="s">
        <v>2095</v>
      </c>
      <c r="F153" s="277" t="s">
        <v>2095</v>
      </c>
    </row>
    <row r="154" spans="1:6" hidden="1" x14ac:dyDescent="0.35">
      <c r="A154" s="85" t="s">
        <v>2095</v>
      </c>
      <c r="B154" s="18" t="s">
        <v>2095</v>
      </c>
      <c r="C154" s="18" t="s">
        <v>2095</v>
      </c>
      <c r="D154" s="276" t="s">
        <v>2095</v>
      </c>
      <c r="E154" s="276" t="s">
        <v>2095</v>
      </c>
      <c r="F154" s="277" t="s">
        <v>2095</v>
      </c>
    </row>
    <row r="155" spans="1:6" hidden="1" x14ac:dyDescent="0.35">
      <c r="A155" s="85" t="s">
        <v>2095</v>
      </c>
      <c r="B155" s="18" t="s">
        <v>2095</v>
      </c>
      <c r="C155" s="18" t="s">
        <v>2095</v>
      </c>
      <c r="D155" s="276" t="s">
        <v>2095</v>
      </c>
      <c r="E155" s="18" t="s">
        <v>2095</v>
      </c>
      <c r="F155" s="277" t="s">
        <v>2095</v>
      </c>
    </row>
    <row r="156" spans="1:6" hidden="1" x14ac:dyDescent="0.35">
      <c r="A156" s="85" t="s">
        <v>2095</v>
      </c>
      <c r="B156" s="18" t="s">
        <v>2095</v>
      </c>
      <c r="C156" s="18" t="s">
        <v>2095</v>
      </c>
      <c r="D156" s="276" t="s">
        <v>2095</v>
      </c>
      <c r="E156" s="18" t="s">
        <v>2095</v>
      </c>
      <c r="F156" s="277" t="s">
        <v>2095</v>
      </c>
    </row>
    <row r="157" spans="1:6" hidden="1" x14ac:dyDescent="0.35">
      <c r="A157" s="85"/>
      <c r="B157" s="18"/>
      <c r="C157" s="18"/>
      <c r="D157" s="276"/>
      <c r="E157" s="18"/>
      <c r="F157" s="277"/>
    </row>
    <row r="158" spans="1:6" ht="21" hidden="1" x14ac:dyDescent="0.5">
      <c r="A158" s="85"/>
      <c r="B158" s="155"/>
      <c r="C158" s="18"/>
      <c r="D158" s="276"/>
      <c r="E158" s="18"/>
      <c r="F158" s="277"/>
    </row>
    <row r="159" spans="1:6" hidden="1" x14ac:dyDescent="0.35">
      <c r="A159" s="85"/>
      <c r="B159" s="18"/>
      <c r="C159" s="18"/>
      <c r="D159" s="276"/>
      <c r="E159" s="18"/>
      <c r="F159" s="277"/>
    </row>
    <row r="160" spans="1:6" hidden="1" x14ac:dyDescent="0.35">
      <c r="A160" s="85" t="s">
        <v>2095</v>
      </c>
      <c r="B160" s="18" t="s">
        <v>2095</v>
      </c>
      <c r="C160" s="18" t="s">
        <v>2095</v>
      </c>
      <c r="D160" s="276" t="s">
        <v>2095</v>
      </c>
      <c r="E160" s="18" t="s">
        <v>2095</v>
      </c>
      <c r="F160" s="277" t="s">
        <v>2095</v>
      </c>
    </row>
    <row r="161" spans="1:6" hidden="1" x14ac:dyDescent="0.35">
      <c r="A161" s="85" t="s">
        <v>2095</v>
      </c>
      <c r="B161" s="18" t="s">
        <v>2095</v>
      </c>
      <c r="C161" s="18" t="s">
        <v>2095</v>
      </c>
      <c r="D161" s="276" t="s">
        <v>2095</v>
      </c>
      <c r="E161" s="276" t="s">
        <v>2095</v>
      </c>
      <c r="F161" s="277" t="s">
        <v>2095</v>
      </c>
    </row>
    <row r="162" spans="1:6" hidden="1" x14ac:dyDescent="0.35">
      <c r="A162" s="85"/>
      <c r="B162" s="18"/>
      <c r="C162" s="18"/>
      <c r="D162" s="276"/>
      <c r="E162" s="18"/>
      <c r="F162" s="277"/>
    </row>
    <row r="163" spans="1:6" hidden="1" x14ac:dyDescent="0.35">
      <c r="A163" s="85"/>
      <c r="B163" s="18"/>
      <c r="C163" s="18"/>
      <c r="D163" s="276"/>
      <c r="E163" s="18"/>
      <c r="F163" s="277"/>
    </row>
    <row r="164" spans="1:6" hidden="1" x14ac:dyDescent="0.35">
      <c r="A164" s="85"/>
      <c r="B164" s="18"/>
      <c r="C164" s="18"/>
      <c r="D164" s="276"/>
      <c r="E164" s="18"/>
      <c r="F164" s="277"/>
    </row>
    <row r="165" spans="1:6" hidden="1" x14ac:dyDescent="0.35">
      <c r="A165" s="85" t="s">
        <v>2095</v>
      </c>
      <c r="B165" s="18" t="s">
        <v>2095</v>
      </c>
      <c r="C165" s="18" t="s">
        <v>2095</v>
      </c>
      <c r="D165" s="276" t="s">
        <v>2095</v>
      </c>
      <c r="E165" s="276" t="s">
        <v>2095</v>
      </c>
      <c r="F165" s="277" t="s">
        <v>2095</v>
      </c>
    </row>
    <row r="166" spans="1:6" hidden="1" x14ac:dyDescent="0.35">
      <c r="A166" s="85" t="s">
        <v>2095</v>
      </c>
      <c r="B166" s="18" t="s">
        <v>2095</v>
      </c>
      <c r="C166" s="18" t="s">
        <v>2095</v>
      </c>
      <c r="D166" s="276" t="s">
        <v>2095</v>
      </c>
      <c r="E166" s="276" t="s">
        <v>2095</v>
      </c>
      <c r="F166" s="277" t="s">
        <v>2095</v>
      </c>
    </row>
    <row r="167" spans="1:6" hidden="1" x14ac:dyDescent="0.35">
      <c r="A167" s="85" t="s">
        <v>2095</v>
      </c>
      <c r="B167" s="18" t="s">
        <v>2095</v>
      </c>
      <c r="C167" s="18" t="s">
        <v>2095</v>
      </c>
      <c r="D167" s="276" t="s">
        <v>2095</v>
      </c>
      <c r="E167" s="18" t="s">
        <v>2095</v>
      </c>
      <c r="F167" s="277" t="s">
        <v>2095</v>
      </c>
    </row>
    <row r="168" spans="1:6" hidden="1" x14ac:dyDescent="0.35">
      <c r="A168" s="85" t="s">
        <v>2095</v>
      </c>
      <c r="B168" s="18" t="s">
        <v>2095</v>
      </c>
      <c r="C168" s="18" t="s">
        <v>2095</v>
      </c>
      <c r="D168" s="276" t="s">
        <v>2095</v>
      </c>
      <c r="E168" s="18" t="s">
        <v>2095</v>
      </c>
      <c r="F168" s="277" t="s">
        <v>2095</v>
      </c>
    </row>
    <row r="169" spans="1:6" hidden="1" x14ac:dyDescent="0.35">
      <c r="A169" s="85" t="s">
        <v>2095</v>
      </c>
      <c r="B169" s="18" t="s">
        <v>2095</v>
      </c>
      <c r="C169" s="18" t="s">
        <v>2095</v>
      </c>
      <c r="D169" s="276" t="s">
        <v>2095</v>
      </c>
      <c r="E169" s="18" t="s">
        <v>2095</v>
      </c>
      <c r="F169" s="277" t="s">
        <v>2095</v>
      </c>
    </row>
    <row r="170" spans="1:6" hidden="1" x14ac:dyDescent="0.35">
      <c r="A170" s="85" t="s">
        <v>2095</v>
      </c>
      <c r="B170" s="18" t="s">
        <v>2095</v>
      </c>
      <c r="C170" s="18" t="s">
        <v>2095</v>
      </c>
      <c r="D170" s="276" t="s">
        <v>2095</v>
      </c>
      <c r="E170" s="18" t="s">
        <v>2095</v>
      </c>
      <c r="F170" s="277" t="s">
        <v>2095</v>
      </c>
    </row>
    <row r="171" spans="1:6" hidden="1" x14ac:dyDescent="0.35">
      <c r="A171" s="85" t="s">
        <v>2095</v>
      </c>
      <c r="B171" s="18" t="s">
        <v>2095</v>
      </c>
      <c r="C171" s="18" t="s">
        <v>2095</v>
      </c>
      <c r="D171" s="276" t="s">
        <v>2095</v>
      </c>
      <c r="E171" s="18" t="s">
        <v>2095</v>
      </c>
      <c r="F171" s="277" t="s">
        <v>2095</v>
      </c>
    </row>
    <row r="172" spans="1:6" hidden="1" x14ac:dyDescent="0.35">
      <c r="A172" s="85"/>
      <c r="B172" s="18"/>
      <c r="C172" s="18"/>
      <c r="D172" s="276"/>
      <c r="E172" s="18"/>
      <c r="F172" s="277"/>
    </row>
    <row r="173" spans="1:6" hidden="1" x14ac:dyDescent="0.35">
      <c r="A173" s="85"/>
      <c r="B173" s="18"/>
      <c r="C173" s="18"/>
      <c r="D173" s="276"/>
      <c r="E173" s="18"/>
      <c r="F173" s="277"/>
    </row>
    <row r="174" spans="1:6" hidden="1" x14ac:dyDescent="0.35">
      <c r="A174" s="85"/>
      <c r="B174" s="18"/>
      <c r="C174" s="18"/>
      <c r="D174" s="276"/>
      <c r="E174" s="18"/>
      <c r="F174" s="277"/>
    </row>
    <row r="175" spans="1:6" hidden="1" x14ac:dyDescent="0.35">
      <c r="A175" s="85"/>
      <c r="B175" s="18"/>
      <c r="C175" s="18"/>
      <c r="D175" s="276"/>
      <c r="E175" s="18"/>
      <c r="F175" s="277"/>
    </row>
    <row r="176" spans="1:6" hidden="1" x14ac:dyDescent="0.35">
      <c r="A176" s="85"/>
      <c r="B176" s="18"/>
      <c r="C176" s="18"/>
      <c r="D176" s="276"/>
      <c r="E176" s="18"/>
      <c r="F176" s="277"/>
    </row>
    <row r="177" spans="1:6" hidden="1" x14ac:dyDescent="0.35">
      <c r="A177" s="85"/>
      <c r="B177" s="18"/>
      <c r="C177" s="18"/>
      <c r="D177" s="276"/>
      <c r="E177" s="18"/>
      <c r="F177" s="277"/>
    </row>
    <row r="178" spans="1:6" hidden="1" x14ac:dyDescent="0.35">
      <c r="A178" s="85"/>
      <c r="B178" s="18"/>
      <c r="C178" s="18"/>
      <c r="D178" s="276"/>
      <c r="E178" s="18"/>
      <c r="F178" s="277"/>
    </row>
    <row r="179" spans="1:6" hidden="1" x14ac:dyDescent="0.35">
      <c r="A179" s="85"/>
      <c r="B179" s="18"/>
      <c r="C179" s="18"/>
      <c r="D179" s="276"/>
      <c r="E179" s="18"/>
      <c r="F179" s="277"/>
    </row>
    <row r="180" spans="1:6" hidden="1" x14ac:dyDescent="0.35">
      <c r="A180" s="85"/>
      <c r="B180" s="18"/>
      <c r="C180" s="18"/>
      <c r="D180" s="276"/>
      <c r="E180" s="18"/>
      <c r="F180" s="277"/>
    </row>
    <row r="181" spans="1:6" hidden="1" x14ac:dyDescent="0.35">
      <c r="A181" s="85" t="s">
        <v>2095</v>
      </c>
      <c r="B181" s="18" t="s">
        <v>2095</v>
      </c>
      <c r="C181" s="18" t="s">
        <v>2095</v>
      </c>
      <c r="D181" s="276" t="s">
        <v>2095</v>
      </c>
      <c r="E181" s="18" t="s">
        <v>2095</v>
      </c>
      <c r="F181" s="277" t="s">
        <v>2095</v>
      </c>
    </row>
    <row r="182" spans="1:6" hidden="1" x14ac:dyDescent="0.35">
      <c r="A182" s="85" t="s">
        <v>2095</v>
      </c>
      <c r="B182" s="18" t="s">
        <v>2095</v>
      </c>
      <c r="C182" s="18" t="s">
        <v>2095</v>
      </c>
      <c r="D182" s="276" t="s">
        <v>2095</v>
      </c>
      <c r="E182" s="18" t="s">
        <v>2095</v>
      </c>
      <c r="F182" s="277" t="s">
        <v>2095</v>
      </c>
    </row>
    <row r="183" spans="1:6" hidden="1" x14ac:dyDescent="0.35">
      <c r="A183" s="85" t="s">
        <v>2095</v>
      </c>
      <c r="B183" s="18" t="s">
        <v>2095</v>
      </c>
      <c r="C183" s="18" t="s">
        <v>2095</v>
      </c>
      <c r="D183" s="276" t="s">
        <v>2095</v>
      </c>
      <c r="E183" s="18" t="s">
        <v>2095</v>
      </c>
      <c r="F183" s="277" t="s">
        <v>2095</v>
      </c>
    </row>
    <row r="184" spans="1:6" hidden="1" x14ac:dyDescent="0.35">
      <c r="A184" s="85" t="s">
        <v>2095</v>
      </c>
      <c r="B184" s="18" t="s">
        <v>2095</v>
      </c>
      <c r="C184" s="18" t="s">
        <v>2095</v>
      </c>
      <c r="D184" s="276" t="s">
        <v>2095</v>
      </c>
      <c r="E184" s="18" t="s">
        <v>2095</v>
      </c>
      <c r="F184" s="277" t="s">
        <v>2095</v>
      </c>
    </row>
    <row r="185" spans="1:6" hidden="1" x14ac:dyDescent="0.35">
      <c r="A185" s="85" t="s">
        <v>2095</v>
      </c>
      <c r="B185" s="18" t="s">
        <v>2095</v>
      </c>
      <c r="C185" s="18" t="s">
        <v>2095</v>
      </c>
      <c r="D185" s="276" t="s">
        <v>2095</v>
      </c>
      <c r="E185" s="18" t="s">
        <v>2095</v>
      </c>
      <c r="F185" s="277" t="s">
        <v>2095</v>
      </c>
    </row>
    <row r="186" spans="1:6" hidden="1" x14ac:dyDescent="0.35">
      <c r="A186" s="85" t="s">
        <v>2095</v>
      </c>
      <c r="B186" s="18" t="s">
        <v>2095</v>
      </c>
      <c r="C186" s="18" t="s">
        <v>2095</v>
      </c>
      <c r="D186" s="276" t="s">
        <v>2095</v>
      </c>
      <c r="E186" s="18" t="s">
        <v>2095</v>
      </c>
      <c r="F186" s="277" t="s">
        <v>2095</v>
      </c>
    </row>
    <row r="187" spans="1:6" hidden="1" x14ac:dyDescent="0.35">
      <c r="A187" s="85" t="s">
        <v>2095</v>
      </c>
      <c r="B187" s="18" t="s">
        <v>2095</v>
      </c>
      <c r="C187" s="18" t="s">
        <v>2095</v>
      </c>
      <c r="D187" s="276" t="s">
        <v>2095</v>
      </c>
      <c r="E187" s="18" t="s">
        <v>2095</v>
      </c>
      <c r="F187" s="277" t="s">
        <v>2095</v>
      </c>
    </row>
    <row r="188" spans="1:6" hidden="1" x14ac:dyDescent="0.35">
      <c r="A188" s="85" t="s">
        <v>2095</v>
      </c>
      <c r="B188" s="18" t="s">
        <v>2095</v>
      </c>
      <c r="C188" s="18" t="s">
        <v>2095</v>
      </c>
      <c r="D188" s="276" t="s">
        <v>2095</v>
      </c>
      <c r="E188" s="18" t="s">
        <v>2095</v>
      </c>
      <c r="F188" s="277" t="s">
        <v>2095</v>
      </c>
    </row>
    <row r="189" spans="1:6" hidden="1" x14ac:dyDescent="0.35">
      <c r="A189" s="85"/>
      <c r="B189" s="18"/>
      <c r="C189" s="18"/>
      <c r="D189" s="276"/>
      <c r="E189" s="18"/>
      <c r="F189" s="277"/>
    </row>
    <row r="190" spans="1:6" hidden="1" x14ac:dyDescent="0.35">
      <c r="A190" s="85" t="s">
        <v>2095</v>
      </c>
      <c r="B190" s="18" t="s">
        <v>2095</v>
      </c>
      <c r="C190" s="18" t="s">
        <v>2095</v>
      </c>
      <c r="D190" s="276" t="s">
        <v>2095</v>
      </c>
      <c r="E190" s="18" t="s">
        <v>2095</v>
      </c>
      <c r="F190" s="277" t="s">
        <v>2095</v>
      </c>
    </row>
    <row r="191" spans="1:6" hidden="1" x14ac:dyDescent="0.35">
      <c r="A191" s="85" t="s">
        <v>2095</v>
      </c>
      <c r="B191" s="18" t="s">
        <v>2095</v>
      </c>
      <c r="C191" s="18" t="s">
        <v>2095</v>
      </c>
      <c r="D191" s="276" t="s">
        <v>2095</v>
      </c>
      <c r="E191" s="18" t="s">
        <v>2095</v>
      </c>
      <c r="F191" s="277" t="s">
        <v>2095</v>
      </c>
    </row>
    <row r="192" spans="1:6" hidden="1" x14ac:dyDescent="0.35">
      <c r="A192" s="85" t="s">
        <v>2095</v>
      </c>
      <c r="B192" s="18" t="s">
        <v>2095</v>
      </c>
      <c r="C192" s="18" t="s">
        <v>2095</v>
      </c>
      <c r="D192" s="276" t="s">
        <v>2095</v>
      </c>
      <c r="E192" s="18" t="s">
        <v>2095</v>
      </c>
      <c r="F192" s="277" t="s">
        <v>2095</v>
      </c>
    </row>
    <row r="193" spans="1:6" hidden="1" x14ac:dyDescent="0.35">
      <c r="A193" s="85" t="s">
        <v>2095</v>
      </c>
      <c r="B193" s="18" t="s">
        <v>2095</v>
      </c>
      <c r="C193" s="18" t="s">
        <v>2095</v>
      </c>
      <c r="D193" s="276" t="s">
        <v>2095</v>
      </c>
      <c r="E193" s="18" t="s">
        <v>2095</v>
      </c>
      <c r="F193" s="277" t="s">
        <v>2095</v>
      </c>
    </row>
    <row r="194" spans="1:6" hidden="1" x14ac:dyDescent="0.35">
      <c r="A194" s="85" t="s">
        <v>2095</v>
      </c>
      <c r="B194" s="18" t="s">
        <v>2095</v>
      </c>
      <c r="C194" s="18" t="s">
        <v>2095</v>
      </c>
      <c r="D194" s="276" t="s">
        <v>2095</v>
      </c>
      <c r="E194" s="18" t="s">
        <v>2095</v>
      </c>
      <c r="F194" s="277" t="s">
        <v>2095</v>
      </c>
    </row>
    <row r="195" spans="1:6" hidden="1" x14ac:dyDescent="0.35">
      <c r="A195" s="85" t="s">
        <v>2095</v>
      </c>
      <c r="B195" s="18" t="s">
        <v>2095</v>
      </c>
      <c r="C195" s="18" t="s">
        <v>2095</v>
      </c>
      <c r="D195" s="276" t="s">
        <v>2095</v>
      </c>
      <c r="E195" s="18" t="s">
        <v>2095</v>
      </c>
      <c r="F195" s="277" t="s">
        <v>2095</v>
      </c>
    </row>
    <row r="196" spans="1:6" hidden="1" x14ac:dyDescent="0.35">
      <c r="A196" s="85" t="s">
        <v>2095</v>
      </c>
      <c r="B196" s="18" t="s">
        <v>2095</v>
      </c>
      <c r="C196" s="18" t="s">
        <v>2095</v>
      </c>
      <c r="D196" s="276" t="s">
        <v>2095</v>
      </c>
      <c r="E196" s="18" t="s">
        <v>2095</v>
      </c>
      <c r="F196" s="277" t="s">
        <v>2095</v>
      </c>
    </row>
    <row r="197" spans="1:6" hidden="1" x14ac:dyDescent="0.35">
      <c r="A197" s="85" t="s">
        <v>2095</v>
      </c>
      <c r="B197" s="18" t="s">
        <v>2095</v>
      </c>
      <c r="C197" s="18" t="s">
        <v>2095</v>
      </c>
      <c r="D197" s="276" t="s">
        <v>2095</v>
      </c>
      <c r="E197" s="18" t="s">
        <v>2095</v>
      </c>
      <c r="F197" s="277" t="s">
        <v>2095</v>
      </c>
    </row>
    <row r="198" spans="1:6" hidden="1" x14ac:dyDescent="0.35">
      <c r="A198" s="85"/>
      <c r="B198" s="18"/>
      <c r="C198" s="18"/>
      <c r="D198" s="276"/>
      <c r="E198" s="18" t="s">
        <v>2095</v>
      </c>
      <c r="F198" s="277" t="s">
        <v>2095</v>
      </c>
    </row>
    <row r="199" spans="1:6" hidden="1" x14ac:dyDescent="0.35">
      <c r="A199" s="85"/>
      <c r="B199" s="18"/>
      <c r="C199" s="18"/>
      <c r="D199" s="276"/>
      <c r="E199" s="18"/>
      <c r="F199" s="277"/>
    </row>
    <row r="200" spans="1:6" hidden="1" x14ac:dyDescent="0.35">
      <c r="A200" s="85" t="s">
        <v>2095</v>
      </c>
      <c r="B200" s="18" t="s">
        <v>2095</v>
      </c>
      <c r="C200" s="18" t="s">
        <v>2095</v>
      </c>
      <c r="D200" s="276" t="s">
        <v>2095</v>
      </c>
      <c r="E200" s="18" t="s">
        <v>2095</v>
      </c>
      <c r="F200" s="277" t="s">
        <v>2095</v>
      </c>
    </row>
    <row r="201" spans="1:6" hidden="1" x14ac:dyDescent="0.35">
      <c r="A201" s="85" t="s">
        <v>2095</v>
      </c>
      <c r="B201" s="18" t="s">
        <v>2095</v>
      </c>
      <c r="C201" s="18" t="s">
        <v>2095</v>
      </c>
      <c r="D201" s="276" t="s">
        <v>2095</v>
      </c>
      <c r="E201" s="276" t="s">
        <v>2095</v>
      </c>
      <c r="F201" s="277" t="s">
        <v>2095</v>
      </c>
    </row>
    <row r="202" spans="1:6" ht="15" hidden="1" thickBot="1" x14ac:dyDescent="0.4">
      <c r="A202" s="86" t="s">
        <v>2095</v>
      </c>
      <c r="B202" s="19" t="s">
        <v>2095</v>
      </c>
      <c r="C202" s="19" t="s">
        <v>2095</v>
      </c>
      <c r="D202" s="278" t="s">
        <v>2095</v>
      </c>
      <c r="E202" s="19" t="s">
        <v>2095</v>
      </c>
      <c r="F202" s="279" t="s">
        <v>2095</v>
      </c>
    </row>
    <row r="203" spans="1:6" ht="15" thickBot="1" x14ac:dyDescent="0.4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35">
      <c r="A204" s="82"/>
      <c r="B204" s="18"/>
      <c r="C204" s="18"/>
      <c r="D204" s="276"/>
      <c r="E204" s="18"/>
      <c r="F204" s="276"/>
    </row>
    <row r="205" spans="1:6" hidden="1" x14ac:dyDescent="0.35">
      <c r="A205" s="82"/>
      <c r="B205" s="18"/>
      <c r="C205" s="18"/>
      <c r="D205" s="276"/>
      <c r="E205" s="18"/>
      <c r="F205" s="276"/>
    </row>
    <row r="206" spans="1:6" hidden="1" x14ac:dyDescent="0.35">
      <c r="A206" s="82"/>
      <c r="B206" s="18"/>
      <c r="C206" s="18"/>
      <c r="D206" s="276"/>
      <c r="E206" s="18"/>
      <c r="F206" s="276"/>
    </row>
    <row r="207" spans="1:6" hidden="1" x14ac:dyDescent="0.35">
      <c r="A207" s="82"/>
      <c r="B207" s="18"/>
      <c r="C207" s="18"/>
      <c r="D207" s="276"/>
      <c r="E207" s="18"/>
      <c r="F207" s="276"/>
    </row>
    <row r="208" spans="1:6" hidden="1" x14ac:dyDescent="0.35">
      <c r="A208" s="82"/>
      <c r="B208" s="18"/>
      <c r="C208" s="18"/>
      <c r="D208" s="276"/>
      <c r="E208" s="18"/>
      <c r="F208" s="276"/>
    </row>
    <row r="209" spans="1:6" hidden="1" x14ac:dyDescent="0.35">
      <c r="A209" s="82"/>
      <c r="B209" s="18"/>
      <c r="C209" s="18"/>
      <c r="D209" s="276"/>
      <c r="E209" s="18"/>
      <c r="F209" s="276"/>
    </row>
    <row r="210" spans="1:6" hidden="1" x14ac:dyDescent="0.35">
      <c r="A210" s="82"/>
      <c r="B210" s="18"/>
      <c r="C210" s="18"/>
      <c r="D210" s="276"/>
      <c r="E210" s="18"/>
      <c r="F210" s="276"/>
    </row>
    <row r="211" spans="1:6" hidden="1" x14ac:dyDescent="0.35">
      <c r="A211" s="82"/>
      <c r="B211" s="18"/>
      <c r="C211" s="18"/>
      <c r="D211" s="276"/>
      <c r="E211" s="18"/>
      <c r="F211" s="276"/>
    </row>
    <row r="212" spans="1:6" hidden="1" x14ac:dyDescent="0.35">
      <c r="A212" s="82"/>
      <c r="B212" s="18"/>
      <c r="C212" s="18"/>
      <c r="D212" s="276"/>
      <c r="E212" s="18"/>
      <c r="F212" s="276"/>
    </row>
    <row r="213" spans="1:6" hidden="1" x14ac:dyDescent="0.3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35">
      <c r="A214" s="82"/>
      <c r="B214" s="18"/>
      <c r="C214" s="18"/>
      <c r="D214" s="276"/>
      <c r="E214" s="18"/>
      <c r="F214" s="276"/>
    </row>
    <row r="215" spans="1:6" hidden="1" x14ac:dyDescent="0.35">
      <c r="A215" s="82"/>
      <c r="B215" s="18"/>
      <c r="C215" s="18"/>
      <c r="D215" s="276"/>
      <c r="E215" s="18"/>
      <c r="F215" s="276"/>
    </row>
    <row r="216" spans="1:6" hidden="1" x14ac:dyDescent="0.35">
      <c r="A216" s="82"/>
      <c r="B216" s="18"/>
      <c r="C216" s="18"/>
      <c r="D216" s="276"/>
      <c r="E216" s="18"/>
      <c r="F216" s="276"/>
    </row>
    <row r="217" spans="1:6" hidden="1" x14ac:dyDescent="0.35">
      <c r="A217" s="82"/>
      <c r="B217" s="18"/>
      <c r="C217" s="18"/>
      <c r="D217" s="276"/>
      <c r="E217" s="18"/>
      <c r="F217" s="276"/>
    </row>
    <row r="218" spans="1:6" hidden="1" x14ac:dyDescent="0.35">
      <c r="A218" s="82"/>
      <c r="B218" s="18"/>
      <c r="C218" s="18"/>
      <c r="D218" s="276"/>
      <c r="E218" s="18"/>
      <c r="F218" s="276"/>
    </row>
    <row r="219" spans="1:6" hidden="1" x14ac:dyDescent="0.35">
      <c r="A219" s="82"/>
      <c r="B219" s="18"/>
      <c r="C219" s="18"/>
      <c r="D219" s="276"/>
      <c r="E219" s="18"/>
      <c r="F219" s="276"/>
    </row>
    <row r="220" spans="1:6" hidden="1" x14ac:dyDescent="0.35">
      <c r="A220" s="82"/>
      <c r="B220" s="18"/>
      <c r="C220" s="18"/>
      <c r="D220" s="276"/>
      <c r="E220" s="18"/>
      <c r="F220" s="276"/>
    </row>
    <row r="221" spans="1:6" hidden="1" x14ac:dyDescent="0.35">
      <c r="A221" s="82"/>
      <c r="B221" s="18"/>
      <c r="C221" s="18"/>
      <c r="D221" s="276"/>
      <c r="E221" s="18"/>
      <c r="F221" s="276"/>
    </row>
    <row r="222" spans="1:6" hidden="1" x14ac:dyDescent="0.35">
      <c r="A222" s="82"/>
      <c r="B222" s="18"/>
      <c r="C222" s="18"/>
      <c r="D222" s="276"/>
      <c r="E222" s="18"/>
      <c r="F222" s="276"/>
    </row>
    <row r="223" spans="1:6" hidden="1" x14ac:dyDescent="0.35">
      <c r="A223" s="82"/>
      <c r="B223" s="18"/>
      <c r="C223" s="18"/>
      <c r="D223" s="276"/>
      <c r="E223" s="18"/>
      <c r="F223" s="276"/>
    </row>
    <row r="224" spans="1:6" hidden="1" x14ac:dyDescent="0.35">
      <c r="A224" s="82"/>
      <c r="B224" s="18"/>
      <c r="C224" s="18"/>
      <c r="D224" s="276"/>
      <c r="E224" s="18"/>
      <c r="F224" s="276"/>
    </row>
    <row r="225" spans="1:6" hidden="1" x14ac:dyDescent="0.35">
      <c r="A225" s="82"/>
      <c r="B225" s="18"/>
      <c r="C225" s="18"/>
      <c r="D225" s="276"/>
      <c r="E225" s="18"/>
      <c r="F225" s="276"/>
    </row>
    <row r="226" spans="1:6" hidden="1" x14ac:dyDescent="0.35">
      <c r="A226" s="82"/>
      <c r="B226" s="18"/>
      <c r="C226" s="18"/>
      <c r="D226" s="276"/>
      <c r="E226" s="18"/>
      <c r="F226" s="276"/>
    </row>
    <row r="227" spans="1:6" hidden="1" x14ac:dyDescent="0.35">
      <c r="A227" s="82"/>
      <c r="B227" s="18"/>
      <c r="C227" s="18"/>
      <c r="D227" s="276"/>
      <c r="E227" s="18"/>
      <c r="F227" s="276"/>
    </row>
    <row r="228" spans="1:6" hidden="1" x14ac:dyDescent="0.35">
      <c r="A228" s="82"/>
      <c r="B228" s="18"/>
      <c r="C228" s="18"/>
      <c r="D228" s="276"/>
      <c r="E228" s="18"/>
      <c r="F228" s="276"/>
    </row>
    <row r="229" spans="1:6" hidden="1" x14ac:dyDescent="0.35">
      <c r="A229" s="82"/>
      <c r="B229" s="18"/>
      <c r="C229" s="18"/>
      <c r="D229" s="276"/>
      <c r="E229" s="18"/>
      <c r="F229" s="276"/>
    </row>
    <row r="230" spans="1:6" hidden="1" x14ac:dyDescent="0.35">
      <c r="A230" s="82"/>
      <c r="B230" s="18"/>
      <c r="C230" s="18"/>
      <c r="D230" s="276"/>
      <c r="E230" s="18"/>
      <c r="F230" s="276"/>
    </row>
    <row r="231" spans="1:6" hidden="1" x14ac:dyDescent="0.35">
      <c r="A231" s="82"/>
      <c r="B231" s="18"/>
      <c r="C231" s="18"/>
      <c r="D231" s="276"/>
      <c r="E231" s="18"/>
      <c r="F231" s="276"/>
    </row>
    <row r="232" spans="1:6" hidden="1" x14ac:dyDescent="0.35">
      <c r="A232" s="82"/>
      <c r="B232" s="18"/>
      <c r="C232" s="18"/>
      <c r="D232" s="276"/>
      <c r="E232" s="276"/>
      <c r="F232" s="276"/>
    </row>
    <row r="233" spans="1:6" hidden="1" x14ac:dyDescent="0.35">
      <c r="A233" s="82"/>
      <c r="B233" s="18"/>
      <c r="C233" s="18"/>
      <c r="D233" s="276"/>
      <c r="E233" s="276"/>
      <c r="F233" s="276"/>
    </row>
    <row r="234" spans="1:6" hidden="1" x14ac:dyDescent="0.35">
      <c r="A234" s="82"/>
      <c r="B234" s="18"/>
      <c r="C234" s="18"/>
      <c r="D234" s="276"/>
      <c r="E234" s="276"/>
      <c r="F234" s="276"/>
    </row>
    <row r="235" spans="1:6" hidden="1" x14ac:dyDescent="0.35">
      <c r="A235" s="82"/>
      <c r="B235" s="18"/>
      <c r="C235" s="18"/>
      <c r="D235" s="276"/>
      <c r="E235" s="276"/>
      <c r="F235" s="276"/>
    </row>
    <row r="236" spans="1:6" hidden="1" x14ac:dyDescent="0.35">
      <c r="A236" s="82"/>
      <c r="B236" s="18"/>
      <c r="C236" s="18"/>
      <c r="D236" s="276"/>
      <c r="E236" s="276"/>
      <c r="F236" s="276"/>
    </row>
    <row r="237" spans="1:6" hidden="1" x14ac:dyDescent="0.35">
      <c r="A237" s="82"/>
      <c r="B237" s="18"/>
      <c r="C237" s="18"/>
      <c r="D237" s="276"/>
      <c r="E237" s="18"/>
      <c r="F237" s="276"/>
    </row>
    <row r="238" spans="1:6" hidden="1" x14ac:dyDescent="0.35">
      <c r="A238" s="82"/>
      <c r="B238" s="18"/>
      <c r="C238" s="18"/>
      <c r="D238" s="276"/>
      <c r="E238" s="18"/>
      <c r="F238" s="276"/>
    </row>
    <row r="239" spans="1:6" hidden="1" x14ac:dyDescent="0.35">
      <c r="A239" s="82"/>
      <c r="B239" s="18"/>
      <c r="C239" s="18"/>
      <c r="D239" s="276"/>
      <c r="E239" s="18"/>
      <c r="F239" s="276"/>
    </row>
    <row r="240" spans="1:6" hidden="1" x14ac:dyDescent="0.35">
      <c r="A240" s="82"/>
      <c r="B240" s="18"/>
      <c r="C240" s="18"/>
      <c r="D240" s="276"/>
      <c r="E240" s="18"/>
      <c r="F240" s="276"/>
    </row>
    <row r="241" spans="1:6" hidden="1" x14ac:dyDescent="0.35">
      <c r="A241" s="82"/>
      <c r="B241" s="18"/>
      <c r="C241" s="18"/>
      <c r="D241" s="276"/>
      <c r="E241" s="18"/>
      <c r="F241" s="276"/>
    </row>
    <row r="242" spans="1:6" hidden="1" x14ac:dyDescent="0.35">
      <c r="A242" s="82"/>
      <c r="B242" s="18"/>
      <c r="C242" s="18"/>
      <c r="D242" s="276"/>
      <c r="E242" s="18"/>
      <c r="F242" s="276"/>
    </row>
    <row r="243" spans="1:6" hidden="1" x14ac:dyDescent="0.35">
      <c r="A243" s="82"/>
      <c r="B243" s="18"/>
      <c r="C243" s="18"/>
      <c r="D243" s="276"/>
      <c r="E243" s="18"/>
      <c r="F243" s="276"/>
    </row>
    <row r="244" spans="1:6" hidden="1" x14ac:dyDescent="0.35">
      <c r="A244" s="82"/>
      <c r="B244" s="18"/>
      <c r="C244" s="18"/>
      <c r="D244" s="276"/>
      <c r="E244" s="18"/>
      <c r="F244" s="276"/>
    </row>
    <row r="245" spans="1:6" hidden="1" x14ac:dyDescent="0.35">
      <c r="A245" s="82"/>
      <c r="B245" s="18"/>
      <c r="C245" s="18"/>
      <c r="D245" s="276"/>
      <c r="E245" s="18"/>
      <c r="F245" s="276"/>
    </row>
    <row r="246" spans="1:6" hidden="1" x14ac:dyDescent="0.35">
      <c r="A246" s="82"/>
      <c r="B246" s="18"/>
      <c r="C246" s="18"/>
      <c r="D246" s="276"/>
      <c r="E246" s="18"/>
      <c r="F246" s="276"/>
    </row>
    <row r="247" spans="1:6" hidden="1" x14ac:dyDescent="0.35">
      <c r="A247" s="82"/>
      <c r="B247" s="18"/>
      <c r="C247" s="18"/>
      <c r="D247" s="276"/>
      <c r="E247" s="18"/>
      <c r="F247" s="276"/>
    </row>
    <row r="248" spans="1:6" hidden="1" x14ac:dyDescent="0.35">
      <c r="A248" s="82"/>
      <c r="B248" s="18"/>
      <c r="C248" s="18"/>
      <c r="D248" s="276"/>
      <c r="E248" s="18"/>
      <c r="F248" s="276"/>
    </row>
    <row r="249" spans="1:6" hidden="1" x14ac:dyDescent="0.35">
      <c r="A249" s="82"/>
      <c r="B249" s="18"/>
      <c r="C249" s="18"/>
      <c r="D249" s="276"/>
      <c r="E249" s="18"/>
      <c r="F249" s="276"/>
    </row>
    <row r="250" spans="1:6" hidden="1" x14ac:dyDescent="0.35">
      <c r="A250" s="82"/>
      <c r="B250" s="18"/>
      <c r="C250" s="18"/>
      <c r="D250" s="276"/>
      <c r="E250" s="18"/>
      <c r="F250" s="276"/>
    </row>
    <row r="251" spans="1:6" hidden="1" x14ac:dyDescent="0.35">
      <c r="A251" s="82"/>
      <c r="B251" s="18"/>
      <c r="C251" s="18"/>
      <c r="D251" s="276"/>
      <c r="E251" s="18"/>
      <c r="F251" s="276"/>
    </row>
    <row r="252" spans="1:6" hidden="1" x14ac:dyDescent="0.35">
      <c r="A252" s="82"/>
      <c r="B252" s="18"/>
      <c r="C252" s="18"/>
      <c r="D252" s="276"/>
      <c r="E252" s="18"/>
      <c r="F252" s="276"/>
    </row>
    <row r="253" spans="1:6" hidden="1" x14ac:dyDescent="0.35">
      <c r="A253" s="82"/>
      <c r="B253" s="18"/>
      <c r="C253" s="18"/>
      <c r="D253" s="276"/>
      <c r="E253" s="18"/>
      <c r="F253" s="276"/>
    </row>
    <row r="254" spans="1:6" hidden="1" x14ac:dyDescent="0.35">
      <c r="A254" s="82"/>
      <c r="B254" s="18"/>
      <c r="C254" s="18"/>
      <c r="D254" s="276"/>
      <c r="E254" s="18"/>
      <c r="F254" s="276"/>
    </row>
    <row r="255" spans="1:6" hidden="1" x14ac:dyDescent="0.35">
      <c r="A255" s="82"/>
      <c r="B255" s="18"/>
      <c r="C255" s="18"/>
      <c r="D255" s="276"/>
      <c r="E255" s="18"/>
      <c r="F255" s="276"/>
    </row>
    <row r="256" spans="1:6" hidden="1" x14ac:dyDescent="0.35">
      <c r="A256" s="82"/>
      <c r="B256" s="18"/>
      <c r="C256" s="18"/>
      <c r="D256" s="276"/>
      <c r="E256" s="18"/>
      <c r="F256" s="276"/>
    </row>
    <row r="257" spans="1:6" hidden="1" x14ac:dyDescent="0.35">
      <c r="A257" s="82"/>
      <c r="B257" s="18"/>
      <c r="C257" s="18"/>
      <c r="D257" s="276"/>
      <c r="E257" s="18"/>
      <c r="F257" s="276"/>
    </row>
    <row r="258" spans="1:6" hidden="1" x14ac:dyDescent="0.35">
      <c r="A258" s="82"/>
      <c r="B258" s="18"/>
      <c r="C258" s="18"/>
      <c r="D258" s="276"/>
      <c r="E258" s="18"/>
      <c r="F258" s="276"/>
    </row>
    <row r="259" spans="1:6" hidden="1" x14ac:dyDescent="0.35">
      <c r="A259" s="82"/>
      <c r="B259" s="18"/>
      <c r="C259" s="18"/>
      <c r="D259" s="276"/>
      <c r="E259" s="18"/>
      <c r="F259" s="276"/>
    </row>
    <row r="260" spans="1:6" hidden="1" x14ac:dyDescent="0.35">
      <c r="A260" s="82"/>
      <c r="B260" s="18"/>
      <c r="C260" s="18"/>
      <c r="D260" s="276"/>
      <c r="E260" s="18"/>
      <c r="F260" s="276"/>
    </row>
    <row r="261" spans="1:6" hidden="1" x14ac:dyDescent="0.35">
      <c r="A261" s="82"/>
      <c r="B261" s="18"/>
      <c r="C261" s="18"/>
      <c r="D261" s="276"/>
      <c r="E261" s="18"/>
      <c r="F261" s="276"/>
    </row>
    <row r="262" spans="1:6" hidden="1" x14ac:dyDescent="0.35">
      <c r="A262" s="82"/>
      <c r="B262" s="18"/>
      <c r="C262" s="18"/>
      <c r="D262" s="276"/>
      <c r="E262" s="18"/>
      <c r="F262" s="276"/>
    </row>
    <row r="263" spans="1:6" hidden="1" x14ac:dyDescent="0.35">
      <c r="A263" s="82"/>
      <c r="B263" s="18"/>
      <c r="C263" s="18"/>
      <c r="D263" s="276"/>
      <c r="E263" s="18"/>
      <c r="F263" s="276"/>
    </row>
    <row r="264" spans="1:6" hidden="1" x14ac:dyDescent="0.35">
      <c r="A264" s="82"/>
      <c r="B264" s="18"/>
      <c r="C264" s="18"/>
      <c r="D264" s="276"/>
      <c r="E264" s="18"/>
      <c r="F264" s="276"/>
    </row>
    <row r="265" spans="1:6" hidden="1" x14ac:dyDescent="0.35">
      <c r="A265" s="82"/>
      <c r="B265" s="18"/>
      <c r="C265" s="18"/>
      <c r="D265" s="276"/>
      <c r="E265" s="18"/>
      <c r="F265" s="276"/>
    </row>
    <row r="266" spans="1:6" hidden="1" x14ac:dyDescent="0.35">
      <c r="A266" s="82"/>
      <c r="B266" s="18"/>
      <c r="C266" s="18"/>
      <c r="D266" s="276"/>
      <c r="E266" s="18"/>
      <c r="F266" s="276"/>
    </row>
    <row r="267" spans="1:6" hidden="1" x14ac:dyDescent="0.35">
      <c r="A267" s="82"/>
      <c r="B267" s="18"/>
      <c r="C267" s="18"/>
      <c r="D267" s="276"/>
      <c r="E267" s="18"/>
      <c r="F267" s="276"/>
    </row>
    <row r="268" spans="1:6" hidden="1" x14ac:dyDescent="0.35">
      <c r="A268" s="82"/>
      <c r="B268" s="18"/>
      <c r="C268" s="18"/>
      <c r="D268" s="276"/>
      <c r="E268" s="18"/>
      <c r="F268" s="276"/>
    </row>
    <row r="269" spans="1:6" hidden="1" x14ac:dyDescent="0.35">
      <c r="A269" s="82"/>
      <c r="B269" s="18"/>
      <c r="C269" s="18"/>
      <c r="D269" s="276"/>
      <c r="E269" s="18"/>
      <c r="F269" s="276"/>
    </row>
    <row r="270" spans="1:6" hidden="1" x14ac:dyDescent="0.35">
      <c r="A270" s="82"/>
      <c r="B270" s="18"/>
      <c r="C270" s="18"/>
      <c r="D270" s="276"/>
      <c r="E270" s="18"/>
      <c r="F270" s="276"/>
    </row>
    <row r="271" spans="1:6" hidden="1" x14ac:dyDescent="0.35">
      <c r="A271" s="82"/>
      <c r="B271" s="18"/>
      <c r="C271" s="18"/>
      <c r="D271" s="276"/>
      <c r="E271" s="18"/>
      <c r="F271" s="276"/>
    </row>
    <row r="272" spans="1:6" hidden="1" x14ac:dyDescent="0.35">
      <c r="A272" s="82"/>
      <c r="B272" s="18"/>
      <c r="C272" s="18"/>
      <c r="D272" s="276"/>
      <c r="E272" s="18"/>
      <c r="F272" s="276"/>
    </row>
    <row r="273" spans="1:6" hidden="1" x14ac:dyDescent="0.35">
      <c r="A273" s="82"/>
      <c r="B273" s="18"/>
      <c r="C273" s="18"/>
      <c r="D273" s="276"/>
      <c r="E273" s="18"/>
      <c r="F273" s="276"/>
    </row>
    <row r="274" spans="1:6" hidden="1" x14ac:dyDescent="0.35">
      <c r="A274" s="82"/>
      <c r="B274" s="18"/>
      <c r="C274" s="18"/>
      <c r="D274" s="276"/>
      <c r="E274" s="18"/>
      <c r="F274" s="276"/>
    </row>
    <row r="275" spans="1:6" hidden="1" x14ac:dyDescent="0.35">
      <c r="A275" s="82"/>
      <c r="B275" s="18"/>
      <c r="C275" s="18"/>
      <c r="D275" s="276"/>
      <c r="E275" s="18"/>
      <c r="F275" s="276"/>
    </row>
    <row r="276" spans="1:6" hidden="1" x14ac:dyDescent="0.35">
      <c r="A276" s="82"/>
      <c r="B276" s="18"/>
      <c r="C276" s="18"/>
      <c r="D276" s="276"/>
      <c r="E276" s="18"/>
      <c r="F276" s="276"/>
    </row>
    <row r="277" spans="1:6" hidden="1" x14ac:dyDescent="0.35">
      <c r="A277" s="82"/>
      <c r="B277" s="18"/>
      <c r="C277" s="18"/>
      <c r="D277" s="276"/>
      <c r="E277" s="18"/>
      <c r="F277" s="276"/>
    </row>
    <row r="278" spans="1:6" hidden="1" x14ac:dyDescent="0.35">
      <c r="A278" s="82"/>
      <c r="B278" s="18"/>
      <c r="C278" s="18"/>
      <c r="D278" s="276"/>
      <c r="E278" s="18"/>
      <c r="F278" s="276"/>
    </row>
    <row r="279" spans="1:6" hidden="1" x14ac:dyDescent="0.35">
      <c r="A279" s="82"/>
      <c r="B279" s="18"/>
      <c r="C279" s="18"/>
      <c r="D279" s="276"/>
      <c r="E279" s="18"/>
      <c r="F279" s="276"/>
    </row>
    <row r="280" spans="1:6" hidden="1" x14ac:dyDescent="0.35">
      <c r="A280" s="82"/>
      <c r="B280" s="18"/>
      <c r="C280" s="18"/>
      <c r="D280" s="276"/>
      <c r="E280" s="18"/>
      <c r="F280" s="276"/>
    </row>
    <row r="281" spans="1:6" hidden="1" x14ac:dyDescent="0.35">
      <c r="A281" s="82"/>
      <c r="B281" s="18"/>
      <c r="C281" s="18"/>
      <c r="D281" s="276"/>
      <c r="E281" s="18"/>
      <c r="F281" s="276"/>
    </row>
    <row r="282" spans="1:6" hidden="1" x14ac:dyDescent="0.35">
      <c r="A282" s="82"/>
      <c r="B282" s="18"/>
      <c r="C282" s="18"/>
      <c r="D282" s="276"/>
      <c r="E282" s="18"/>
      <c r="F282" s="276"/>
    </row>
    <row r="283" spans="1:6" hidden="1" x14ac:dyDescent="0.35">
      <c r="A283" s="82"/>
      <c r="B283" s="18"/>
      <c r="C283" s="18"/>
      <c r="D283" s="276"/>
      <c r="E283" s="18"/>
      <c r="F283" s="276"/>
    </row>
    <row r="284" spans="1:6" hidden="1" x14ac:dyDescent="0.35">
      <c r="A284" s="82"/>
      <c r="B284" s="18"/>
      <c r="C284" s="18"/>
      <c r="D284" s="276"/>
      <c r="E284" s="18"/>
      <c r="F284" s="276"/>
    </row>
    <row r="285" spans="1:6" hidden="1" x14ac:dyDescent="0.35">
      <c r="A285" s="82"/>
      <c r="B285" s="18"/>
      <c r="C285" s="18"/>
      <c r="D285" s="276"/>
      <c r="E285" s="18"/>
      <c r="F285" s="276"/>
    </row>
    <row r="286" spans="1:6" hidden="1" x14ac:dyDescent="0.35">
      <c r="A286" s="82"/>
      <c r="B286" s="18"/>
      <c r="C286" s="18"/>
      <c r="D286" s="276"/>
      <c r="E286" s="18"/>
      <c r="F286" s="276"/>
    </row>
    <row r="287" spans="1:6" hidden="1" x14ac:dyDescent="0.35">
      <c r="A287" s="82"/>
      <c r="B287" s="18"/>
      <c r="C287" s="18"/>
      <c r="D287" s="276"/>
      <c r="E287" s="18"/>
      <c r="F287" s="276"/>
    </row>
    <row r="288" spans="1:6" hidden="1" x14ac:dyDescent="0.35">
      <c r="A288" s="82"/>
      <c r="B288" s="18"/>
      <c r="C288" s="18"/>
      <c r="D288" s="276"/>
      <c r="E288" s="18"/>
      <c r="F288" s="276"/>
    </row>
    <row r="289" spans="1:6" hidden="1" x14ac:dyDescent="0.35">
      <c r="A289" s="82"/>
      <c r="B289" s="18"/>
      <c r="C289" s="18"/>
      <c r="D289" s="276"/>
      <c r="E289" s="18"/>
      <c r="F289" s="276"/>
    </row>
    <row r="290" spans="1:6" hidden="1" x14ac:dyDescent="0.35">
      <c r="A290" s="82"/>
      <c r="B290" s="18"/>
      <c r="C290" s="18"/>
      <c r="D290" s="276"/>
      <c r="E290" s="18"/>
      <c r="F290" s="276"/>
    </row>
    <row r="291" spans="1:6" hidden="1" x14ac:dyDescent="0.35">
      <c r="A291" s="82"/>
      <c r="B291" s="18"/>
      <c r="C291" s="18"/>
      <c r="D291" s="276"/>
      <c r="E291" s="18"/>
      <c r="F291" s="276"/>
    </row>
    <row r="292" spans="1:6" hidden="1" x14ac:dyDescent="0.35">
      <c r="A292" s="82"/>
      <c r="B292" s="18"/>
      <c r="C292" s="18"/>
      <c r="D292" s="276"/>
      <c r="E292" s="18"/>
      <c r="F292" s="276"/>
    </row>
    <row r="293" spans="1:6" hidden="1" x14ac:dyDescent="0.35">
      <c r="A293" s="82"/>
      <c r="B293" s="18"/>
      <c r="C293" s="18"/>
      <c r="D293" s="276"/>
      <c r="E293" s="18"/>
      <c r="F293" s="276"/>
    </row>
    <row r="294" spans="1:6" hidden="1" x14ac:dyDescent="0.35">
      <c r="A294" s="82"/>
      <c r="B294" s="18"/>
      <c r="C294" s="18"/>
      <c r="D294" s="276"/>
      <c r="E294" s="18"/>
      <c r="F294" s="276"/>
    </row>
    <row r="295" spans="1:6" hidden="1" x14ac:dyDescent="0.35">
      <c r="A295" s="82"/>
      <c r="B295" s="18"/>
      <c r="C295" s="18"/>
      <c r="D295" s="276"/>
      <c r="E295" s="18"/>
      <c r="F295" s="276"/>
    </row>
    <row r="296" spans="1:6" hidden="1" x14ac:dyDescent="0.35">
      <c r="A296" s="82"/>
      <c r="B296" s="18"/>
      <c r="C296" s="18"/>
      <c r="D296" s="276"/>
      <c r="E296" s="18"/>
      <c r="F296" s="276"/>
    </row>
    <row r="297" spans="1:6" ht="21" x14ac:dyDescent="0.5">
      <c r="A297" s="434" t="s">
        <v>1837</v>
      </c>
      <c r="B297" s="437" t="s">
        <v>2263</v>
      </c>
      <c r="C297" s="435"/>
      <c r="D297" s="436"/>
      <c r="E297" s="435"/>
      <c r="F297" s="436">
        <f>SUM(F298:F336)</f>
        <v>0</v>
      </c>
    </row>
    <row r="298" spans="1:6" hidden="1" x14ac:dyDescent="0.35">
      <c r="A298" s="18"/>
      <c r="B298" s="18"/>
      <c r="C298" s="18"/>
      <c r="D298" s="276"/>
      <c r="E298" s="276"/>
      <c r="F298" s="276"/>
    </row>
    <row r="299" spans="1:6" hidden="1" x14ac:dyDescent="0.35">
      <c r="A299" s="18"/>
      <c r="B299" s="18"/>
      <c r="C299" s="18"/>
      <c r="D299" s="276"/>
      <c r="E299" s="276"/>
      <c r="F299" s="276"/>
    </row>
    <row r="300" spans="1:6" hidden="1" x14ac:dyDescent="0.35">
      <c r="A300" s="18"/>
      <c r="B300" s="18"/>
      <c r="C300" s="18"/>
      <c r="D300" s="276"/>
      <c r="E300" s="276"/>
      <c r="F300" s="276"/>
    </row>
    <row r="301" spans="1:6" hidden="1" x14ac:dyDescent="0.35">
      <c r="A301" s="18"/>
      <c r="B301" s="18"/>
      <c r="C301" s="18"/>
      <c r="D301" s="276"/>
      <c r="E301" s="276"/>
      <c r="F301" s="276"/>
    </row>
    <row r="302" spans="1:6" hidden="1" x14ac:dyDescent="0.35">
      <c r="A302" s="18"/>
      <c r="B302" s="18"/>
      <c r="C302" s="18"/>
      <c r="D302" s="276"/>
      <c r="E302" s="276"/>
      <c r="F302" s="276"/>
    </row>
    <row r="303" spans="1:6" hidden="1" x14ac:dyDescent="0.35">
      <c r="A303" s="18"/>
      <c r="B303" s="18"/>
      <c r="C303" s="18"/>
      <c r="D303" s="276"/>
      <c r="E303" s="276"/>
      <c r="F303" s="276"/>
    </row>
    <row r="304" spans="1:6" hidden="1" x14ac:dyDescent="0.35">
      <c r="A304" s="18"/>
      <c r="B304" s="18"/>
      <c r="C304" s="18"/>
      <c r="D304" s="276"/>
      <c r="E304" s="276"/>
      <c r="F304" s="276"/>
    </row>
    <row r="305" spans="1:6" hidden="1" x14ac:dyDescent="0.35">
      <c r="A305" s="18"/>
      <c r="B305" s="18"/>
      <c r="C305" s="18"/>
      <c r="D305" s="276"/>
      <c r="E305" s="276"/>
      <c r="F305" s="276"/>
    </row>
    <row r="306" spans="1:6" hidden="1" x14ac:dyDescent="0.35">
      <c r="A306" s="18"/>
      <c r="B306" s="18"/>
      <c r="C306" s="18"/>
      <c r="D306" s="276"/>
      <c r="E306" s="276"/>
      <c r="F306" s="276"/>
    </row>
    <row r="307" spans="1:6" hidden="1" x14ac:dyDescent="0.35">
      <c r="A307" s="18"/>
      <c r="B307" s="18"/>
      <c r="C307" s="18"/>
      <c r="D307" s="276"/>
      <c r="E307" s="276"/>
      <c r="F307" s="276"/>
    </row>
    <row r="308" spans="1:6" hidden="1" x14ac:dyDescent="0.35">
      <c r="A308" s="18"/>
      <c r="B308" s="18"/>
      <c r="C308" s="18"/>
      <c r="D308" s="276"/>
      <c r="E308" s="276"/>
      <c r="F308" s="276"/>
    </row>
    <row r="309" spans="1:6" hidden="1" x14ac:dyDescent="0.35">
      <c r="A309" s="18"/>
      <c r="B309" s="18"/>
      <c r="C309" s="18"/>
      <c r="D309" s="276"/>
      <c r="E309" s="276"/>
      <c r="F309" s="276"/>
    </row>
    <row r="310" spans="1:6" hidden="1" x14ac:dyDescent="0.35">
      <c r="A310" s="18"/>
      <c r="B310" s="18"/>
      <c r="C310" s="18"/>
      <c r="D310" s="276"/>
      <c r="E310" s="276"/>
      <c r="F310" s="276"/>
    </row>
    <row r="311" spans="1:6" hidden="1" x14ac:dyDescent="0.35">
      <c r="A311" s="18"/>
      <c r="B311" s="18"/>
      <c r="C311" s="18"/>
      <c r="D311" s="276"/>
      <c r="E311" s="276"/>
      <c r="F311" s="276"/>
    </row>
    <row r="312" spans="1:6" hidden="1" x14ac:dyDescent="0.35">
      <c r="A312" s="18"/>
      <c r="B312" s="18"/>
      <c r="C312" s="18"/>
      <c r="D312" s="276"/>
      <c r="E312" s="276"/>
      <c r="F312" s="276"/>
    </row>
    <row r="313" spans="1:6" hidden="1" x14ac:dyDescent="0.35">
      <c r="A313" s="18"/>
      <c r="B313" s="18"/>
      <c r="C313" s="18"/>
      <c r="D313" s="276"/>
      <c r="E313" s="276"/>
      <c r="F313" s="276"/>
    </row>
    <row r="314" spans="1:6" hidden="1" x14ac:dyDescent="0.35">
      <c r="A314" s="18"/>
      <c r="B314" s="18"/>
      <c r="C314" s="18"/>
      <c r="D314" s="276"/>
      <c r="E314" s="276"/>
      <c r="F314" s="276"/>
    </row>
    <row r="315" spans="1:6" hidden="1" x14ac:dyDescent="0.35">
      <c r="A315" s="18"/>
      <c r="B315" s="18"/>
      <c r="C315" s="18"/>
      <c r="D315" s="276"/>
      <c r="E315" s="276"/>
      <c r="F315" s="276"/>
    </row>
    <row r="316" spans="1:6" hidden="1" x14ac:dyDescent="0.35">
      <c r="A316" s="18"/>
      <c r="B316" s="18"/>
      <c r="C316" s="18"/>
      <c r="D316" s="276"/>
      <c r="E316" s="276"/>
      <c r="F316" s="276"/>
    </row>
    <row r="317" spans="1:6" hidden="1" x14ac:dyDescent="0.35">
      <c r="A317" s="18"/>
      <c r="B317" s="18"/>
      <c r="C317" s="18"/>
      <c r="D317" s="276"/>
      <c r="E317" s="276"/>
      <c r="F317" s="276"/>
    </row>
    <row r="318" spans="1:6" hidden="1" x14ac:dyDescent="0.35">
      <c r="A318" s="18"/>
      <c r="B318" s="18"/>
      <c r="C318" s="18"/>
      <c r="D318" s="276"/>
      <c r="E318" s="276"/>
      <c r="F318" s="276"/>
    </row>
    <row r="319" spans="1:6" hidden="1" x14ac:dyDescent="0.35">
      <c r="A319" s="18"/>
      <c r="B319" s="18"/>
      <c r="C319" s="18"/>
      <c r="D319" s="276"/>
      <c r="E319" s="276"/>
      <c r="F319" s="276"/>
    </row>
    <row r="320" spans="1:6" hidden="1" x14ac:dyDescent="0.35">
      <c r="A320" s="18"/>
      <c r="B320" s="18"/>
      <c r="C320" s="18"/>
      <c r="D320" s="276"/>
      <c r="E320" s="276"/>
      <c r="F320" s="276"/>
    </row>
    <row r="321" spans="1:6" hidden="1" x14ac:dyDescent="0.35">
      <c r="A321" s="18"/>
      <c r="B321" s="18"/>
      <c r="C321" s="18"/>
      <c r="D321" s="276"/>
      <c r="E321" s="276"/>
      <c r="F321" s="276"/>
    </row>
    <row r="322" spans="1:6" hidden="1" x14ac:dyDescent="0.35">
      <c r="A322" s="18"/>
      <c r="B322" s="18"/>
      <c r="C322" s="18"/>
      <c r="D322" s="276"/>
      <c r="E322" s="276"/>
      <c r="F322" s="276"/>
    </row>
    <row r="323" spans="1:6" hidden="1" x14ac:dyDescent="0.35">
      <c r="A323" s="18"/>
      <c r="B323" s="18"/>
      <c r="C323" s="18"/>
      <c r="D323" s="276"/>
      <c r="E323" s="276"/>
      <c r="F323" s="276"/>
    </row>
    <row r="324" spans="1:6" hidden="1" x14ac:dyDescent="0.35">
      <c r="A324" s="18"/>
      <c r="B324" s="18"/>
      <c r="C324" s="18"/>
      <c r="D324" s="276"/>
      <c r="E324" s="276"/>
      <c r="F324" s="276"/>
    </row>
    <row r="325" spans="1:6" hidden="1" x14ac:dyDescent="0.35">
      <c r="A325" s="18"/>
      <c r="B325" s="18"/>
      <c r="C325" s="18"/>
      <c r="D325" s="276"/>
      <c r="E325" s="276"/>
      <c r="F325" s="276"/>
    </row>
    <row r="326" spans="1:6" hidden="1" x14ac:dyDescent="0.35">
      <c r="A326" s="18"/>
      <c r="B326" s="18"/>
      <c r="C326" s="18"/>
      <c r="D326" s="276"/>
      <c r="E326" s="276"/>
      <c r="F326" s="276"/>
    </row>
    <row r="327" spans="1:6" hidden="1" x14ac:dyDescent="0.35">
      <c r="A327" s="18"/>
      <c r="B327" s="18"/>
      <c r="C327" s="18"/>
      <c r="D327" s="276"/>
      <c r="E327" s="276"/>
      <c r="F327" s="276"/>
    </row>
    <row r="328" spans="1:6" hidden="1" x14ac:dyDescent="0.35">
      <c r="A328" s="18"/>
      <c r="B328" s="18"/>
      <c r="C328" s="18"/>
      <c r="D328" s="276"/>
      <c r="E328" s="276"/>
      <c r="F328" s="276"/>
    </row>
    <row r="329" spans="1:6" hidden="1" x14ac:dyDescent="0.35">
      <c r="A329" s="18"/>
      <c r="B329" s="18"/>
      <c r="C329" s="18"/>
      <c r="D329" s="276"/>
      <c r="E329" s="276"/>
      <c r="F329" s="276"/>
    </row>
    <row r="330" spans="1:6" hidden="1" x14ac:dyDescent="0.35">
      <c r="A330" s="18"/>
      <c r="B330" s="18"/>
      <c r="C330" s="18"/>
      <c r="D330" s="276"/>
      <c r="E330" s="276"/>
      <c r="F330" s="276"/>
    </row>
    <row r="331" spans="1:6" hidden="1" x14ac:dyDescent="0.35">
      <c r="A331" s="18"/>
      <c r="B331" s="18"/>
      <c r="C331" s="18"/>
      <c r="D331" s="276"/>
      <c r="E331" s="276"/>
      <c r="F331" s="276"/>
    </row>
    <row r="332" spans="1:6" hidden="1" x14ac:dyDescent="0.35">
      <c r="A332" s="18"/>
      <c r="B332" s="18"/>
      <c r="C332" s="18"/>
      <c r="D332" s="276"/>
      <c r="E332" s="276"/>
      <c r="F332" s="276"/>
    </row>
    <row r="333" spans="1:6" hidden="1" x14ac:dyDescent="0.35">
      <c r="A333" s="18"/>
      <c r="B333" s="18"/>
      <c r="C333" s="18"/>
      <c r="D333" s="276"/>
      <c r="E333" s="276"/>
      <c r="F333" s="276"/>
    </row>
    <row r="334" spans="1:6" hidden="1" x14ac:dyDescent="0.35">
      <c r="A334" s="18"/>
      <c r="B334" s="18"/>
      <c r="C334" s="18"/>
      <c r="D334" s="276"/>
      <c r="E334" s="276"/>
      <c r="F334" s="276"/>
    </row>
    <row r="335" spans="1:6" hidden="1" x14ac:dyDescent="0.35">
      <c r="A335" s="18"/>
      <c r="B335" s="18"/>
      <c r="C335" s="18"/>
      <c r="D335" s="276"/>
      <c r="E335" s="276"/>
      <c r="F335" s="276"/>
    </row>
    <row r="336" spans="1:6" hidden="1" x14ac:dyDescent="0.35">
      <c r="A336" s="18"/>
      <c r="B336" s="18"/>
      <c r="C336" s="18"/>
      <c r="D336" s="276"/>
      <c r="E336" s="276"/>
      <c r="F336" s="276"/>
    </row>
    <row r="337" spans="1:6" ht="18.5" x14ac:dyDescent="0.45">
      <c r="A337" s="83" t="s">
        <v>1837</v>
      </c>
      <c r="B337" s="153" t="s">
        <v>2079</v>
      </c>
      <c r="F337" s="56">
        <f>SUM(F338:F389)</f>
        <v>28467.167109133123</v>
      </c>
    </row>
    <row r="338" spans="1:6" hidden="1" x14ac:dyDescent="0.35">
      <c r="A338" s="82" t="s">
        <v>2095</v>
      </c>
      <c r="B338" s="18" t="s">
        <v>2095</v>
      </c>
      <c r="C338" s="18" t="s">
        <v>2095</v>
      </c>
      <c r="D338" s="276" t="s">
        <v>2095</v>
      </c>
      <c r="E338" s="276" t="s">
        <v>2095</v>
      </c>
      <c r="F338" s="276" t="s">
        <v>2095</v>
      </c>
    </row>
    <row r="339" spans="1:6" hidden="1" x14ac:dyDescent="0.35">
      <c r="A339" s="82" t="s">
        <v>2095</v>
      </c>
      <c r="B339" s="18" t="s">
        <v>2095</v>
      </c>
      <c r="C339" s="18" t="s">
        <v>2095</v>
      </c>
      <c r="D339" s="276" t="s">
        <v>2095</v>
      </c>
      <c r="E339" s="276" t="s">
        <v>2095</v>
      </c>
      <c r="F339" s="276" t="s">
        <v>2095</v>
      </c>
    </row>
    <row r="340" spans="1:6" hidden="1" x14ac:dyDescent="0.35">
      <c r="A340" s="82" t="s">
        <v>2095</v>
      </c>
      <c r="B340" s="18" t="s">
        <v>2095</v>
      </c>
      <c r="C340" s="18" t="s">
        <v>2095</v>
      </c>
      <c r="D340" s="276" t="s">
        <v>2095</v>
      </c>
      <c r="E340" s="276" t="s">
        <v>2095</v>
      </c>
      <c r="F340" s="276" t="s">
        <v>2095</v>
      </c>
    </row>
    <row r="341" spans="1:6" hidden="1" x14ac:dyDescent="0.35">
      <c r="A341" s="82" t="s">
        <v>2095</v>
      </c>
      <c r="B341" s="18" t="s">
        <v>2095</v>
      </c>
      <c r="C341" s="18" t="s">
        <v>2095</v>
      </c>
      <c r="D341" s="276" t="s">
        <v>2095</v>
      </c>
      <c r="E341" s="276" t="s">
        <v>2095</v>
      </c>
      <c r="F341" s="276" t="s">
        <v>2095</v>
      </c>
    </row>
    <row r="342" spans="1:6" x14ac:dyDescent="0.35">
      <c r="A342" s="82">
        <v>3562185</v>
      </c>
      <c r="B342" s="18" t="s">
        <v>2075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35">
      <c r="A343" s="82" t="s">
        <v>2095</v>
      </c>
      <c r="B343" s="18" t="s">
        <v>2095</v>
      </c>
      <c r="C343" s="18" t="s">
        <v>2095</v>
      </c>
      <c r="D343" s="276" t="s">
        <v>2095</v>
      </c>
      <c r="E343" s="276" t="s">
        <v>2095</v>
      </c>
      <c r="F343" s="276" t="s">
        <v>2095</v>
      </c>
    </row>
    <row r="344" spans="1:6" hidden="1" x14ac:dyDescent="0.35">
      <c r="A344" s="82" t="s">
        <v>2095</v>
      </c>
      <c r="B344" s="18" t="s">
        <v>2095</v>
      </c>
      <c r="C344" s="18" t="s">
        <v>2095</v>
      </c>
      <c r="D344" s="276" t="s">
        <v>2095</v>
      </c>
      <c r="E344" s="276" t="s">
        <v>2095</v>
      </c>
      <c r="F344" s="276" t="s">
        <v>2095</v>
      </c>
    </row>
    <row r="345" spans="1:6" hidden="1" x14ac:dyDescent="0.35">
      <c r="A345" s="82"/>
      <c r="B345" s="18"/>
      <c r="C345" s="18"/>
      <c r="D345" s="276"/>
      <c r="E345" s="276"/>
      <c r="F345" s="276"/>
    </row>
    <row r="346" spans="1:6" hidden="1" x14ac:dyDescent="0.35">
      <c r="A346" s="82"/>
      <c r="B346" s="18"/>
      <c r="C346" s="18"/>
      <c r="D346" s="276"/>
      <c r="E346" s="276"/>
      <c r="F346" s="276"/>
    </row>
    <row r="347" spans="1:6" hidden="1" x14ac:dyDescent="0.35">
      <c r="A347" s="82"/>
      <c r="B347" s="18"/>
      <c r="C347" s="18"/>
      <c r="D347" s="276"/>
      <c r="E347" s="276"/>
      <c r="F347" s="276"/>
    </row>
    <row r="348" spans="1:6" hidden="1" x14ac:dyDescent="0.35">
      <c r="A348" s="82"/>
      <c r="B348" s="18"/>
      <c r="C348" s="18"/>
      <c r="D348" s="276"/>
      <c r="E348" s="276"/>
      <c r="F348" s="276"/>
    </row>
    <row r="349" spans="1:6" hidden="1" x14ac:dyDescent="0.35">
      <c r="A349" s="82"/>
      <c r="B349" s="18"/>
      <c r="C349" s="18"/>
      <c r="D349" s="276"/>
      <c r="E349" s="276"/>
      <c r="F349" s="276"/>
    </row>
    <row r="350" spans="1:6" x14ac:dyDescent="0.3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3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3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3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3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3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3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3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3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35">
      <c r="A359" s="82"/>
      <c r="B359" s="18"/>
      <c r="C359" s="18"/>
      <c r="D359" s="276"/>
      <c r="E359" s="276"/>
      <c r="F359" s="276"/>
    </row>
    <row r="360" spans="1:6" hidden="1" x14ac:dyDescent="0.35">
      <c r="A360" s="82"/>
      <c r="B360" s="18"/>
      <c r="C360" s="18"/>
      <c r="D360" s="276"/>
      <c r="E360" s="276"/>
      <c r="F360" s="276"/>
    </row>
    <row r="361" spans="1:6" hidden="1" x14ac:dyDescent="0.35">
      <c r="A361" s="82"/>
      <c r="B361" s="18"/>
      <c r="C361" s="18"/>
      <c r="D361" s="276"/>
      <c r="E361" s="276"/>
      <c r="F361" s="276"/>
    </row>
    <row r="362" spans="1:6" hidden="1" x14ac:dyDescent="0.35">
      <c r="A362" s="82"/>
      <c r="B362" s="18"/>
      <c r="C362" s="18"/>
      <c r="D362" s="276"/>
      <c r="E362" s="276"/>
      <c r="F362" s="276"/>
    </row>
    <row r="363" spans="1:6" hidden="1" x14ac:dyDescent="0.35">
      <c r="A363" s="82"/>
      <c r="B363" s="18"/>
      <c r="C363" s="18"/>
      <c r="D363" s="276"/>
      <c r="E363" s="276"/>
      <c r="F363" s="276"/>
    </row>
    <row r="364" spans="1:6" hidden="1" x14ac:dyDescent="0.35">
      <c r="A364" s="82"/>
      <c r="B364" s="18"/>
      <c r="C364" s="18"/>
      <c r="D364" s="276"/>
      <c r="E364" s="276"/>
      <c r="F364" s="276"/>
    </row>
    <row r="365" spans="1:6" hidden="1" x14ac:dyDescent="0.35">
      <c r="A365" s="82"/>
      <c r="B365" s="18"/>
      <c r="C365" s="18"/>
      <c r="D365" s="276"/>
      <c r="E365" s="276"/>
      <c r="F365" s="276"/>
    </row>
    <row r="366" spans="1:6" hidden="1" x14ac:dyDescent="0.35">
      <c r="A366" s="82"/>
      <c r="B366" s="18"/>
      <c r="C366" s="18"/>
      <c r="D366" s="276"/>
      <c r="E366" s="276"/>
      <c r="F366" s="276"/>
    </row>
    <row r="367" spans="1:6" hidden="1" x14ac:dyDescent="0.35">
      <c r="A367" s="82"/>
      <c r="B367" s="18"/>
      <c r="C367" s="18"/>
      <c r="D367" s="276"/>
      <c r="E367" s="276"/>
      <c r="F367" s="276"/>
    </row>
    <row r="368" spans="1:6" hidden="1" x14ac:dyDescent="0.35">
      <c r="A368" s="82"/>
      <c r="B368" s="18"/>
      <c r="C368" s="18"/>
      <c r="D368" s="276"/>
      <c r="E368" s="276"/>
      <c r="F368" s="276"/>
    </row>
    <row r="369" spans="1:6" hidden="1" x14ac:dyDescent="0.35">
      <c r="A369" s="82"/>
      <c r="B369" s="18"/>
      <c r="C369" s="18"/>
      <c r="D369" s="276"/>
      <c r="E369" s="276"/>
      <c r="F369" s="276"/>
    </row>
    <row r="370" spans="1:6" hidden="1" x14ac:dyDescent="0.35">
      <c r="A370" s="82"/>
      <c r="B370" s="18"/>
      <c r="C370" s="18"/>
      <c r="D370" s="276"/>
      <c r="E370" s="276"/>
      <c r="F370" s="276"/>
    </row>
    <row r="371" spans="1:6" hidden="1" x14ac:dyDescent="0.35">
      <c r="A371" s="82"/>
      <c r="B371" s="18"/>
      <c r="C371" s="18"/>
      <c r="D371" s="276"/>
      <c r="E371" s="276"/>
      <c r="F371" s="276"/>
    </row>
    <row r="372" spans="1:6" hidden="1" x14ac:dyDescent="0.35">
      <c r="A372" s="82"/>
      <c r="B372" s="18"/>
      <c r="C372" s="18"/>
      <c r="D372" s="276"/>
      <c r="E372" s="276"/>
      <c r="F372" s="276"/>
    </row>
    <row r="373" spans="1:6" hidden="1" x14ac:dyDescent="0.35">
      <c r="A373" s="82"/>
      <c r="B373" s="18"/>
      <c r="C373" s="18"/>
      <c r="D373" s="276"/>
      <c r="E373" s="276"/>
      <c r="F373" s="276"/>
    </row>
    <row r="374" spans="1:6" hidden="1" x14ac:dyDescent="0.35">
      <c r="A374" s="82"/>
      <c r="B374" s="18"/>
      <c r="C374" s="18"/>
      <c r="D374" s="276"/>
      <c r="E374" s="276"/>
      <c r="F374" s="276"/>
    </row>
    <row r="375" spans="1:6" hidden="1" x14ac:dyDescent="0.35">
      <c r="A375" s="82"/>
      <c r="B375" s="18"/>
      <c r="C375" s="18"/>
      <c r="D375" s="276"/>
      <c r="E375" s="276"/>
      <c r="F375" s="276"/>
    </row>
    <row r="376" spans="1:6" hidden="1" x14ac:dyDescent="0.35">
      <c r="A376" s="82"/>
      <c r="B376" s="18"/>
      <c r="C376" s="18"/>
      <c r="D376" s="276"/>
      <c r="E376" s="276"/>
      <c r="F376" s="276"/>
    </row>
    <row r="377" spans="1:6" hidden="1" x14ac:dyDescent="0.35">
      <c r="A377" s="82"/>
      <c r="B377" s="18"/>
      <c r="C377" s="18"/>
      <c r="D377" s="276"/>
      <c r="E377" s="276"/>
      <c r="F377" s="276"/>
    </row>
    <row r="378" spans="1:6" hidden="1" x14ac:dyDescent="0.35">
      <c r="A378" s="82"/>
      <c r="B378" s="18"/>
      <c r="C378" s="18"/>
      <c r="D378" s="276"/>
      <c r="E378" s="276"/>
      <c r="F378" s="276"/>
    </row>
    <row r="379" spans="1:6" hidden="1" x14ac:dyDescent="0.35">
      <c r="A379" s="82"/>
      <c r="B379" s="18"/>
      <c r="C379" s="18"/>
      <c r="D379" s="276"/>
      <c r="E379" s="276"/>
      <c r="F379" s="276"/>
    </row>
    <row r="380" spans="1:6" hidden="1" x14ac:dyDescent="0.35">
      <c r="A380" s="82"/>
      <c r="B380" s="18"/>
      <c r="C380" s="18"/>
      <c r="D380" s="276"/>
      <c r="E380" s="276"/>
      <c r="F380" s="276"/>
    </row>
    <row r="381" spans="1:6" hidden="1" x14ac:dyDescent="0.35">
      <c r="A381" s="82"/>
      <c r="B381" s="18"/>
      <c r="C381" s="18"/>
      <c r="D381" s="276"/>
      <c r="E381" s="276"/>
      <c r="F381" s="276"/>
    </row>
    <row r="382" spans="1:6" hidden="1" x14ac:dyDescent="0.35">
      <c r="A382" s="82"/>
      <c r="B382" s="18"/>
      <c r="C382" s="18"/>
      <c r="D382" s="276"/>
      <c r="E382" s="276"/>
      <c r="F382" s="276"/>
    </row>
    <row r="383" spans="1:6" hidden="1" x14ac:dyDescent="0.35">
      <c r="A383" s="82"/>
      <c r="B383" s="18"/>
      <c r="C383" s="18"/>
      <c r="D383" s="276"/>
      <c r="E383" s="276"/>
      <c r="F383" s="276"/>
    </row>
    <row r="384" spans="1:6" hidden="1" x14ac:dyDescent="0.35">
      <c r="A384" s="82"/>
      <c r="B384" s="18"/>
      <c r="C384" s="18"/>
      <c r="D384" s="276"/>
      <c r="E384" s="276"/>
      <c r="F384" s="276"/>
    </row>
    <row r="385" spans="1:6" hidden="1" x14ac:dyDescent="0.35">
      <c r="A385" s="82"/>
      <c r="B385" s="18"/>
      <c r="C385" s="18"/>
      <c r="D385" s="276"/>
      <c r="E385" s="276"/>
      <c r="F385" s="276"/>
    </row>
    <row r="386" spans="1:6" hidden="1" x14ac:dyDescent="0.35">
      <c r="A386" s="82"/>
      <c r="B386" s="18"/>
      <c r="C386" s="18"/>
      <c r="D386" s="276"/>
      <c r="E386" s="276"/>
      <c r="F386" s="276"/>
    </row>
    <row r="387" spans="1:6" hidden="1" x14ac:dyDescent="0.35">
      <c r="A387" s="82"/>
      <c r="B387" s="18"/>
      <c r="C387" s="18"/>
      <c r="D387" s="276"/>
      <c r="E387" s="276"/>
      <c r="F387" s="276"/>
    </row>
    <row r="388" spans="1:6" hidden="1" x14ac:dyDescent="0.35">
      <c r="A388" s="82"/>
      <c r="B388" s="18"/>
      <c r="C388" s="18"/>
      <c r="D388" s="276"/>
      <c r="E388" s="276"/>
      <c r="F388" s="276"/>
    </row>
    <row r="389" spans="1:6" hidden="1" x14ac:dyDescent="0.35">
      <c r="A389" s="82"/>
      <c r="B389" s="18"/>
      <c r="C389" s="18"/>
      <c r="D389" s="276"/>
      <c r="E389" s="328"/>
      <c r="F389" s="328"/>
    </row>
    <row r="390" spans="1:6" ht="18.5" x14ac:dyDescent="0.45">
      <c r="A390" s="352" t="s">
        <v>1837</v>
      </c>
      <c r="B390" s="356" t="s">
        <v>2121</v>
      </c>
      <c r="C390" s="80"/>
      <c r="D390" s="353"/>
      <c r="E390" s="353"/>
      <c r="F390" s="353">
        <f>SUM(F391:F420)</f>
        <v>0</v>
      </c>
    </row>
    <row r="391" spans="1:6" hidden="1" x14ac:dyDescent="0.35">
      <c r="A391" s="82"/>
      <c r="B391" s="18"/>
      <c r="C391" s="18"/>
      <c r="D391" s="276"/>
      <c r="E391" s="276"/>
      <c r="F391" s="276"/>
    </row>
    <row r="392" spans="1:6" hidden="1" x14ac:dyDescent="0.35">
      <c r="A392" s="82"/>
      <c r="B392" s="18"/>
      <c r="C392" s="18"/>
      <c r="D392" s="276"/>
      <c r="E392" s="276"/>
      <c r="F392" s="276"/>
    </row>
    <row r="393" spans="1:6" hidden="1" x14ac:dyDescent="0.35">
      <c r="A393" s="82"/>
      <c r="B393" s="18"/>
      <c r="C393" s="18"/>
      <c r="D393" s="276"/>
      <c r="E393" s="276"/>
      <c r="F393" s="276"/>
    </row>
    <row r="394" spans="1:6" hidden="1" x14ac:dyDescent="0.35">
      <c r="A394" s="82"/>
      <c r="B394" s="18"/>
      <c r="C394" s="18"/>
      <c r="D394" s="276"/>
      <c r="E394" s="276"/>
      <c r="F394" s="276"/>
    </row>
    <row r="395" spans="1:6" hidden="1" x14ac:dyDescent="0.35">
      <c r="A395" s="82"/>
      <c r="B395" s="18"/>
      <c r="C395" s="18"/>
      <c r="D395" s="276"/>
      <c r="E395" s="276"/>
      <c r="F395" s="276"/>
    </row>
    <row r="396" spans="1:6" hidden="1" x14ac:dyDescent="0.35">
      <c r="A396" s="82"/>
      <c r="B396" s="18"/>
      <c r="C396" s="18"/>
      <c r="D396" s="276"/>
      <c r="E396" s="276"/>
      <c r="F396" s="276"/>
    </row>
    <row r="397" spans="1:6" hidden="1" x14ac:dyDescent="0.35">
      <c r="A397" s="82"/>
      <c r="B397" s="18"/>
      <c r="C397" s="18"/>
      <c r="D397" s="276"/>
      <c r="E397" s="276"/>
      <c r="F397" s="276"/>
    </row>
    <row r="398" spans="1:6" hidden="1" x14ac:dyDescent="0.35">
      <c r="A398" s="82"/>
      <c r="B398" s="18"/>
      <c r="C398" s="18"/>
      <c r="D398" s="276"/>
      <c r="E398" s="276"/>
      <c r="F398" s="276"/>
    </row>
    <row r="399" spans="1:6" hidden="1" x14ac:dyDescent="0.35">
      <c r="A399" s="82"/>
      <c r="B399" s="18"/>
      <c r="C399" s="18"/>
      <c r="D399" s="276"/>
      <c r="E399" s="276"/>
      <c r="F399" s="276"/>
    </row>
    <row r="400" spans="1:6" hidden="1" x14ac:dyDescent="0.35">
      <c r="A400" s="82"/>
      <c r="B400" s="18"/>
      <c r="C400" s="18"/>
      <c r="D400" s="276"/>
      <c r="E400" s="276"/>
      <c r="F400" s="276"/>
    </row>
    <row r="401" spans="1:6" hidden="1" x14ac:dyDescent="0.35">
      <c r="A401" s="82"/>
      <c r="B401" s="18"/>
      <c r="C401" s="18"/>
      <c r="D401" s="276"/>
      <c r="E401" s="276"/>
      <c r="F401" s="276"/>
    </row>
    <row r="402" spans="1:6" hidden="1" x14ac:dyDescent="0.35">
      <c r="A402" s="82"/>
      <c r="B402" s="18"/>
      <c r="C402" s="18"/>
      <c r="D402" s="276"/>
      <c r="E402" s="276"/>
      <c r="F402" s="276"/>
    </row>
    <row r="403" spans="1:6" hidden="1" x14ac:dyDescent="0.35">
      <c r="A403" s="82"/>
      <c r="B403" s="18"/>
      <c r="C403" s="18"/>
      <c r="D403" s="276"/>
      <c r="E403" s="276"/>
      <c r="F403" s="276"/>
    </row>
    <row r="404" spans="1:6" hidden="1" x14ac:dyDescent="0.35">
      <c r="A404" s="82"/>
      <c r="B404" s="18"/>
      <c r="C404" s="18"/>
      <c r="D404" s="276"/>
      <c r="E404" s="276"/>
      <c r="F404" s="276"/>
    </row>
    <row r="405" spans="1:6" hidden="1" x14ac:dyDescent="0.35">
      <c r="A405" s="82"/>
      <c r="B405" s="18"/>
      <c r="C405" s="18"/>
      <c r="D405" s="276"/>
      <c r="E405" s="276"/>
      <c r="F405" s="276"/>
    </row>
    <row r="406" spans="1:6" hidden="1" x14ac:dyDescent="0.35">
      <c r="A406" s="82"/>
      <c r="B406" s="18"/>
      <c r="C406" s="18"/>
      <c r="D406" s="276"/>
      <c r="E406" s="276"/>
      <c r="F406" s="276"/>
    </row>
    <row r="407" spans="1:6" hidden="1" x14ac:dyDescent="0.35">
      <c r="A407" s="82"/>
      <c r="B407" s="18"/>
      <c r="C407" s="18"/>
      <c r="D407" s="276"/>
      <c r="E407" s="276"/>
      <c r="F407" s="276"/>
    </row>
    <row r="408" spans="1:6" hidden="1" x14ac:dyDescent="0.35">
      <c r="A408" s="82"/>
      <c r="B408" s="18"/>
      <c r="C408" s="18"/>
      <c r="D408" s="276"/>
      <c r="E408" s="276"/>
      <c r="F408" s="276"/>
    </row>
    <row r="409" spans="1:6" hidden="1" x14ac:dyDescent="0.35">
      <c r="A409" s="82"/>
      <c r="B409" s="18"/>
      <c r="C409" s="18"/>
      <c r="D409" s="276"/>
      <c r="E409" s="276"/>
      <c r="F409" s="276"/>
    </row>
    <row r="410" spans="1:6" hidden="1" x14ac:dyDescent="0.35">
      <c r="A410" s="82"/>
      <c r="B410" s="18"/>
      <c r="C410" s="18"/>
      <c r="D410" s="276"/>
      <c r="E410" s="276"/>
      <c r="F410" s="276"/>
    </row>
    <row r="411" spans="1:6" hidden="1" x14ac:dyDescent="0.35">
      <c r="A411" s="82"/>
      <c r="B411" s="18"/>
      <c r="C411" s="18"/>
      <c r="D411" s="276"/>
      <c r="E411" s="276"/>
      <c r="F411" s="276"/>
    </row>
    <row r="412" spans="1:6" hidden="1" x14ac:dyDescent="0.35">
      <c r="A412" s="82"/>
      <c r="B412" s="18"/>
      <c r="C412" s="18"/>
      <c r="D412" s="276"/>
      <c r="E412" s="276"/>
      <c r="F412" s="276"/>
    </row>
    <row r="413" spans="1:6" hidden="1" x14ac:dyDescent="0.35">
      <c r="A413" s="82"/>
      <c r="B413" s="18"/>
      <c r="C413" s="18"/>
      <c r="D413" s="276"/>
      <c r="E413" s="276"/>
      <c r="F413" s="276"/>
    </row>
    <row r="414" spans="1:6" hidden="1" x14ac:dyDescent="0.35">
      <c r="A414" s="82"/>
      <c r="B414" s="18"/>
      <c r="C414" s="18"/>
      <c r="D414" s="276"/>
      <c r="E414" s="276"/>
      <c r="F414" s="276"/>
    </row>
    <row r="415" spans="1:6" hidden="1" x14ac:dyDescent="0.35">
      <c r="A415" s="82"/>
      <c r="B415" s="18"/>
      <c r="C415" s="18"/>
      <c r="D415" s="276"/>
      <c r="E415" s="276"/>
      <c r="F415" s="276"/>
    </row>
    <row r="416" spans="1:6" hidden="1" x14ac:dyDescent="0.35">
      <c r="A416" s="82"/>
      <c r="B416" s="18"/>
      <c r="C416" s="18"/>
      <c r="D416" s="276"/>
      <c r="E416" s="276"/>
      <c r="F416" s="276"/>
    </row>
    <row r="417" spans="1:6" hidden="1" x14ac:dyDescent="0.35">
      <c r="A417" s="82"/>
      <c r="B417" s="18"/>
      <c r="C417" s="18"/>
      <c r="D417" s="276"/>
      <c r="E417" s="276"/>
      <c r="F417" s="276"/>
    </row>
    <row r="418" spans="1:6" hidden="1" x14ac:dyDescent="0.35">
      <c r="A418" s="82"/>
      <c r="B418" s="18"/>
      <c r="C418" s="18"/>
      <c r="D418" s="276"/>
      <c r="E418" s="276"/>
      <c r="F418" s="276"/>
    </row>
    <row r="419" spans="1:6" hidden="1" x14ac:dyDescent="0.35">
      <c r="A419" s="82"/>
      <c r="B419" s="18"/>
      <c r="C419" s="18"/>
      <c r="D419" s="276"/>
      <c r="E419" s="276"/>
      <c r="F419" s="276"/>
    </row>
    <row r="420" spans="1:6" hidden="1" x14ac:dyDescent="0.35">
      <c r="A420" s="82"/>
      <c r="B420" s="18"/>
      <c r="C420" s="18"/>
      <c r="D420" s="276"/>
      <c r="E420" s="276"/>
      <c r="F420" s="276"/>
    </row>
    <row r="421" spans="1:6" ht="26" x14ac:dyDescent="0.6">
      <c r="A421" s="352" t="s">
        <v>1837</v>
      </c>
      <c r="B421" s="381" t="s">
        <v>2152</v>
      </c>
      <c r="C421" s="80"/>
      <c r="D421" s="353"/>
      <c r="E421" s="353"/>
      <c r="F421" s="353">
        <f>SUM(F422:F511)</f>
        <v>0</v>
      </c>
    </row>
    <row r="422" spans="1:6" hidden="1" x14ac:dyDescent="0.35">
      <c r="A422" s="82"/>
      <c r="B422" s="18"/>
      <c r="C422" s="18"/>
      <c r="D422" s="276"/>
      <c r="E422" s="276"/>
      <c r="F422" s="276"/>
    </row>
    <row r="423" spans="1:6" hidden="1" x14ac:dyDescent="0.35">
      <c r="A423" s="82"/>
      <c r="B423" s="18"/>
      <c r="C423" s="18"/>
      <c r="D423" s="276"/>
      <c r="E423" s="276"/>
      <c r="F423" s="276"/>
    </row>
    <row r="424" spans="1:6" hidden="1" x14ac:dyDescent="0.35">
      <c r="A424" s="82"/>
      <c r="B424" s="18"/>
      <c r="C424" s="18"/>
      <c r="D424" s="276"/>
      <c r="E424" s="276"/>
      <c r="F424" s="276"/>
    </row>
    <row r="425" spans="1:6" hidden="1" x14ac:dyDescent="0.35">
      <c r="A425" s="82"/>
      <c r="B425" s="18"/>
      <c r="C425" s="18"/>
      <c r="D425" s="276"/>
      <c r="E425" s="276"/>
      <c r="F425" s="276"/>
    </row>
    <row r="426" spans="1:6" hidden="1" x14ac:dyDescent="0.35">
      <c r="A426" s="82"/>
      <c r="B426" s="18"/>
      <c r="C426" s="18"/>
      <c r="D426" s="276"/>
      <c r="E426" s="276"/>
      <c r="F426" s="276"/>
    </row>
    <row r="427" spans="1:6" hidden="1" x14ac:dyDescent="0.35">
      <c r="A427" s="82"/>
      <c r="B427" s="18"/>
      <c r="C427" s="18"/>
      <c r="D427" s="276"/>
      <c r="E427" s="276"/>
      <c r="F427" s="276"/>
    </row>
    <row r="428" spans="1:6" hidden="1" x14ac:dyDescent="0.35">
      <c r="A428" s="82"/>
      <c r="B428" s="18"/>
      <c r="C428" s="18"/>
      <c r="D428" s="276"/>
      <c r="E428" s="276"/>
      <c r="F428" s="276"/>
    </row>
    <row r="429" spans="1:6" hidden="1" x14ac:dyDescent="0.35">
      <c r="A429" s="82"/>
      <c r="B429" s="18"/>
      <c r="C429" s="18"/>
      <c r="D429" s="276"/>
      <c r="E429" s="276"/>
      <c r="F429" s="276"/>
    </row>
    <row r="430" spans="1:6" hidden="1" x14ac:dyDescent="0.35">
      <c r="A430" s="82"/>
      <c r="B430" s="18"/>
      <c r="C430" s="18"/>
      <c r="D430" s="276"/>
      <c r="E430" s="276"/>
      <c r="F430" s="276"/>
    </row>
    <row r="431" spans="1:6" hidden="1" x14ac:dyDescent="0.35">
      <c r="A431" s="82"/>
      <c r="B431" s="18"/>
      <c r="C431" s="18"/>
      <c r="D431" s="276"/>
      <c r="E431" s="276"/>
      <c r="F431" s="276"/>
    </row>
    <row r="432" spans="1:6" hidden="1" x14ac:dyDescent="0.35">
      <c r="A432" s="82"/>
      <c r="B432" s="18"/>
      <c r="C432" s="18"/>
      <c r="D432" s="276"/>
      <c r="E432" s="276"/>
      <c r="F432" s="276"/>
    </row>
    <row r="433" spans="1:6" hidden="1" x14ac:dyDescent="0.35">
      <c r="A433" s="82"/>
      <c r="B433" s="18"/>
      <c r="C433" s="18"/>
      <c r="D433" s="276"/>
      <c r="E433" s="276"/>
      <c r="F433" s="276"/>
    </row>
    <row r="434" spans="1:6" hidden="1" x14ac:dyDescent="0.35">
      <c r="A434" s="82"/>
      <c r="B434" s="18"/>
      <c r="C434" s="18"/>
      <c r="D434" s="276"/>
      <c r="E434" s="276"/>
      <c r="F434" s="276"/>
    </row>
    <row r="435" spans="1:6" hidden="1" x14ac:dyDescent="0.35">
      <c r="A435" s="82"/>
      <c r="B435" s="18"/>
      <c r="C435" s="18"/>
      <c r="D435" s="276"/>
      <c r="E435" s="276"/>
      <c r="F435" s="276"/>
    </row>
    <row r="436" spans="1:6" hidden="1" x14ac:dyDescent="0.35">
      <c r="A436" s="82"/>
      <c r="B436" s="18"/>
      <c r="C436" s="18"/>
      <c r="D436" s="276"/>
      <c r="E436" s="276"/>
      <c r="F436" s="276"/>
    </row>
    <row r="437" spans="1:6" hidden="1" x14ac:dyDescent="0.35">
      <c r="A437" s="82"/>
      <c r="B437" s="18"/>
      <c r="C437" s="18"/>
      <c r="D437" s="276"/>
      <c r="E437" s="276"/>
      <c r="F437" s="276"/>
    </row>
    <row r="438" spans="1:6" hidden="1" x14ac:dyDescent="0.35">
      <c r="A438" s="82"/>
      <c r="B438" s="18"/>
      <c r="C438" s="18"/>
      <c r="D438" s="276"/>
      <c r="E438" s="276"/>
      <c r="F438" s="276"/>
    </row>
    <row r="439" spans="1:6" hidden="1" x14ac:dyDescent="0.35">
      <c r="A439" s="82"/>
      <c r="B439" s="18"/>
      <c r="C439" s="18"/>
      <c r="D439" s="276"/>
      <c r="E439" s="276"/>
      <c r="F439" s="276"/>
    </row>
    <row r="440" spans="1:6" hidden="1" x14ac:dyDescent="0.35">
      <c r="A440" s="82"/>
      <c r="B440" s="18"/>
      <c r="C440" s="18"/>
      <c r="D440" s="276"/>
      <c r="E440" s="276"/>
      <c r="F440" s="276"/>
    </row>
    <row r="441" spans="1:6" hidden="1" x14ac:dyDescent="0.35">
      <c r="A441" s="82"/>
      <c r="B441" s="18"/>
      <c r="C441" s="18"/>
      <c r="D441" s="276"/>
      <c r="E441" s="276"/>
      <c r="F441" s="276"/>
    </row>
    <row r="442" spans="1:6" hidden="1" x14ac:dyDescent="0.35">
      <c r="A442" s="82"/>
      <c r="B442" s="18"/>
      <c r="C442" s="18"/>
      <c r="D442" s="276"/>
      <c r="E442" s="276"/>
      <c r="F442" s="276"/>
    </row>
    <row r="443" spans="1:6" hidden="1" x14ac:dyDescent="0.35">
      <c r="A443" s="82"/>
      <c r="B443" s="18"/>
      <c r="C443" s="18"/>
      <c r="D443" s="276"/>
      <c r="E443" s="276"/>
      <c r="F443" s="276"/>
    </row>
    <row r="444" spans="1:6" hidden="1" x14ac:dyDescent="0.35">
      <c r="A444" s="82"/>
      <c r="B444" s="18"/>
      <c r="C444" s="18"/>
      <c r="D444" s="276"/>
      <c r="E444" s="276"/>
      <c r="F444" s="276"/>
    </row>
    <row r="445" spans="1:6" hidden="1" x14ac:dyDescent="0.35">
      <c r="A445" s="82"/>
      <c r="B445" s="18"/>
      <c r="C445" s="18"/>
      <c r="D445" s="276"/>
      <c r="E445" s="276"/>
      <c r="F445" s="276"/>
    </row>
    <row r="446" spans="1:6" hidden="1" x14ac:dyDescent="0.35">
      <c r="A446" s="82"/>
      <c r="B446" s="18"/>
      <c r="C446" s="18"/>
      <c r="D446" s="276"/>
      <c r="E446" s="276"/>
      <c r="F446" s="276"/>
    </row>
    <row r="447" spans="1:6" hidden="1" x14ac:dyDescent="0.35">
      <c r="A447" s="82"/>
      <c r="B447" s="18"/>
      <c r="C447" s="18"/>
      <c r="D447" s="276"/>
      <c r="E447" s="276"/>
      <c r="F447" s="276"/>
    </row>
    <row r="448" spans="1:6" hidden="1" x14ac:dyDescent="0.35">
      <c r="A448" s="82"/>
      <c r="B448" s="18"/>
      <c r="C448" s="18"/>
      <c r="D448" s="276"/>
      <c r="E448" s="276"/>
      <c r="F448" s="276"/>
    </row>
    <row r="449" spans="1:6" hidden="1" x14ac:dyDescent="0.35">
      <c r="A449" s="82"/>
      <c r="B449" s="18"/>
      <c r="C449" s="18"/>
      <c r="D449" s="276"/>
      <c r="E449" s="276"/>
      <c r="F449" s="276"/>
    </row>
    <row r="450" spans="1:6" hidden="1" x14ac:dyDescent="0.35">
      <c r="A450" s="82"/>
      <c r="B450" s="18"/>
      <c r="C450" s="18"/>
      <c r="D450" s="276"/>
      <c r="E450" s="276"/>
      <c r="F450" s="276"/>
    </row>
    <row r="451" spans="1:6" hidden="1" x14ac:dyDescent="0.35">
      <c r="A451" s="82"/>
      <c r="B451" s="18"/>
      <c r="C451" s="18"/>
      <c r="D451" s="276"/>
      <c r="E451" s="276"/>
      <c r="F451" s="276"/>
    </row>
    <row r="452" spans="1:6" hidden="1" x14ac:dyDescent="0.35">
      <c r="A452" s="82"/>
      <c r="B452" s="18"/>
      <c r="C452" s="18"/>
      <c r="D452" s="276"/>
      <c r="E452" s="276"/>
      <c r="F452" s="276"/>
    </row>
    <row r="453" spans="1:6" hidden="1" x14ac:dyDescent="0.35">
      <c r="A453" s="82"/>
      <c r="B453" s="18"/>
      <c r="C453" s="18"/>
      <c r="D453" s="276"/>
      <c r="E453" s="276"/>
      <c r="F453" s="276"/>
    </row>
    <row r="454" spans="1:6" hidden="1" x14ac:dyDescent="0.35">
      <c r="A454" s="82"/>
      <c r="B454" s="18"/>
      <c r="C454" s="18"/>
      <c r="D454" s="276"/>
      <c r="E454" s="276"/>
      <c r="F454" s="276"/>
    </row>
    <row r="455" spans="1:6" hidden="1" x14ac:dyDescent="0.35">
      <c r="A455" s="82"/>
      <c r="B455" s="18"/>
      <c r="C455" s="18"/>
      <c r="D455" s="276"/>
      <c r="E455" s="276"/>
      <c r="F455" s="276"/>
    </row>
    <row r="456" spans="1:6" hidden="1" x14ac:dyDescent="0.35">
      <c r="A456" s="82"/>
      <c r="B456" s="18"/>
      <c r="C456" s="18"/>
      <c r="D456" s="276"/>
      <c r="E456" s="276"/>
      <c r="F456" s="276"/>
    </row>
    <row r="457" spans="1:6" hidden="1" x14ac:dyDescent="0.35">
      <c r="A457" s="82"/>
      <c r="B457" s="18"/>
      <c r="C457" s="18"/>
      <c r="D457" s="276"/>
      <c r="E457" s="276"/>
      <c r="F457" s="276"/>
    </row>
    <row r="458" spans="1:6" hidden="1" x14ac:dyDescent="0.35">
      <c r="A458" s="82"/>
      <c r="B458" s="18"/>
      <c r="C458" s="18"/>
      <c r="D458" s="276"/>
      <c r="E458" s="276"/>
      <c r="F458" s="276"/>
    </row>
    <row r="459" spans="1:6" hidden="1" x14ac:dyDescent="0.35">
      <c r="A459" s="82"/>
      <c r="B459" s="18"/>
      <c r="C459" s="18"/>
      <c r="D459" s="276"/>
      <c r="E459" s="276"/>
      <c r="F459" s="276"/>
    </row>
    <row r="460" spans="1:6" hidden="1" x14ac:dyDescent="0.35">
      <c r="A460" s="82"/>
      <c r="B460" s="18"/>
      <c r="C460" s="18"/>
      <c r="D460" s="276"/>
      <c r="E460" s="276"/>
      <c r="F460" s="276"/>
    </row>
    <row r="461" spans="1:6" hidden="1" x14ac:dyDescent="0.35">
      <c r="A461" s="82"/>
      <c r="B461" s="18"/>
      <c r="C461" s="18"/>
      <c r="D461" s="276"/>
      <c r="E461" s="276"/>
      <c r="F461" s="276"/>
    </row>
    <row r="462" spans="1:6" hidden="1" x14ac:dyDescent="0.35">
      <c r="A462" s="82"/>
      <c r="B462" s="18"/>
      <c r="C462" s="18"/>
      <c r="D462" s="276"/>
      <c r="E462" s="276"/>
      <c r="F462" s="276"/>
    </row>
    <row r="463" spans="1:6" hidden="1" x14ac:dyDescent="0.35">
      <c r="A463" s="82"/>
      <c r="B463" s="18"/>
      <c r="C463" s="18"/>
      <c r="D463" s="276"/>
      <c r="E463" s="276"/>
      <c r="F463" s="276"/>
    </row>
    <row r="464" spans="1:6" hidden="1" x14ac:dyDescent="0.35">
      <c r="A464" s="82"/>
      <c r="B464" s="18"/>
      <c r="C464" s="18"/>
      <c r="D464" s="276"/>
      <c r="E464" s="276"/>
      <c r="F464" s="276"/>
    </row>
    <row r="465" spans="1:7" hidden="1" x14ac:dyDescent="0.35">
      <c r="A465" s="82"/>
      <c r="B465" s="18"/>
      <c r="C465" s="18"/>
      <c r="D465" s="276"/>
      <c r="E465" s="276"/>
      <c r="F465" s="276"/>
    </row>
    <row r="466" spans="1:7" hidden="1" x14ac:dyDescent="0.35">
      <c r="A466" s="82"/>
      <c r="B466" s="18"/>
      <c r="C466" s="18"/>
      <c r="D466" s="276"/>
      <c r="E466" s="276"/>
      <c r="F466" s="276"/>
    </row>
    <row r="467" spans="1:7" hidden="1" x14ac:dyDescent="0.35">
      <c r="A467" s="82"/>
      <c r="B467" s="18"/>
      <c r="C467" s="18"/>
      <c r="D467" s="276"/>
      <c r="E467" s="276"/>
      <c r="F467" s="276"/>
    </row>
    <row r="468" spans="1:7" hidden="1" x14ac:dyDescent="0.35">
      <c r="A468" s="82"/>
      <c r="B468" s="18"/>
      <c r="C468" s="18"/>
      <c r="D468" s="276"/>
      <c r="E468" s="276"/>
      <c r="F468" s="276"/>
    </row>
    <row r="469" spans="1:7" hidden="1" x14ac:dyDescent="0.35">
      <c r="A469" s="82"/>
      <c r="B469" s="18"/>
      <c r="C469" s="18"/>
      <c r="D469" s="276"/>
      <c r="E469" s="276"/>
      <c r="F469" s="276"/>
    </row>
    <row r="470" spans="1:7" hidden="1" x14ac:dyDescent="0.3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35">
      <c r="A471" s="82" t="s">
        <v>2095</v>
      </c>
      <c r="B471" s="18" t="s">
        <v>2095</v>
      </c>
      <c r="C471" s="18" t="s">
        <v>2095</v>
      </c>
      <c r="D471" s="276" t="s">
        <v>2095</v>
      </c>
      <c r="E471" s="276" t="s">
        <v>2095</v>
      </c>
      <c r="F471" s="276" t="s">
        <v>2095</v>
      </c>
      <c r="G471" t="s">
        <v>2095</v>
      </c>
    </row>
    <row r="472" spans="1:7" hidden="1" x14ac:dyDescent="0.35">
      <c r="A472" s="82" t="s">
        <v>2095</v>
      </c>
      <c r="B472" s="18" t="s">
        <v>2095</v>
      </c>
      <c r="C472" s="18" t="s">
        <v>2095</v>
      </c>
      <c r="D472" s="276" t="s">
        <v>2095</v>
      </c>
      <c r="E472" s="276" t="s">
        <v>2095</v>
      </c>
      <c r="F472" s="276" t="s">
        <v>2095</v>
      </c>
      <c r="G472" t="s">
        <v>2095</v>
      </c>
    </row>
    <row r="473" spans="1:7" hidden="1" x14ac:dyDescent="0.35">
      <c r="A473" s="82" t="s">
        <v>2095</v>
      </c>
      <c r="B473" s="18" t="s">
        <v>2095</v>
      </c>
      <c r="C473" s="18" t="s">
        <v>2095</v>
      </c>
      <c r="D473" s="276" t="s">
        <v>2095</v>
      </c>
      <c r="E473" s="276" t="s">
        <v>2095</v>
      </c>
      <c r="F473" s="276" t="s">
        <v>2095</v>
      </c>
      <c r="G473" t="s">
        <v>2095</v>
      </c>
    </row>
    <row r="474" spans="1:7" hidden="1" x14ac:dyDescent="0.35">
      <c r="A474" s="82"/>
      <c r="B474" s="18" t="s">
        <v>2095</v>
      </c>
      <c r="C474" s="18" t="s">
        <v>2095</v>
      </c>
      <c r="D474" s="276" t="s">
        <v>2095</v>
      </c>
      <c r="E474" s="276" t="s">
        <v>2095</v>
      </c>
      <c r="F474" s="276" t="s">
        <v>2095</v>
      </c>
      <c r="G474" t="s">
        <v>2095</v>
      </c>
    </row>
    <row r="475" spans="1:7" hidden="1" x14ac:dyDescent="0.35">
      <c r="A475" s="82"/>
      <c r="B475" s="18" t="s">
        <v>2095</v>
      </c>
      <c r="C475" s="18" t="s">
        <v>2095</v>
      </c>
      <c r="D475" s="276" t="s">
        <v>2095</v>
      </c>
      <c r="E475" s="276" t="s">
        <v>2095</v>
      </c>
      <c r="F475" s="276" t="s">
        <v>2095</v>
      </c>
      <c r="G475" t="s">
        <v>2095</v>
      </c>
    </row>
    <row r="476" spans="1:7" hidden="1" x14ac:dyDescent="0.35">
      <c r="A476" s="82"/>
      <c r="B476" s="18" t="s">
        <v>2095</v>
      </c>
      <c r="C476" s="18" t="s">
        <v>2095</v>
      </c>
      <c r="D476" s="276" t="s">
        <v>2095</v>
      </c>
      <c r="E476" s="276" t="s">
        <v>2095</v>
      </c>
      <c r="F476" s="276" t="s">
        <v>2095</v>
      </c>
      <c r="G476" t="s">
        <v>2095</v>
      </c>
    </row>
    <row r="477" spans="1:7" hidden="1" x14ac:dyDescent="0.35">
      <c r="A477" s="82" t="s">
        <v>2095</v>
      </c>
      <c r="B477" s="18" t="s">
        <v>2095</v>
      </c>
      <c r="C477" s="18" t="s">
        <v>2095</v>
      </c>
      <c r="D477" s="276" t="s">
        <v>2095</v>
      </c>
      <c r="E477" s="276" t="s">
        <v>2095</v>
      </c>
      <c r="F477" s="276" t="s">
        <v>2095</v>
      </c>
      <c r="G477" t="s">
        <v>2095</v>
      </c>
    </row>
    <row r="478" spans="1:7" hidden="1" x14ac:dyDescent="0.3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35">
      <c r="A479" s="82" t="s">
        <v>2095</v>
      </c>
      <c r="B479" s="18" t="s">
        <v>2095</v>
      </c>
      <c r="C479" s="18" t="s">
        <v>2095</v>
      </c>
      <c r="D479" s="276" t="s">
        <v>2095</v>
      </c>
      <c r="E479" s="276" t="s">
        <v>2095</v>
      </c>
      <c r="F479" s="276" t="s">
        <v>2095</v>
      </c>
      <c r="G479" t="s">
        <v>2095</v>
      </c>
    </row>
    <row r="480" spans="1:7" hidden="1" x14ac:dyDescent="0.35">
      <c r="A480" s="82" t="s">
        <v>2095</v>
      </c>
      <c r="B480" s="18" t="s">
        <v>2095</v>
      </c>
      <c r="C480" s="18" t="s">
        <v>2095</v>
      </c>
      <c r="D480" s="276" t="s">
        <v>2095</v>
      </c>
      <c r="E480" s="276" t="s">
        <v>2095</v>
      </c>
      <c r="F480" s="276" t="s">
        <v>2095</v>
      </c>
      <c r="G480" t="s">
        <v>2095</v>
      </c>
    </row>
    <row r="481" spans="1:7" hidden="1" x14ac:dyDescent="0.35">
      <c r="A481" s="82" t="s">
        <v>2095</v>
      </c>
      <c r="B481" s="18" t="s">
        <v>2095</v>
      </c>
      <c r="C481" s="18" t="s">
        <v>2095</v>
      </c>
      <c r="D481" s="276" t="s">
        <v>2095</v>
      </c>
      <c r="E481" s="276" t="s">
        <v>2095</v>
      </c>
      <c r="F481" s="276" t="s">
        <v>2095</v>
      </c>
      <c r="G481" t="s">
        <v>2095</v>
      </c>
    </row>
    <row r="482" spans="1:7" hidden="1" x14ac:dyDescent="0.35">
      <c r="A482" s="82" t="s">
        <v>2095</v>
      </c>
      <c r="B482" s="18" t="s">
        <v>2095</v>
      </c>
      <c r="C482" s="18" t="s">
        <v>2095</v>
      </c>
      <c r="D482" s="276" t="s">
        <v>2095</v>
      </c>
      <c r="E482" s="276" t="s">
        <v>2095</v>
      </c>
      <c r="F482" s="276" t="s">
        <v>2095</v>
      </c>
      <c r="G482" t="s">
        <v>2095</v>
      </c>
    </row>
    <row r="483" spans="1:7" hidden="1" x14ac:dyDescent="0.35">
      <c r="A483" s="82" t="s">
        <v>2095</v>
      </c>
      <c r="B483" s="18" t="s">
        <v>2095</v>
      </c>
      <c r="C483" s="18" t="s">
        <v>2095</v>
      </c>
      <c r="D483" s="276" t="s">
        <v>2095</v>
      </c>
      <c r="E483" s="276" t="s">
        <v>2095</v>
      </c>
      <c r="F483" s="276" t="s">
        <v>2095</v>
      </c>
      <c r="G483" t="s">
        <v>2095</v>
      </c>
    </row>
    <row r="484" spans="1:7" hidden="1" x14ac:dyDescent="0.35">
      <c r="A484" s="82" t="s">
        <v>2095</v>
      </c>
      <c r="B484" s="18" t="s">
        <v>2095</v>
      </c>
      <c r="C484" s="18" t="s">
        <v>2095</v>
      </c>
      <c r="D484" s="276" t="s">
        <v>2095</v>
      </c>
      <c r="E484" s="276" t="s">
        <v>2095</v>
      </c>
      <c r="F484" s="276" t="s">
        <v>2095</v>
      </c>
      <c r="G484" t="s">
        <v>2095</v>
      </c>
    </row>
    <row r="485" spans="1:7" hidden="1" x14ac:dyDescent="0.35">
      <c r="A485" s="82" t="s">
        <v>2095</v>
      </c>
      <c r="B485" s="18" t="s">
        <v>2095</v>
      </c>
      <c r="C485" s="18" t="s">
        <v>2095</v>
      </c>
      <c r="D485" s="276" t="s">
        <v>2095</v>
      </c>
      <c r="E485" s="276" t="s">
        <v>2095</v>
      </c>
      <c r="F485" s="276" t="s">
        <v>2095</v>
      </c>
      <c r="G485" t="s">
        <v>2095</v>
      </c>
    </row>
    <row r="486" spans="1:7" hidden="1" x14ac:dyDescent="0.35">
      <c r="A486" s="82" t="s">
        <v>2095</v>
      </c>
      <c r="B486" s="18" t="s">
        <v>2095</v>
      </c>
      <c r="C486" s="18" t="s">
        <v>2095</v>
      </c>
      <c r="D486" s="276" t="s">
        <v>2095</v>
      </c>
      <c r="E486" s="276" t="s">
        <v>2095</v>
      </c>
      <c r="F486" s="276" t="s">
        <v>2095</v>
      </c>
      <c r="G486" t="s">
        <v>2095</v>
      </c>
    </row>
    <row r="487" spans="1:7" hidden="1" x14ac:dyDescent="0.35">
      <c r="A487" s="82" t="s">
        <v>2095</v>
      </c>
      <c r="B487" s="18" t="s">
        <v>2095</v>
      </c>
      <c r="C487" s="18" t="s">
        <v>2095</v>
      </c>
      <c r="D487" s="276" t="s">
        <v>2095</v>
      </c>
      <c r="E487" s="276" t="s">
        <v>2095</v>
      </c>
      <c r="F487" s="276" t="s">
        <v>2095</v>
      </c>
      <c r="G487" t="s">
        <v>2095</v>
      </c>
    </row>
    <row r="488" spans="1:7" hidden="1" x14ac:dyDescent="0.35">
      <c r="A488" s="82" t="s">
        <v>2095</v>
      </c>
      <c r="B488" s="18" t="s">
        <v>2095</v>
      </c>
      <c r="C488" s="18" t="s">
        <v>2095</v>
      </c>
      <c r="D488" s="276" t="s">
        <v>2095</v>
      </c>
      <c r="E488" s="276" t="s">
        <v>2095</v>
      </c>
      <c r="F488" s="276" t="s">
        <v>2095</v>
      </c>
      <c r="G488" t="s">
        <v>2095</v>
      </c>
    </row>
    <row r="489" spans="1:7" hidden="1" x14ac:dyDescent="0.35">
      <c r="A489" s="82" t="s">
        <v>2095</v>
      </c>
      <c r="B489" s="18" t="s">
        <v>2095</v>
      </c>
      <c r="C489" s="18" t="s">
        <v>2095</v>
      </c>
      <c r="D489" s="276" t="s">
        <v>2095</v>
      </c>
      <c r="E489" s="276" t="s">
        <v>2095</v>
      </c>
      <c r="F489" s="276" t="s">
        <v>2095</v>
      </c>
      <c r="G489" t="s">
        <v>2095</v>
      </c>
    </row>
    <row r="490" spans="1:7" hidden="1" x14ac:dyDescent="0.35">
      <c r="A490" s="82" t="s">
        <v>2095</v>
      </c>
      <c r="B490" s="18" t="s">
        <v>2095</v>
      </c>
      <c r="C490" s="18" t="s">
        <v>2095</v>
      </c>
      <c r="D490" s="276" t="s">
        <v>2095</v>
      </c>
      <c r="E490" s="276" t="s">
        <v>2095</v>
      </c>
      <c r="F490" s="276" t="s">
        <v>2095</v>
      </c>
      <c r="G490" t="s">
        <v>2095</v>
      </c>
    </row>
    <row r="491" spans="1:7" hidden="1" x14ac:dyDescent="0.35">
      <c r="A491" s="82" t="s">
        <v>2095</v>
      </c>
      <c r="B491" s="18" t="s">
        <v>2095</v>
      </c>
      <c r="C491" s="18" t="s">
        <v>2095</v>
      </c>
      <c r="D491" s="276" t="s">
        <v>2095</v>
      </c>
      <c r="E491" s="276" t="s">
        <v>2095</v>
      </c>
      <c r="F491" s="276" t="s">
        <v>2095</v>
      </c>
      <c r="G491" t="s">
        <v>2095</v>
      </c>
    </row>
    <row r="492" spans="1:7" hidden="1" x14ac:dyDescent="0.35">
      <c r="A492" s="82" t="s">
        <v>2095</v>
      </c>
      <c r="B492" s="18" t="s">
        <v>2095</v>
      </c>
      <c r="C492" s="18" t="s">
        <v>2095</v>
      </c>
      <c r="D492" s="276" t="s">
        <v>2095</v>
      </c>
      <c r="E492" s="276" t="s">
        <v>2095</v>
      </c>
      <c r="F492" s="276" t="s">
        <v>2095</v>
      </c>
      <c r="G492" t="s">
        <v>2095</v>
      </c>
    </row>
    <row r="493" spans="1:7" hidden="1" x14ac:dyDescent="0.35">
      <c r="A493" s="82" t="s">
        <v>2095</v>
      </c>
      <c r="B493" s="18" t="s">
        <v>2095</v>
      </c>
      <c r="C493" s="18" t="s">
        <v>2095</v>
      </c>
      <c r="D493" s="276" t="s">
        <v>2095</v>
      </c>
      <c r="E493" s="276" t="s">
        <v>2095</v>
      </c>
      <c r="F493" s="276" t="s">
        <v>2095</v>
      </c>
      <c r="G493" t="s">
        <v>2095</v>
      </c>
    </row>
    <row r="494" spans="1:7" hidden="1" x14ac:dyDescent="0.35">
      <c r="A494" s="82" t="s">
        <v>2095</v>
      </c>
      <c r="B494" s="18" t="s">
        <v>2095</v>
      </c>
      <c r="C494" s="18" t="s">
        <v>2095</v>
      </c>
      <c r="D494" s="276" t="s">
        <v>2095</v>
      </c>
      <c r="E494" s="276" t="s">
        <v>2095</v>
      </c>
      <c r="F494" s="276" t="s">
        <v>2095</v>
      </c>
      <c r="G494" t="s">
        <v>2095</v>
      </c>
    </row>
    <row r="495" spans="1:7" hidden="1" x14ac:dyDescent="0.35">
      <c r="A495" s="82" t="s">
        <v>2095</v>
      </c>
      <c r="B495" s="18" t="s">
        <v>2095</v>
      </c>
      <c r="C495" s="18" t="s">
        <v>2095</v>
      </c>
      <c r="D495" s="276" t="s">
        <v>2095</v>
      </c>
      <c r="E495" s="276" t="s">
        <v>2095</v>
      </c>
      <c r="F495" s="276" t="s">
        <v>2095</v>
      </c>
      <c r="G495" t="s">
        <v>2095</v>
      </c>
    </row>
    <row r="496" spans="1:7" hidden="1" x14ac:dyDescent="0.35">
      <c r="A496" s="82" t="s">
        <v>2095</v>
      </c>
      <c r="B496" s="18" t="s">
        <v>2095</v>
      </c>
      <c r="C496" s="18" t="s">
        <v>2095</v>
      </c>
      <c r="D496" s="276" t="s">
        <v>2095</v>
      </c>
      <c r="E496" s="276" t="s">
        <v>2095</v>
      </c>
      <c r="F496" s="276" t="s">
        <v>2095</v>
      </c>
      <c r="G496" t="s">
        <v>2095</v>
      </c>
    </row>
    <row r="497" spans="1:7" hidden="1" x14ac:dyDescent="0.35">
      <c r="A497" s="82" t="s">
        <v>2095</v>
      </c>
      <c r="B497" s="18" t="s">
        <v>2095</v>
      </c>
      <c r="C497" s="18" t="s">
        <v>2095</v>
      </c>
      <c r="D497" s="276" t="s">
        <v>2095</v>
      </c>
      <c r="E497" s="276" t="s">
        <v>2095</v>
      </c>
      <c r="F497" s="276" t="s">
        <v>2095</v>
      </c>
      <c r="G497" t="s">
        <v>2095</v>
      </c>
    </row>
    <row r="498" spans="1:7" hidden="1" x14ac:dyDescent="0.35">
      <c r="A498" s="82" t="s">
        <v>2095</v>
      </c>
      <c r="B498" s="18" t="s">
        <v>2095</v>
      </c>
      <c r="C498" s="18" t="s">
        <v>2095</v>
      </c>
      <c r="D498" s="276" t="s">
        <v>2095</v>
      </c>
      <c r="E498" s="276" t="s">
        <v>2095</v>
      </c>
      <c r="F498" s="276" t="s">
        <v>2095</v>
      </c>
      <c r="G498" t="s">
        <v>2095</v>
      </c>
    </row>
    <row r="499" spans="1:7" hidden="1" x14ac:dyDescent="0.35">
      <c r="A499" s="82" t="s">
        <v>2095</v>
      </c>
      <c r="B499" s="18" t="s">
        <v>2095</v>
      </c>
      <c r="C499" s="18" t="s">
        <v>2095</v>
      </c>
      <c r="D499" s="276" t="s">
        <v>2095</v>
      </c>
      <c r="E499" s="276" t="s">
        <v>2095</v>
      </c>
      <c r="F499" s="276" t="s">
        <v>2095</v>
      </c>
      <c r="G499" t="s">
        <v>2095</v>
      </c>
    </row>
    <row r="500" spans="1:7" hidden="1" x14ac:dyDescent="0.35">
      <c r="A500" s="82" t="s">
        <v>2095</v>
      </c>
      <c r="B500" s="18" t="s">
        <v>2095</v>
      </c>
      <c r="C500" s="18" t="s">
        <v>2095</v>
      </c>
      <c r="D500" s="276" t="s">
        <v>2095</v>
      </c>
      <c r="E500" s="276" t="s">
        <v>2095</v>
      </c>
      <c r="F500" s="276" t="s">
        <v>2095</v>
      </c>
      <c r="G500" t="s">
        <v>2095</v>
      </c>
    </row>
    <row r="501" spans="1:7" hidden="1" x14ac:dyDescent="0.35">
      <c r="A501" s="82" t="s">
        <v>2095</v>
      </c>
      <c r="B501" s="18" t="s">
        <v>2095</v>
      </c>
      <c r="C501" s="18" t="s">
        <v>2095</v>
      </c>
      <c r="D501" s="276" t="s">
        <v>2095</v>
      </c>
      <c r="E501" s="276" t="s">
        <v>2095</v>
      </c>
      <c r="F501" s="276" t="s">
        <v>2095</v>
      </c>
      <c r="G501" t="s">
        <v>2095</v>
      </c>
    </row>
    <row r="502" spans="1:7" hidden="1" x14ac:dyDescent="0.35">
      <c r="A502" s="82" t="s">
        <v>2095</v>
      </c>
      <c r="B502" s="18" t="s">
        <v>2095</v>
      </c>
      <c r="C502" s="18" t="s">
        <v>2095</v>
      </c>
      <c r="D502" s="276" t="s">
        <v>2095</v>
      </c>
      <c r="E502" s="276" t="s">
        <v>2095</v>
      </c>
      <c r="F502" s="276" t="s">
        <v>2095</v>
      </c>
      <c r="G502" t="s">
        <v>2095</v>
      </c>
    </row>
    <row r="503" spans="1:7" hidden="1" x14ac:dyDescent="0.35">
      <c r="A503" s="82" t="s">
        <v>2095</v>
      </c>
      <c r="B503" s="18" t="s">
        <v>2095</v>
      </c>
      <c r="C503" s="18" t="s">
        <v>2095</v>
      </c>
      <c r="D503" s="276" t="s">
        <v>2095</v>
      </c>
      <c r="E503" s="276" t="s">
        <v>2095</v>
      </c>
      <c r="F503" s="276" t="s">
        <v>2095</v>
      </c>
      <c r="G503" t="s">
        <v>2095</v>
      </c>
    </row>
    <row r="504" spans="1:7" hidden="1" x14ac:dyDescent="0.35">
      <c r="A504" s="82" t="s">
        <v>2095</v>
      </c>
      <c r="B504" s="18" t="s">
        <v>2095</v>
      </c>
      <c r="C504" s="18" t="s">
        <v>2095</v>
      </c>
      <c r="D504" s="276" t="s">
        <v>2095</v>
      </c>
      <c r="E504" s="276" t="s">
        <v>2095</v>
      </c>
      <c r="F504" s="276" t="s">
        <v>2095</v>
      </c>
      <c r="G504" t="s">
        <v>2095</v>
      </c>
    </row>
    <row r="505" spans="1:7" hidden="1" x14ac:dyDescent="0.35">
      <c r="A505" s="82" t="s">
        <v>2095</v>
      </c>
      <c r="B505" s="18" t="s">
        <v>2095</v>
      </c>
      <c r="C505" s="18" t="s">
        <v>2095</v>
      </c>
      <c r="D505" s="276" t="s">
        <v>2095</v>
      </c>
      <c r="E505" s="276" t="s">
        <v>2095</v>
      </c>
      <c r="F505" s="276" t="s">
        <v>2095</v>
      </c>
      <c r="G505" t="s">
        <v>2095</v>
      </c>
    </row>
    <row r="506" spans="1:7" hidden="1" x14ac:dyDescent="0.35">
      <c r="A506" s="82" t="s">
        <v>2095</v>
      </c>
      <c r="B506" s="18" t="s">
        <v>2095</v>
      </c>
      <c r="C506" s="18" t="s">
        <v>2095</v>
      </c>
      <c r="D506" s="276" t="s">
        <v>2095</v>
      </c>
      <c r="E506" s="276" t="s">
        <v>2095</v>
      </c>
      <c r="F506" s="276" t="s">
        <v>2095</v>
      </c>
      <c r="G506" t="s">
        <v>2095</v>
      </c>
    </row>
    <row r="507" spans="1:7" hidden="1" x14ac:dyDescent="0.35">
      <c r="A507" s="82" t="s">
        <v>2095</v>
      </c>
      <c r="B507" s="18" t="s">
        <v>2095</v>
      </c>
      <c r="C507" s="18" t="s">
        <v>2095</v>
      </c>
      <c r="D507" s="276" t="s">
        <v>2095</v>
      </c>
      <c r="E507" s="276" t="s">
        <v>2095</v>
      </c>
      <c r="F507" s="276" t="s">
        <v>2095</v>
      </c>
      <c r="G507" t="s">
        <v>2095</v>
      </c>
    </row>
    <row r="508" spans="1:7" hidden="1" x14ac:dyDescent="0.35">
      <c r="A508" s="82" t="s">
        <v>2095</v>
      </c>
      <c r="B508" s="18" t="s">
        <v>2095</v>
      </c>
      <c r="C508" s="18" t="s">
        <v>2095</v>
      </c>
      <c r="D508" s="276" t="s">
        <v>2095</v>
      </c>
      <c r="E508" s="276" t="s">
        <v>2095</v>
      </c>
      <c r="F508" s="276" t="s">
        <v>2095</v>
      </c>
      <c r="G508" t="s">
        <v>2095</v>
      </c>
    </row>
    <row r="509" spans="1:7" hidden="1" x14ac:dyDescent="0.35">
      <c r="A509" s="82" t="s">
        <v>2095</v>
      </c>
      <c r="B509" s="18" t="s">
        <v>2095</v>
      </c>
      <c r="C509" s="18" t="s">
        <v>2095</v>
      </c>
      <c r="D509" s="276" t="s">
        <v>2095</v>
      </c>
      <c r="E509" s="276" t="s">
        <v>2095</v>
      </c>
      <c r="F509" s="276" t="s">
        <v>2095</v>
      </c>
      <c r="G509" t="s">
        <v>2095</v>
      </c>
    </row>
    <row r="510" spans="1:7" hidden="1" x14ac:dyDescent="0.35">
      <c r="A510" s="82" t="s">
        <v>2095</v>
      </c>
      <c r="B510" s="18" t="s">
        <v>2095</v>
      </c>
      <c r="C510" s="18" t="s">
        <v>2095</v>
      </c>
      <c r="D510" s="276" t="s">
        <v>2095</v>
      </c>
      <c r="E510" s="276" t="s">
        <v>2095</v>
      </c>
      <c r="F510" s="276" t="s">
        <v>2095</v>
      </c>
      <c r="G510" t="s">
        <v>2095</v>
      </c>
    </row>
    <row r="511" spans="1:7" hidden="1" x14ac:dyDescent="0.35">
      <c r="A511" s="82" t="s">
        <v>2095</v>
      </c>
      <c r="B511" s="18" t="s">
        <v>2095</v>
      </c>
      <c r="C511" s="18" t="s">
        <v>2095</v>
      </c>
      <c r="D511" s="276" t="s">
        <v>2095</v>
      </c>
      <c r="E511" s="276" t="s">
        <v>2095</v>
      </c>
      <c r="F511" s="276" t="s">
        <v>2095</v>
      </c>
      <c r="G511" t="s">
        <v>2095</v>
      </c>
    </row>
    <row r="512" spans="1:7" ht="15" thickBot="1" x14ac:dyDescent="0.4">
      <c r="A512" s="83" t="s">
        <v>1837</v>
      </c>
      <c r="E512" s="354"/>
      <c r="F512" s="355">
        <f>+F421+F390+F337+F297+F203+F152+F141+F45+F16+F23</f>
        <v>28467.167109133123</v>
      </c>
      <c r="G512" t="s">
        <v>2095</v>
      </c>
    </row>
    <row r="513" spans="1:7" hidden="1" x14ac:dyDescent="0.35">
      <c r="A513" s="83" t="s">
        <v>2095</v>
      </c>
      <c r="B513" t="s">
        <v>2095</v>
      </c>
      <c r="C513" t="s">
        <v>2095</v>
      </c>
      <c r="D513" s="56" t="s">
        <v>2095</v>
      </c>
      <c r="E513" s="56" t="s">
        <v>2095</v>
      </c>
      <c r="F513" s="56" t="s">
        <v>2095</v>
      </c>
      <c r="G513" t="s">
        <v>2095</v>
      </c>
    </row>
    <row r="514" spans="1:7" hidden="1" x14ac:dyDescent="0.35">
      <c r="A514" s="83" t="s">
        <v>2095</v>
      </c>
      <c r="B514" t="s">
        <v>2095</v>
      </c>
      <c r="C514" t="s">
        <v>2095</v>
      </c>
      <c r="D514" s="56" t="s">
        <v>2095</v>
      </c>
      <c r="E514" s="56" t="s">
        <v>2095</v>
      </c>
      <c r="F514" s="56" t="s">
        <v>2095</v>
      </c>
      <c r="G514" t="s">
        <v>2095</v>
      </c>
    </row>
    <row r="515" spans="1:7" hidden="1" x14ac:dyDescent="0.35">
      <c r="A515" s="83" t="s">
        <v>2095</v>
      </c>
      <c r="B515" t="s">
        <v>2095</v>
      </c>
      <c r="C515" t="s">
        <v>2095</v>
      </c>
      <c r="D515" s="56" t="s">
        <v>2095</v>
      </c>
      <c r="E515" s="56" t="s">
        <v>2095</v>
      </c>
      <c r="F515" s="56" t="s">
        <v>2095</v>
      </c>
      <c r="G515" t="s">
        <v>2095</v>
      </c>
    </row>
    <row r="516" spans="1:7" hidden="1" x14ac:dyDescent="0.35">
      <c r="A516" s="83" t="s">
        <v>2095</v>
      </c>
      <c r="B516" t="s">
        <v>2095</v>
      </c>
      <c r="C516" t="s">
        <v>2095</v>
      </c>
      <c r="D516" s="56" t="s">
        <v>2095</v>
      </c>
      <c r="E516" s="56" t="s">
        <v>2095</v>
      </c>
      <c r="F516" s="56" t="s">
        <v>2095</v>
      </c>
      <c r="G516" t="s">
        <v>2095</v>
      </c>
    </row>
    <row r="517" spans="1:7" hidden="1" x14ac:dyDescent="0.35">
      <c r="A517" s="83" t="s">
        <v>2095</v>
      </c>
      <c r="B517" t="s">
        <v>2095</v>
      </c>
      <c r="C517" t="s">
        <v>2095</v>
      </c>
      <c r="D517" s="56" t="s">
        <v>2095</v>
      </c>
      <c r="E517" s="56" t="s">
        <v>2095</v>
      </c>
      <c r="F517" s="56" t="s">
        <v>2095</v>
      </c>
      <c r="G517" t="s">
        <v>2095</v>
      </c>
    </row>
  </sheetData>
  <autoFilter ref="A15:F517" xr:uid="{D483D071-BE2C-4142-9164-6B3A05321F4A}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 xr:uid="{6369C618-7FB8-4CDC-BCFB-080CACCB003F}"/>
    <hyperlink ref="B337" location="'ISO ID - SortGate'!A1" display="ISO ID, Sort Gate" xr:uid="{387EC4B2-F47C-4779-9CD1-5CBEF9D33138}"/>
    <hyperlink ref="B390" location="Robot!A1" display="Robots y Opcionales ( PRECIO EN EUROS)" xr:uid="{F9D4E8AE-E25C-425C-AAD6-22B0B525D441}"/>
    <hyperlink ref="B421" location="cañerias!A1" display="Caneria" xr:uid="{477960D9-8349-4E8F-82BF-03254E965D70}"/>
    <hyperlink ref="B297" location="'Extractores, indicadores'!A1" display="Extractores e indicadores de produccion" xr:uid="{8D16A60D-7DCF-4EEB-951D-1AD53DAAC434}"/>
    <hyperlink ref="B45" location="bombas!A1" display="Bombas de Vacio" xr:uid="{5A9C46BC-BCBD-4F77-B8A9-843326AC51C1}"/>
    <hyperlink ref="B152" location="'Placas, Filtros Lavadora,Recupe'!A1" display="Intercambiador a Placas, lavador y recuperdor de calor" xr:uid="{71166F3F-8D4C-45AB-9024-67F3C97E509A}"/>
    <hyperlink ref="B141" location="pulsado!A1" display="Pulsado y filtros" xr:uid="{1F16FC48-77F6-457C-9ACF-02C5A02F6752}"/>
    <hyperlink ref="B203" location="'Unidad Final'!A1" display="Unidad Final" xr:uid="{045177FA-D9F7-4A29-8153-44397899ACB2}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69850</xdr:colOff>
                    <xdr:row>44</xdr:row>
                    <xdr:rowOff>31750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69850</xdr:colOff>
                    <xdr:row>47</xdr:row>
                    <xdr:rowOff>12700</xdr:rowOff>
                  </from>
                  <to>
                    <xdr:col>9</xdr:col>
                    <xdr:colOff>285750</xdr:colOff>
                    <xdr:row>151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69850</xdr:colOff>
                    <xdr:row>144</xdr:row>
                    <xdr:rowOff>12700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69850</xdr:colOff>
                    <xdr:row>153</xdr:row>
                    <xdr:rowOff>12700</xdr:rowOff>
                  </from>
                  <to>
                    <xdr:col>9</xdr:col>
                    <xdr:colOff>285750</xdr:colOff>
                    <xdr:row>296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69850</xdr:colOff>
                    <xdr:row>205</xdr:row>
                    <xdr:rowOff>12700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107950</xdr:rowOff>
                  </from>
                  <to>
                    <xdr:col>9</xdr:col>
                    <xdr:colOff>298450</xdr:colOff>
                    <xdr:row>336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69850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69850</xdr:colOff>
                    <xdr:row>10</xdr:row>
                    <xdr:rowOff>31750</xdr:rowOff>
                  </from>
                  <to>
                    <xdr:col>0</xdr:col>
                    <xdr:colOff>927100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107950</xdr:rowOff>
                  </from>
                  <to>
                    <xdr:col>0</xdr:col>
                    <xdr:colOff>914400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488950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88900</xdr:colOff>
                    <xdr:row>391</xdr:row>
                    <xdr:rowOff>50800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88900</xdr:colOff>
                    <xdr:row>423</xdr:row>
                    <xdr:rowOff>50800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127000</xdr:rowOff>
                  </from>
                  <to>
                    <xdr:col>6</xdr:col>
                    <xdr:colOff>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P33"/>
  <sheetViews>
    <sheetView zoomScale="85" zoomScaleNormal="85" workbookViewId="0">
      <selection activeCell="K5" sqref="K5:P32"/>
    </sheetView>
  </sheetViews>
  <sheetFormatPr defaultColWidth="8.7265625" defaultRowHeight="14.5" x14ac:dyDescent="0.35"/>
  <cols>
    <col min="2" max="2" width="21.7265625" bestFit="1" customWidth="1"/>
    <col min="3" max="3" width="47.7265625" bestFit="1" customWidth="1"/>
    <col min="4" max="4" width="7.26953125" bestFit="1" customWidth="1"/>
    <col min="5" max="5" width="10" bestFit="1" customWidth="1"/>
    <col min="6" max="6" width="6.1796875" bestFit="1" customWidth="1"/>
    <col min="7" max="7" width="12.26953125" customWidth="1"/>
    <col min="12" max="12" width="53.36328125" bestFit="1" customWidth="1"/>
    <col min="13" max="13" width="5.1796875" bestFit="1" customWidth="1"/>
    <col min="14" max="14" width="10.26953125" bestFit="1" customWidth="1"/>
    <col min="15" max="15" width="8.7265625" customWidth="1"/>
    <col min="16" max="16" width="12.54296875" customWidth="1"/>
    <col min="17" max="17" width="14.81640625" customWidth="1"/>
    <col min="18" max="18" width="55.1796875" customWidth="1"/>
  </cols>
  <sheetData>
    <row r="1" spans="2:16" x14ac:dyDescent="0.3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" thickBot="1" x14ac:dyDescent="0.4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3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3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3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3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3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3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3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3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3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" thickBot="1" x14ac:dyDescent="0.4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3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3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3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3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3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3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3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3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3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35">
      <c r="B24" s="12"/>
      <c r="C24" s="12"/>
      <c r="D24" s="12"/>
      <c r="E24" s="12"/>
      <c r="F24" s="12"/>
      <c r="G24" s="12"/>
    </row>
    <row r="25" spans="2:16" ht="15" thickBot="1" x14ac:dyDescent="0.4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3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3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3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3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3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3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3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3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 xr:uid="{FB22A2E2-D2C5-433B-9FAF-D476212ABB1A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336550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336550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336550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336550</xdr:colOff>
                    <xdr:row>27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355600</xdr:colOff>
                    <xdr:row>20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146050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1555750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99"/>
  <sheetViews>
    <sheetView workbookViewId="0">
      <selection activeCell="K5" sqref="K5:P99"/>
    </sheetView>
  </sheetViews>
  <sheetFormatPr defaultColWidth="8.7265625" defaultRowHeight="14.5" x14ac:dyDescent="0.35"/>
  <cols>
    <col min="2" max="2" width="10.453125" style="281" bestFit="1" customWidth="1"/>
    <col min="3" max="3" width="53.54296875" bestFit="1" customWidth="1"/>
    <col min="4" max="4" width="2" bestFit="1" customWidth="1"/>
    <col min="5" max="5" width="11" bestFit="1" customWidth="1"/>
    <col min="6" max="6" width="4.453125" bestFit="1" customWidth="1"/>
    <col min="7" max="7" width="11" bestFit="1" customWidth="1"/>
    <col min="12" max="12" width="47.453125" bestFit="1" customWidth="1"/>
    <col min="14" max="14" width="10" bestFit="1" customWidth="1"/>
    <col min="16" max="16" width="10" bestFit="1" customWidth="1"/>
  </cols>
  <sheetData>
    <row r="2" spans="2:9" ht="21" x14ac:dyDescent="0.5">
      <c r="I2" s="156" t="s">
        <v>1879</v>
      </c>
    </row>
    <row r="3" spans="2:9" ht="15" thickBot="1" x14ac:dyDescent="0.4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3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3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3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3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3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3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3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3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3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3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3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3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" thickBot="1" x14ac:dyDescent="0.4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3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3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3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3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3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3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3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3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3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3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3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" thickBot="1" x14ac:dyDescent="0.4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3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3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3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3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3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3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3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3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3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3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3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" thickBot="1" x14ac:dyDescent="0.4">
      <c r="B40" s="282" t="s">
        <v>0</v>
      </c>
      <c r="C40" s="463" t="s">
        <v>2213</v>
      </c>
      <c r="D40" s="463"/>
      <c r="E40" s="463"/>
      <c r="F40" s="463"/>
      <c r="G40" s="464"/>
    </row>
    <row r="41" spans="2:7" x14ac:dyDescent="0.3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3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3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3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3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" thickBot="1" x14ac:dyDescent="0.4">
      <c r="B46" s="282" t="s">
        <v>0</v>
      </c>
      <c r="C46" s="463" t="s">
        <v>2214</v>
      </c>
      <c r="D46" s="463"/>
      <c r="E46" s="463"/>
      <c r="F46" s="463"/>
      <c r="G46" s="464"/>
    </row>
    <row r="47" spans="2:7" x14ac:dyDescent="0.3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3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3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3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3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" thickBot="1" x14ac:dyDescent="0.4">
      <c r="B52" s="282" t="s">
        <v>0</v>
      </c>
      <c r="C52" s="463" t="s">
        <v>2215</v>
      </c>
      <c r="D52" s="463"/>
      <c r="E52" s="463"/>
      <c r="F52" s="463"/>
      <c r="G52" s="464"/>
    </row>
    <row r="53" spans="2:7" x14ac:dyDescent="0.3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3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3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3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3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" thickBot="1" x14ac:dyDescent="0.4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3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3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3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3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3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3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3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3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3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3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3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3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3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" thickBot="1" x14ac:dyDescent="0.4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3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3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3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3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3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3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3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3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3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3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3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3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3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" thickBot="1" x14ac:dyDescent="0.4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3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3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3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3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3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3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3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3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3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3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3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3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3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 xr:uid="{95967D5D-E7B0-4164-AFE2-0403C887ADEE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412750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412750</xdr:colOff>
                    <xdr:row>8</xdr:row>
                    <xdr:rowOff>165100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412750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412750</xdr:colOff>
                    <xdr:row>20</xdr:row>
                    <xdr:rowOff>165100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412750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412750</xdr:colOff>
                    <xdr:row>31</xdr:row>
                    <xdr:rowOff>165100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412750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412750</xdr:colOff>
                    <xdr:row>43</xdr:row>
                    <xdr:rowOff>165100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412750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412750</xdr:colOff>
                    <xdr:row>49</xdr:row>
                    <xdr:rowOff>165100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412750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412750</xdr:colOff>
                    <xdr:row>55</xdr:row>
                    <xdr:rowOff>165100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412750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412750</xdr:colOff>
                    <xdr:row>62</xdr:row>
                    <xdr:rowOff>165100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412750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412750</xdr:colOff>
                    <xdr:row>75</xdr:row>
                    <xdr:rowOff>165100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412750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412750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412750</xdr:colOff>
                    <xdr:row>92</xdr:row>
                    <xdr:rowOff>165100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21"/>
  <sheetViews>
    <sheetView workbookViewId="0">
      <selection activeCell="K7" sqref="K7:P9"/>
    </sheetView>
  </sheetViews>
  <sheetFormatPr defaultColWidth="8.7265625" defaultRowHeight="14.5" x14ac:dyDescent="0.35"/>
  <cols>
    <col min="2" max="2" width="21.7265625" bestFit="1" customWidth="1"/>
    <col min="3" max="3" width="42.26953125" bestFit="1" customWidth="1"/>
    <col min="4" max="4" width="7.26953125" bestFit="1" customWidth="1"/>
    <col min="5" max="5" width="10" bestFit="1" customWidth="1"/>
    <col min="6" max="6" width="7.26953125" bestFit="1" customWidth="1"/>
    <col min="7" max="7" width="10" bestFit="1" customWidth="1"/>
    <col min="11" max="11" width="8" bestFit="1" customWidth="1"/>
    <col min="12" max="12" width="56.179687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3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" thickBot="1" x14ac:dyDescent="0.4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3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3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3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35">
      <c r="B10" s="59"/>
      <c r="K10" s="81"/>
    </row>
    <row r="11" spans="2:11" x14ac:dyDescent="0.35">
      <c r="B11" s="59"/>
      <c r="K11" s="81"/>
    </row>
    <row r="12" spans="2:11" x14ac:dyDescent="0.3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3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3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3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3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5" customHeight="1" x14ac:dyDescent="0.35"/>
  </sheetData>
  <mergeCells count="1">
    <mergeCell ref="C6:G6"/>
  </mergeCells>
  <hyperlinks>
    <hyperlink ref="H2" location="presu!A1" display="Presupuesto" xr:uid="{D0122D29-263F-4919-967A-2937502CF90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431800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450850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584200</xdr:colOff>
                    <xdr:row>15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546100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469900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defaultColWidth="8.7265625" defaultRowHeight="14.5" x14ac:dyDescent="0.35"/>
  <cols>
    <col min="2" max="2" width="8" bestFit="1" customWidth="1"/>
    <col min="3" max="3" width="54.54296875" customWidth="1"/>
    <col min="4" max="4" width="4.7265625" bestFit="1" customWidth="1"/>
    <col min="5" max="5" width="11" style="311" bestFit="1" customWidth="1"/>
    <col min="6" max="6" width="6.54296875" bestFit="1" customWidth="1"/>
    <col min="7" max="7" width="11" style="311" bestFit="1" customWidth="1"/>
    <col min="11" max="11" width="8" bestFit="1" customWidth="1"/>
    <col min="12" max="12" width="10.26953125" customWidth="1"/>
    <col min="13" max="13" width="24.54296875" bestFit="1" customWidth="1"/>
    <col min="14" max="14" width="1.81640625" bestFit="1" customWidth="1"/>
    <col min="15" max="15" width="9.453125" style="56" bestFit="1" customWidth="1"/>
    <col min="16" max="16" width="4.453125" style="56" bestFit="1" customWidth="1"/>
    <col min="17" max="17" width="8.7265625" style="56"/>
  </cols>
  <sheetData>
    <row r="2" spans="2:20" ht="21" x14ac:dyDescent="0.5">
      <c r="J2" s="156" t="s">
        <v>1879</v>
      </c>
    </row>
    <row r="4" spans="2:20" ht="15" thickBot="1" x14ac:dyDescent="0.4"/>
    <row r="5" spans="2:20" x14ac:dyDescent="0.35">
      <c r="B5" s="465" t="s">
        <v>1811</v>
      </c>
      <c r="C5" s="466"/>
      <c r="D5" s="466"/>
      <c r="E5" s="466"/>
      <c r="F5" s="466"/>
      <c r="G5" s="467"/>
    </row>
    <row r="6" spans="2:20" ht="16" thickBot="1" x14ac:dyDescent="0.4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3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2084</v>
      </c>
    </row>
    <row r="8" spans="2:20" x14ac:dyDescent="0.3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3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2085</v>
      </c>
    </row>
    <row r="10" spans="2:20" x14ac:dyDescent="0.3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" thickBot="1" x14ac:dyDescent="0.4">
      <c r="B11" s="64"/>
      <c r="C11" s="64"/>
      <c r="D11" s="64"/>
      <c r="E11" s="314"/>
      <c r="F11" s="64"/>
      <c r="G11" s="314"/>
      <c r="H11" s="80"/>
    </row>
    <row r="12" spans="2:20" x14ac:dyDescent="0.3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" thickBot="1" x14ac:dyDescent="0.4">
      <c r="B13" s="468"/>
      <c r="C13" s="469"/>
      <c r="D13" s="469"/>
      <c r="E13" s="469"/>
      <c r="F13" s="469"/>
      <c r="G13" s="470"/>
      <c r="H13" s="80"/>
    </row>
    <row r="14" spans="2:20" x14ac:dyDescent="0.3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2086</v>
      </c>
    </row>
    <row r="15" spans="2:20" x14ac:dyDescent="0.3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2087</v>
      </c>
    </row>
    <row r="16" spans="2:20" ht="15" thickBot="1" x14ac:dyDescent="0.4">
      <c r="B16" s="64"/>
      <c r="C16" s="64"/>
      <c r="D16" s="64"/>
      <c r="E16" s="314"/>
      <c r="F16" s="64"/>
      <c r="G16" s="314"/>
      <c r="H16" s="80"/>
    </row>
    <row r="17" spans="2:20" ht="21" x14ac:dyDescent="0.5">
      <c r="B17" s="65"/>
      <c r="C17" s="471" t="s">
        <v>1817</v>
      </c>
      <c r="D17" s="471"/>
      <c r="E17" s="471"/>
      <c r="F17" s="471"/>
      <c r="G17" s="472"/>
      <c r="H17" s="80"/>
    </row>
    <row r="18" spans="2:20" ht="15" thickBot="1" x14ac:dyDescent="0.4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3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2088</v>
      </c>
    </row>
    <row r="20" spans="2:20" x14ac:dyDescent="0.3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3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3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3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3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3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" thickBot="1" x14ac:dyDescent="0.4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3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2089</v>
      </c>
    </row>
    <row r="28" spans="2:20" x14ac:dyDescent="0.3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3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3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3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3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3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" thickBot="1" x14ac:dyDescent="0.4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3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2091</v>
      </c>
    </row>
    <row r="36" spans="2:20" x14ac:dyDescent="0.3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3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3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3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3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3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3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" thickBot="1" x14ac:dyDescent="0.4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3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2090</v>
      </c>
    </row>
    <row r="45" spans="2:20" x14ac:dyDescent="0.3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3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3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3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3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3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" thickBot="1" x14ac:dyDescent="0.4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3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" thickBot="1" x14ac:dyDescent="0.4">
      <c r="B53" s="468"/>
      <c r="C53" s="469"/>
      <c r="D53" s="469"/>
      <c r="E53" s="469"/>
      <c r="F53" s="469"/>
      <c r="G53" s="470"/>
      <c r="H53" s="80"/>
    </row>
    <row r="54" spans="2:20" x14ac:dyDescent="0.3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2092</v>
      </c>
    </row>
    <row r="55" spans="2:20" x14ac:dyDescent="0.3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2093</v>
      </c>
    </row>
    <row r="56" spans="2:20" x14ac:dyDescent="0.3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2094</v>
      </c>
    </row>
    <row r="57" spans="2:20" x14ac:dyDescent="0.3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3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3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 xr:uid="{258F3267-031B-42F9-9F59-412DD906E95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12700</xdr:rowOff>
                  </from>
                  <to>
                    <xdr:col>12</xdr:col>
                    <xdr:colOff>1670050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279400</xdr:colOff>
                    <xdr:row>3</xdr:row>
                    <xdr:rowOff>31750</xdr:rowOff>
                  </from>
                  <to>
                    <xdr:col>12</xdr:col>
                    <xdr:colOff>1638300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546100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P97"/>
  <sheetViews>
    <sheetView workbookViewId="0">
      <selection activeCell="K5" sqref="K5:P97"/>
    </sheetView>
  </sheetViews>
  <sheetFormatPr defaultColWidth="8.7265625" defaultRowHeight="14.5" x14ac:dyDescent="0.35"/>
  <cols>
    <col min="2" max="2" width="10.453125" bestFit="1" customWidth="1"/>
    <col min="3" max="3" width="56" bestFit="1" customWidth="1"/>
    <col min="4" max="4" width="10.54296875" bestFit="1" customWidth="1"/>
    <col min="5" max="5" width="10.453125" style="56" bestFit="1" customWidth="1"/>
    <col min="6" max="6" width="8.81640625" bestFit="1" customWidth="1"/>
    <col min="7" max="7" width="9.453125" style="56" bestFit="1" customWidth="1"/>
    <col min="11" max="11" width="10.81640625" bestFit="1" customWidth="1"/>
    <col min="12" max="12" width="47.26953125" bestFit="1" customWidth="1"/>
    <col min="13" max="13" width="1.7265625" bestFit="1" customWidth="1"/>
    <col min="14" max="14" width="9.54296875" style="56" bestFit="1" customWidth="1"/>
    <col min="15" max="15" width="4" style="56" bestFit="1" customWidth="1"/>
    <col min="16" max="16" width="9.54296875" style="56" bestFit="1" customWidth="1"/>
  </cols>
  <sheetData>
    <row r="2" spans="2:16" ht="21" x14ac:dyDescent="0.5">
      <c r="I2" s="156" t="s">
        <v>1879</v>
      </c>
    </row>
    <row r="3" spans="2:16" ht="15" thickBot="1" x14ac:dyDescent="0.4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35">
      <c r="B4" s="93" t="s">
        <v>1838</v>
      </c>
      <c r="C4" s="483" t="s">
        <v>1839</v>
      </c>
      <c r="D4" s="483"/>
      <c r="E4" s="483"/>
      <c r="F4" s="483"/>
      <c r="G4" s="484"/>
    </row>
    <row r="5" spans="2:16" ht="15" thickBot="1" x14ac:dyDescent="0.4">
      <c r="B5" s="94" t="s">
        <v>0</v>
      </c>
      <c r="C5" s="485" t="s">
        <v>1840</v>
      </c>
      <c r="D5" s="485"/>
      <c r="E5" s="485"/>
      <c r="F5" s="485"/>
      <c r="G5" s="486"/>
      <c r="N5"/>
      <c r="O5"/>
      <c r="P5"/>
    </row>
    <row r="6" spans="2:16" x14ac:dyDescent="0.3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3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3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3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3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3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3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3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3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3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3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3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3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3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3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3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3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" thickBot="1" x14ac:dyDescent="0.4">
      <c r="B23" s="95"/>
      <c r="C23" s="96"/>
      <c r="D23" s="95"/>
      <c r="E23" s="309"/>
      <c r="F23" s="97"/>
      <c r="G23" s="309"/>
    </row>
    <row r="24" spans="2:16" x14ac:dyDescent="0.35">
      <c r="B24" s="93" t="s">
        <v>1838</v>
      </c>
      <c r="C24" s="483" t="s">
        <v>1839</v>
      </c>
      <c r="D24" s="483"/>
      <c r="E24" s="483"/>
      <c r="F24" s="483"/>
      <c r="G24" s="484"/>
    </row>
    <row r="25" spans="2:16" ht="15" thickBot="1" x14ac:dyDescent="0.4">
      <c r="B25" s="94" t="s">
        <v>0</v>
      </c>
      <c r="C25" s="485" t="s">
        <v>1847</v>
      </c>
      <c r="D25" s="485"/>
      <c r="E25" s="485"/>
      <c r="F25" s="485"/>
      <c r="G25" s="486"/>
    </row>
    <row r="26" spans="2:16" x14ac:dyDescent="0.3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3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3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3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" thickBot="1" x14ac:dyDescent="0.4">
      <c r="B30" s="95"/>
      <c r="C30" s="96"/>
      <c r="D30" s="95"/>
      <c r="E30" s="309"/>
      <c r="F30" s="97"/>
      <c r="G30" s="309"/>
    </row>
    <row r="31" spans="2:16" x14ac:dyDescent="0.35">
      <c r="B31" s="93" t="s">
        <v>1838</v>
      </c>
      <c r="C31" s="483" t="s">
        <v>1839</v>
      </c>
      <c r="D31" s="483"/>
      <c r="E31" s="483"/>
      <c r="F31" s="483"/>
      <c r="G31" s="484"/>
    </row>
    <row r="32" spans="2:16" ht="15" thickBot="1" x14ac:dyDescent="0.4">
      <c r="B32" s="94" t="s">
        <v>0</v>
      </c>
      <c r="C32" s="485" t="s">
        <v>1848</v>
      </c>
      <c r="D32" s="485"/>
      <c r="E32" s="485"/>
      <c r="F32" s="485"/>
      <c r="G32" s="486"/>
    </row>
    <row r="33" spans="2:16" x14ac:dyDescent="0.3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3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3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3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3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" thickBot="1" x14ac:dyDescent="0.4">
      <c r="B38" s="95"/>
      <c r="C38" s="96"/>
      <c r="D38" s="95"/>
      <c r="E38" s="309"/>
      <c r="F38" s="97"/>
      <c r="G38" s="309"/>
    </row>
    <row r="39" spans="2:16" x14ac:dyDescent="0.35">
      <c r="B39" s="103" t="s">
        <v>1838</v>
      </c>
      <c r="C39" s="479" t="s">
        <v>1839</v>
      </c>
      <c r="D39" s="479"/>
      <c r="E39" s="479"/>
      <c r="F39" s="479"/>
      <c r="G39" s="480"/>
    </row>
    <row r="40" spans="2:16" ht="15" thickBot="1" x14ac:dyDescent="0.4">
      <c r="B40" s="104" t="s">
        <v>0</v>
      </c>
      <c r="C40" s="481" t="s">
        <v>1849</v>
      </c>
      <c r="D40" s="481"/>
      <c r="E40" s="481"/>
      <c r="F40" s="481"/>
      <c r="G40" s="482"/>
    </row>
    <row r="41" spans="2:16" x14ac:dyDescent="0.3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3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3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3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3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3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" thickBot="1" x14ac:dyDescent="0.4">
      <c r="B47" s="95"/>
      <c r="C47" s="96"/>
      <c r="D47" s="95"/>
      <c r="E47" s="309"/>
      <c r="F47" s="97"/>
      <c r="G47" s="309"/>
    </row>
    <row r="48" spans="2:16" x14ac:dyDescent="0.35">
      <c r="B48" s="103" t="s">
        <v>1838</v>
      </c>
      <c r="C48" s="479" t="s">
        <v>1839</v>
      </c>
      <c r="D48" s="479"/>
      <c r="E48" s="479"/>
      <c r="F48" s="479"/>
      <c r="G48" s="480"/>
    </row>
    <row r="49" spans="2:16" ht="15" thickBot="1" x14ac:dyDescent="0.4">
      <c r="B49" s="104" t="s">
        <v>0</v>
      </c>
      <c r="C49" s="481" t="s">
        <v>1850</v>
      </c>
      <c r="D49" s="481"/>
      <c r="E49" s="481"/>
      <c r="F49" s="481"/>
      <c r="G49" s="482"/>
    </row>
    <row r="50" spans="2:16" x14ac:dyDescent="0.3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3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3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3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3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3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" thickBot="1" x14ac:dyDescent="0.4">
      <c r="B56" s="95"/>
      <c r="C56" s="96"/>
      <c r="D56" s="95"/>
      <c r="E56" s="309"/>
      <c r="F56" s="97"/>
      <c r="G56" s="309"/>
    </row>
    <row r="57" spans="2:16" x14ac:dyDescent="0.35">
      <c r="B57" s="103" t="s">
        <v>1838</v>
      </c>
      <c r="C57" s="479" t="s">
        <v>1839</v>
      </c>
      <c r="D57" s="479"/>
      <c r="E57" s="479"/>
      <c r="F57" s="479"/>
      <c r="G57" s="480"/>
    </row>
    <row r="58" spans="2:16" ht="15" thickBot="1" x14ac:dyDescent="0.4">
      <c r="B58" s="104" t="s">
        <v>0</v>
      </c>
      <c r="C58" s="481" t="s">
        <v>1851</v>
      </c>
      <c r="D58" s="481"/>
      <c r="E58" s="481"/>
      <c r="F58" s="481"/>
      <c r="G58" s="482"/>
    </row>
    <row r="59" spans="2:16" x14ac:dyDescent="0.3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3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3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3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3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3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" thickBot="1" x14ac:dyDescent="0.4">
      <c r="B65" s="95"/>
      <c r="C65" s="96"/>
      <c r="D65" s="95"/>
      <c r="E65" s="309"/>
      <c r="F65" s="97"/>
      <c r="G65" s="309"/>
    </row>
    <row r="66" spans="2:16" x14ac:dyDescent="0.35">
      <c r="B66" s="103" t="s">
        <v>1838</v>
      </c>
      <c r="C66" s="479" t="s">
        <v>1839</v>
      </c>
      <c r="D66" s="479"/>
      <c r="E66" s="479"/>
      <c r="F66" s="479"/>
      <c r="G66" s="480"/>
    </row>
    <row r="67" spans="2:16" ht="15" thickBot="1" x14ac:dyDescent="0.4">
      <c r="B67" s="104" t="s">
        <v>0</v>
      </c>
      <c r="C67" s="481" t="s">
        <v>1852</v>
      </c>
      <c r="D67" s="481"/>
      <c r="E67" s="481"/>
      <c r="F67" s="481"/>
      <c r="G67" s="482"/>
    </row>
    <row r="68" spans="2:16" x14ac:dyDescent="0.3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3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35">
      <c r="B70" s="102"/>
      <c r="C70" s="96"/>
      <c r="D70" s="95"/>
      <c r="E70" s="309"/>
      <c r="F70" s="97"/>
      <c r="G70" s="310"/>
    </row>
    <row r="73" spans="2:16" ht="15" thickBot="1" x14ac:dyDescent="0.4"/>
    <row r="74" spans="2:16" x14ac:dyDescent="0.35">
      <c r="B74" s="103" t="s">
        <v>1838</v>
      </c>
      <c r="C74" s="479" t="s">
        <v>1839</v>
      </c>
      <c r="D74" s="479"/>
      <c r="E74" s="479"/>
      <c r="F74" s="479"/>
      <c r="G74" s="480"/>
    </row>
    <row r="75" spans="2:16" ht="15" thickBot="1" x14ac:dyDescent="0.4">
      <c r="B75" s="104" t="s">
        <v>0</v>
      </c>
      <c r="C75" s="481" t="s">
        <v>1853</v>
      </c>
      <c r="D75" s="481"/>
      <c r="E75" s="481"/>
      <c r="F75" s="481"/>
      <c r="G75" s="482"/>
    </row>
    <row r="76" spans="2:16" x14ac:dyDescent="0.3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3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" thickBot="1" x14ac:dyDescent="0.4"/>
    <row r="80" spans="2:16" x14ac:dyDescent="0.35">
      <c r="B80" s="105" t="s">
        <v>1838</v>
      </c>
      <c r="C80" s="473" t="s">
        <v>1845</v>
      </c>
      <c r="D80" s="473"/>
      <c r="E80" s="473"/>
      <c r="F80" s="473"/>
      <c r="G80" s="474"/>
    </row>
    <row r="81" spans="2:16" ht="15" thickBot="1" x14ac:dyDescent="0.4">
      <c r="B81" s="106" t="s">
        <v>0</v>
      </c>
      <c r="C81" s="475" t="s">
        <v>1846</v>
      </c>
      <c r="D81" s="475"/>
      <c r="E81" s="475"/>
      <c r="F81" s="475"/>
      <c r="G81" s="476"/>
    </row>
    <row r="82" spans="2:16" x14ac:dyDescent="0.3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3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" thickBot="1" x14ac:dyDescent="0.4"/>
    <row r="85" spans="2:16" x14ac:dyDescent="0.35">
      <c r="B85" s="105" t="s">
        <v>1838</v>
      </c>
      <c r="C85" s="473" t="s">
        <v>1854</v>
      </c>
      <c r="D85" s="473"/>
      <c r="E85" s="473"/>
      <c r="F85" s="473"/>
      <c r="G85" s="474"/>
    </row>
    <row r="86" spans="2:16" ht="15" thickBot="1" x14ac:dyDescent="0.4">
      <c r="B86" s="106" t="s">
        <v>0</v>
      </c>
      <c r="C86" s="475" t="s">
        <v>1855</v>
      </c>
      <c r="D86" s="475"/>
      <c r="E86" s="475"/>
      <c r="F86" s="475"/>
      <c r="G86" s="476"/>
    </row>
    <row r="87" spans="2:16" x14ac:dyDescent="0.3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3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" thickBot="1" x14ac:dyDescent="0.4"/>
    <row r="91" spans="2:16" x14ac:dyDescent="0.35">
      <c r="B91" s="65" t="s">
        <v>1838</v>
      </c>
      <c r="C91" s="477" t="s">
        <v>1856</v>
      </c>
      <c r="D91" s="477"/>
      <c r="E91" s="477"/>
      <c r="F91" s="477"/>
      <c r="G91" s="478"/>
    </row>
    <row r="92" spans="2:16" ht="15" thickBot="1" x14ac:dyDescent="0.4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3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" thickBot="1" x14ac:dyDescent="0.4"/>
    <row r="95" spans="2:16" x14ac:dyDescent="0.35">
      <c r="B95" s="65" t="s">
        <v>1838</v>
      </c>
      <c r="C95" s="477" t="s">
        <v>1858</v>
      </c>
      <c r="D95" s="477"/>
      <c r="E95" s="477"/>
      <c r="F95" s="477"/>
      <c r="G95" s="478"/>
    </row>
    <row r="96" spans="2:16" ht="15" thickBot="1" x14ac:dyDescent="0.4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3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4:G4"/>
    <mergeCell ref="C5:G5"/>
    <mergeCell ref="C24:G24"/>
    <mergeCell ref="C25:G25"/>
    <mergeCell ref="C32:G32"/>
    <mergeCell ref="C31:G31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85:G85"/>
    <mergeCell ref="C86:G86"/>
    <mergeCell ref="C91:G91"/>
    <mergeCell ref="C92:G92"/>
    <mergeCell ref="C96:G96"/>
    <mergeCell ref="C95:G95"/>
  </mergeCells>
  <hyperlinks>
    <hyperlink ref="I2" location="presu!A1" display="Presupuesto" xr:uid="{3DE831B5-22D2-499A-95AD-C1271E542A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146050</xdr:rowOff>
                  </from>
                  <to>
                    <xdr:col>10</xdr:col>
                    <xdr:colOff>50800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50800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527050</xdr:colOff>
                    <xdr:row>23</xdr:row>
                    <xdr:rowOff>152400</xdr:rowOff>
                  </from>
                  <to>
                    <xdr:col>10</xdr:col>
                    <xdr:colOff>69850</xdr:colOff>
                    <xdr:row>25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527050</xdr:colOff>
                    <xdr:row>26</xdr:row>
                    <xdr:rowOff>165100</xdr:rowOff>
                  </from>
                  <to>
                    <xdr:col>10</xdr:col>
                    <xdr:colOff>69850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527050</xdr:colOff>
                    <xdr:row>31</xdr:row>
                    <xdr:rowOff>50800</xdr:rowOff>
                  </from>
                  <to>
                    <xdr:col>10</xdr:col>
                    <xdr:colOff>69850</xdr:colOff>
                    <xdr:row>32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527050</xdr:colOff>
                    <xdr:row>34</xdr:row>
                    <xdr:rowOff>50800</xdr:rowOff>
                  </from>
                  <to>
                    <xdr:col>10</xdr:col>
                    <xdr:colOff>69850</xdr:colOff>
                    <xdr:row>35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488950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488950</xdr:colOff>
                    <xdr:row>42</xdr:row>
                    <xdr:rowOff>146050</xdr:rowOff>
                  </from>
                  <to>
                    <xdr:col>10</xdr:col>
                    <xdr:colOff>38100</xdr:colOff>
                    <xdr:row>44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488950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488950</xdr:colOff>
                    <xdr:row>52</xdr:row>
                    <xdr:rowOff>165100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488950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488950</xdr:colOff>
                    <xdr:row>60</xdr:row>
                    <xdr:rowOff>146050</xdr:rowOff>
                  </from>
                  <to>
                    <xdr:col>10</xdr:col>
                    <xdr:colOff>38100</xdr:colOff>
                    <xdr:row>62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488950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488950</xdr:colOff>
                    <xdr:row>68</xdr:row>
                    <xdr:rowOff>12700</xdr:rowOff>
                  </from>
                  <to>
                    <xdr:col>10</xdr:col>
                    <xdr:colOff>31750</xdr:colOff>
                    <xdr:row>69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488950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69850</xdr:rowOff>
                  </from>
                  <to>
                    <xdr:col>10</xdr:col>
                    <xdr:colOff>12700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469900</xdr:colOff>
                    <xdr:row>79</xdr:row>
                    <xdr:rowOff>88900</xdr:rowOff>
                  </from>
                  <to>
                    <xdr:col>10</xdr:col>
                    <xdr:colOff>12700</xdr:colOff>
                    <xdr:row>80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488950</xdr:colOff>
                    <xdr:row>81</xdr:row>
                    <xdr:rowOff>19050</xdr:rowOff>
                  </from>
                  <to>
                    <xdr:col>10</xdr:col>
                    <xdr:colOff>31750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488950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488950</xdr:colOff>
                    <xdr:row>91</xdr:row>
                    <xdr:rowOff>31750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146050</xdr:rowOff>
                  </from>
                  <to>
                    <xdr:col>10</xdr:col>
                    <xdr:colOff>31750</xdr:colOff>
                    <xdr:row>95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469900</xdr:colOff>
                    <xdr:row>95</xdr:row>
                    <xdr:rowOff>19050</xdr:rowOff>
                  </from>
                  <to>
                    <xdr:col>10</xdr:col>
                    <xdr:colOff>12700</xdr:colOff>
                    <xdr:row>96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431800</xdr:colOff>
                    <xdr:row>84</xdr:row>
                    <xdr:rowOff>57150</xdr:rowOff>
                  </from>
                  <to>
                    <xdr:col>9</xdr:col>
                    <xdr:colOff>584200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584200</xdr:colOff>
                    <xdr:row>86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Q70"/>
  <sheetViews>
    <sheetView zoomScale="91" workbookViewId="0">
      <selection activeCell="L7" sqref="L7:Q45"/>
    </sheetView>
  </sheetViews>
  <sheetFormatPr defaultColWidth="8.7265625" defaultRowHeight="14.5" x14ac:dyDescent="0.35"/>
  <cols>
    <col min="2" max="2" width="20.54296875" bestFit="1" customWidth="1"/>
    <col min="3" max="3" width="46.1796875" bestFit="1" customWidth="1"/>
    <col min="4" max="4" width="4.7265625" bestFit="1" customWidth="1"/>
    <col min="5" max="5" width="10.453125" bestFit="1" customWidth="1"/>
    <col min="6" max="6" width="8.81640625" bestFit="1" customWidth="1"/>
    <col min="7" max="7" width="13.54296875" bestFit="1" customWidth="1"/>
    <col min="8" max="8" width="24.1796875" bestFit="1" customWidth="1"/>
    <col min="9" max="9" width="2.1796875" customWidth="1"/>
    <col min="12" max="12" width="9.81640625" bestFit="1" customWidth="1"/>
    <col min="13" max="13" width="49.81640625" bestFit="1" customWidth="1"/>
    <col min="14" max="14" width="1.81640625" bestFit="1" customWidth="1"/>
    <col min="15" max="15" width="11.81640625" bestFit="1" customWidth="1"/>
    <col min="16" max="16" width="2.81640625" bestFit="1" customWidth="1"/>
    <col min="17" max="17" width="11.81640625" style="56" bestFit="1" customWidth="1"/>
  </cols>
  <sheetData>
    <row r="2" spans="2:17" ht="21" x14ac:dyDescent="0.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3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3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" thickBot="1" x14ac:dyDescent="0.4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3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35">
      <c r="B8" s="113" t="s">
        <v>2218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3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3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3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35">
      <c r="B12" s="95"/>
      <c r="C12" s="96"/>
      <c r="D12" s="95"/>
      <c r="E12" s="92"/>
      <c r="F12" s="151"/>
      <c r="G12" s="150"/>
    </row>
    <row r="13" spans="2:17" x14ac:dyDescent="0.35">
      <c r="B13" s="95"/>
      <c r="C13" s="96" t="s">
        <v>1877</v>
      </c>
      <c r="D13" s="95"/>
      <c r="E13" s="92"/>
      <c r="F13" s="151"/>
      <c r="G13" s="150"/>
    </row>
    <row r="14" spans="2:17" x14ac:dyDescent="0.35">
      <c r="C14" t="s">
        <v>1878</v>
      </c>
    </row>
    <row r="15" spans="2:17" ht="15" thickBot="1" x14ac:dyDescent="0.4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3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3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3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3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3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" thickBot="1" x14ac:dyDescent="0.4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3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3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3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3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3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3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3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3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3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3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35">
      <c r="B32" s="2">
        <v>8582269</v>
      </c>
      <c r="C32" s="271" t="s">
        <v>2078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2078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3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3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3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3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3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3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3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3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3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3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3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35">
      <c r="B47" s="112"/>
      <c r="C47" s="110" t="s">
        <v>2254</v>
      </c>
      <c r="D47" s="101"/>
      <c r="E47" s="111"/>
      <c r="F47" s="114"/>
      <c r="G47" s="119">
        <f>SUM(G48:G70)</f>
        <v>10908.062962767199</v>
      </c>
    </row>
    <row r="48" spans="2:17" x14ac:dyDescent="0.35">
      <c r="B48" s="422">
        <v>8591439</v>
      </c>
      <c r="C48" s="422" t="s">
        <v>2219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35">
      <c r="B49" s="422">
        <v>8592789</v>
      </c>
      <c r="C49" s="422" t="s">
        <v>2220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35">
      <c r="B50" s="424">
        <v>8591563</v>
      </c>
      <c r="C50" s="424" t="s">
        <v>2222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35">
      <c r="B51" s="422">
        <v>8591435</v>
      </c>
      <c r="C51" s="422" t="s">
        <v>2223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35">
      <c r="B52" s="422">
        <v>3562475</v>
      </c>
      <c r="C52" s="422" t="s">
        <v>2224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35">
      <c r="B53" s="422">
        <v>3558018</v>
      </c>
      <c r="C53" s="422" t="s">
        <v>2225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35">
      <c r="B54" s="422">
        <v>3562478</v>
      </c>
      <c r="C54" s="422" t="s">
        <v>2226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35">
      <c r="B55" s="422">
        <v>3556251</v>
      </c>
      <c r="C55" s="422" t="s">
        <v>2227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7" x14ac:dyDescent="0.35">
      <c r="B56" s="422">
        <v>3559257</v>
      </c>
      <c r="C56" s="422" t="s">
        <v>2228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35">
      <c r="B57" s="422">
        <v>3558013</v>
      </c>
      <c r="C57" s="422" t="s">
        <v>2229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35">
      <c r="B58" s="422">
        <v>8580119</v>
      </c>
      <c r="C58" s="422" t="s">
        <v>2230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35">
      <c r="B59" s="422">
        <v>3556372</v>
      </c>
      <c r="C59" s="422" t="s">
        <v>2231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7" x14ac:dyDescent="0.35">
      <c r="B60" s="422">
        <v>8501422</v>
      </c>
      <c r="C60" s="422" t="s">
        <v>2232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7" x14ac:dyDescent="0.35">
      <c r="B61" s="422">
        <v>8514033</v>
      </c>
      <c r="C61" s="422" t="s">
        <v>2233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35">
      <c r="B62" s="422">
        <v>1091008</v>
      </c>
      <c r="C62" s="422" t="s">
        <v>2234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35">
      <c r="B63" s="422">
        <v>1203352</v>
      </c>
      <c r="C63" s="422" t="s">
        <v>2235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35">
      <c r="B64" s="422">
        <v>8512906</v>
      </c>
      <c r="C64" s="422" t="s">
        <v>2236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35">
      <c r="B65" s="422">
        <v>8507100</v>
      </c>
      <c r="C65" s="422" t="s">
        <v>2237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35">
      <c r="B66" s="422">
        <v>8591560</v>
      </c>
      <c r="C66" s="422" t="s">
        <v>2238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35">
      <c r="B67" s="422">
        <v>3556099</v>
      </c>
      <c r="C67" s="422" t="s">
        <v>2239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35">
      <c r="B68" s="422">
        <v>3559405</v>
      </c>
      <c r="C68" s="422" t="s">
        <v>2240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35">
      <c r="B69" s="422">
        <v>8592165</v>
      </c>
      <c r="C69" s="422" t="s">
        <v>2241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35">
      <c r="B70" s="422">
        <v>8592166</v>
      </c>
      <c r="C70" s="422" t="s">
        <v>2242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 xr:uid="{28AF9726-4EC7-499C-96B0-C5E118975A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165100</xdr:rowOff>
                  </from>
                  <to>
                    <xdr:col>11</xdr:col>
                    <xdr:colOff>171450</xdr:colOff>
                    <xdr:row>10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165100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374650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279400</xdr:colOff>
                    <xdr:row>2</xdr:row>
                    <xdr:rowOff>127000</xdr:rowOff>
                  </from>
                  <to>
                    <xdr:col>7</xdr:col>
                    <xdr:colOff>1670050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165100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EB68-0BF8-42D2-9A90-71D8807A38F5}">
  <sheetPr codeName="Sheet11"/>
  <dimension ref="B1:P58"/>
  <sheetViews>
    <sheetView workbookViewId="0">
      <selection activeCell="K7" sqref="K7:P58"/>
    </sheetView>
  </sheetViews>
  <sheetFormatPr defaultColWidth="8.7265625" defaultRowHeight="14.5" x14ac:dyDescent="0.35"/>
  <cols>
    <col min="2" max="2" width="10.453125" bestFit="1" customWidth="1"/>
    <col min="3" max="3" width="32.81640625" bestFit="1" customWidth="1"/>
    <col min="4" max="4" width="10.54296875" bestFit="1" customWidth="1"/>
    <col min="5" max="5" width="11.1796875" bestFit="1" customWidth="1"/>
    <col min="6" max="6" width="8.81640625" bestFit="1" customWidth="1"/>
    <col min="7" max="7" width="13.54296875" bestFit="1" customWidth="1"/>
    <col min="9" max="9" width="4.54296875" customWidth="1"/>
    <col min="11" max="11" width="7.81640625" bestFit="1" customWidth="1"/>
    <col min="12" max="12" width="31.7265625" bestFit="1" customWidth="1"/>
    <col min="13" max="13" width="3.81640625" bestFit="1" customWidth="1"/>
    <col min="14" max="14" width="7.81640625" bestFit="1" customWidth="1"/>
    <col min="15" max="15" width="5.1796875" bestFit="1" customWidth="1"/>
    <col min="16" max="16" width="10.7265625" style="87" bestFit="1" customWidth="1"/>
  </cols>
  <sheetData>
    <row r="1" spans="2:16" x14ac:dyDescent="0.35">
      <c r="M1" s="87"/>
      <c r="P1"/>
    </row>
    <row r="2" spans="2:16" ht="21" x14ac:dyDescent="0.5">
      <c r="I2" s="156" t="s">
        <v>1879</v>
      </c>
    </row>
    <row r="5" spans="2:16" x14ac:dyDescent="0.3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5" x14ac:dyDescent="0.3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3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35">
      <c r="B8" s="264">
        <v>3562182</v>
      </c>
      <c r="C8" s="264" t="s">
        <v>2072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35">
      <c r="B9" s="264">
        <v>3562183</v>
      </c>
      <c r="C9" s="264" t="s">
        <v>2073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35">
      <c r="B10" s="264">
        <v>3562184</v>
      </c>
      <c r="C10" s="264" t="s">
        <v>2074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35">
      <c r="B11" s="264">
        <v>3562185</v>
      </c>
      <c r="C11" s="264" t="s">
        <v>2075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35">
      <c r="B12" s="264">
        <v>3562186</v>
      </c>
      <c r="C12" s="264" t="s">
        <v>2076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3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3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" thickBot="1" x14ac:dyDescent="0.4"/>
    <row r="17" spans="2:16" x14ac:dyDescent="0.35">
      <c r="B17" s="65" t="s">
        <v>1838</v>
      </c>
      <c r="C17" s="477" t="s">
        <v>1839</v>
      </c>
      <c r="D17" s="477"/>
      <c r="E17" s="477"/>
      <c r="F17" s="477"/>
      <c r="G17" s="478"/>
    </row>
    <row r="18" spans="2:16" ht="15" thickBot="1" x14ac:dyDescent="0.4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3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3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3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3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3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3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3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3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3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35">
      <c r="B28" s="95"/>
      <c r="C28" s="96"/>
      <c r="D28" s="95"/>
      <c r="E28" s="92"/>
      <c r="F28" s="97"/>
      <c r="G28" s="92"/>
    </row>
    <row r="29" spans="2:16" ht="15" thickBot="1" x14ac:dyDescent="0.4">
      <c r="B29" s="64"/>
      <c r="C29" s="64"/>
      <c r="D29" s="64"/>
      <c r="E29" s="64"/>
      <c r="F29" s="64"/>
      <c r="G29" s="64"/>
    </row>
    <row r="30" spans="2:16" x14ac:dyDescent="0.35">
      <c r="B30" s="65" t="s">
        <v>1838</v>
      </c>
      <c r="C30" s="477" t="s">
        <v>1839</v>
      </c>
      <c r="D30" s="477"/>
      <c r="E30" s="477"/>
      <c r="F30" s="477"/>
      <c r="G30" s="478"/>
    </row>
    <row r="31" spans="2:16" ht="15" thickBot="1" x14ac:dyDescent="0.4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35">
      <c r="B32" s="121">
        <v>3560719</v>
      </c>
      <c r="C32" s="142" t="s">
        <v>2203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35">
      <c r="B33" s="139">
        <v>8507192</v>
      </c>
      <c r="C33" s="145" t="s">
        <v>2204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3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3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3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35">
      <c r="B37" s="139">
        <v>3559223</v>
      </c>
      <c r="C37" s="145" t="s">
        <v>2205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3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3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3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3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3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3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" thickBot="1" x14ac:dyDescent="0.4">
      <c r="B44" s="95"/>
      <c r="C44" s="96"/>
      <c r="D44" s="95"/>
      <c r="E44" s="92"/>
      <c r="F44" s="97"/>
      <c r="G44" s="92"/>
    </row>
    <row r="45" spans="2:16" x14ac:dyDescent="0.35">
      <c r="B45" s="65" t="s">
        <v>1838</v>
      </c>
      <c r="C45" s="477" t="s">
        <v>1839</v>
      </c>
      <c r="D45" s="477"/>
      <c r="E45" s="477"/>
      <c r="F45" s="477"/>
      <c r="G45" s="478"/>
    </row>
    <row r="46" spans="2:16" ht="15" thickBot="1" x14ac:dyDescent="0.4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35">
      <c r="B47" s="31">
        <v>3560720</v>
      </c>
      <c r="C47" s="142" t="s">
        <v>2206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35">
      <c r="B48" s="139">
        <v>8507192</v>
      </c>
      <c r="C48" s="145" t="s">
        <v>2204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3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3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3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35">
      <c r="B52" s="139">
        <v>3559223</v>
      </c>
      <c r="C52" s="145" t="s">
        <v>2205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3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3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3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3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3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3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 xr:uid="{2D9D0D34-4EB3-4411-95C0-6A4445CB283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107950</xdr:colOff>
                    <xdr:row>18</xdr:row>
                    <xdr:rowOff>152400</xdr:rowOff>
                  </from>
                  <to>
                    <xdr:col>11</xdr:col>
                    <xdr:colOff>12700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107950</xdr:colOff>
                    <xdr:row>21</xdr:row>
                    <xdr:rowOff>165100</xdr:rowOff>
                  </from>
                  <to>
                    <xdr:col>11</xdr:col>
                    <xdr:colOff>12700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107950</xdr:colOff>
                    <xdr:row>31</xdr:row>
                    <xdr:rowOff>152400</xdr:rowOff>
                  </from>
                  <to>
                    <xdr:col>11</xdr:col>
                    <xdr:colOff>12700</xdr:colOff>
                    <xdr:row>33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107950</xdr:colOff>
                    <xdr:row>34</xdr:row>
                    <xdr:rowOff>165100</xdr:rowOff>
                  </from>
                  <to>
                    <xdr:col>11</xdr:col>
                    <xdr:colOff>12700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107950</xdr:colOff>
                    <xdr:row>46</xdr:row>
                    <xdr:rowOff>152400</xdr:rowOff>
                  </from>
                  <to>
                    <xdr:col>11</xdr:col>
                    <xdr:colOff>12700</xdr:colOff>
                    <xdr:row>48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107950</xdr:colOff>
                    <xdr:row>49</xdr:row>
                    <xdr:rowOff>165100</xdr:rowOff>
                  </from>
                  <to>
                    <xdr:col>11</xdr:col>
                    <xdr:colOff>12700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146050</xdr:colOff>
                    <xdr:row>2</xdr:row>
                    <xdr:rowOff>171450</xdr:rowOff>
                  </from>
                  <to>
                    <xdr:col>11</xdr:col>
                    <xdr:colOff>1536700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508000</xdr:colOff>
                    <xdr:row>3</xdr:row>
                    <xdr:rowOff>0</xdr:rowOff>
                  </from>
                  <to>
                    <xdr:col>10</xdr:col>
                    <xdr:colOff>355600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184150</xdr:colOff>
                    <xdr:row>7</xdr:row>
                    <xdr:rowOff>127000</xdr:rowOff>
                  </from>
                  <to>
                    <xdr:col>11</xdr:col>
                    <xdr:colOff>88900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6244-26DF-47CD-8AE0-27CD8E6301EA}">
  <sheetPr codeName="Sheet14"/>
  <dimension ref="A2:Q420"/>
  <sheetViews>
    <sheetView workbookViewId="0">
      <selection activeCell="L7" sqref="L7:Q36"/>
    </sheetView>
  </sheetViews>
  <sheetFormatPr defaultColWidth="8.7265625" defaultRowHeight="14.5" x14ac:dyDescent="0.35"/>
  <cols>
    <col min="2" max="2" width="12.81640625" bestFit="1" customWidth="1"/>
    <col min="3" max="3" width="43.7265625" bestFit="1" customWidth="1"/>
    <col min="4" max="7" width="8.81640625" customWidth="1"/>
    <col min="12" max="12" width="11" bestFit="1" customWidth="1"/>
    <col min="13" max="13" width="37.81640625" bestFit="1" customWidth="1"/>
    <col min="14" max="14" width="1.81640625" bestFit="1" customWidth="1"/>
    <col min="15" max="15" width="9.81640625" bestFit="1" customWidth="1"/>
    <col min="16" max="16" width="4.453125" bestFit="1" customWidth="1"/>
    <col min="17" max="17" width="9.81640625" bestFit="1" customWidth="1"/>
  </cols>
  <sheetData>
    <row r="2" spans="2:17" ht="21" x14ac:dyDescent="0.5">
      <c r="G2" s="156" t="s">
        <v>1879</v>
      </c>
    </row>
    <row r="4" spans="2:17" ht="15" thickBot="1" x14ac:dyDescent="0.4"/>
    <row r="5" spans="2:17" x14ac:dyDescent="0.35">
      <c r="B5" s="465" t="s">
        <v>2120</v>
      </c>
      <c r="C5" s="466"/>
      <c r="D5" s="466"/>
      <c r="E5" s="466"/>
      <c r="F5" s="466"/>
      <c r="G5" s="467"/>
      <c r="O5" s="56"/>
      <c r="P5" s="56"/>
      <c r="Q5" s="56"/>
    </row>
    <row r="6" spans="2:17" ht="16" thickBot="1" x14ac:dyDescent="0.4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35">
      <c r="B7" s="331" t="s">
        <v>2096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" thickBot="1" x14ac:dyDescent="0.4">
      <c r="B8" s="338" t="s">
        <v>2097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3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3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3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" thickBot="1" x14ac:dyDescent="0.4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35">
      <c r="B13" s="331" t="s">
        <v>2098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35">
      <c r="B14" s="344" t="s">
        <v>2099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35">
      <c r="B15" s="344" t="s">
        <v>2100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35">
      <c r="B16" s="344" t="s">
        <v>2101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35">
      <c r="B17" s="344" t="s">
        <v>2102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35">
      <c r="B18" s="344" t="s">
        <v>2103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35">
      <c r="B19" s="344" t="s">
        <v>2104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35">
      <c r="B20" s="344" t="s">
        <v>2099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35">
      <c r="B21" s="344" t="s">
        <v>2104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35">
      <c r="B22" s="344" t="s">
        <v>2105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35">
      <c r="B23" s="344" t="s">
        <v>2106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35">
      <c r="B24" s="344" t="s">
        <v>2107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35">
      <c r="B25" s="344" t="s">
        <v>2108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35">
      <c r="B26" s="344" t="s">
        <v>2109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35">
      <c r="B27" s="344" t="s">
        <v>2110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35">
      <c r="B28" s="344" t="s">
        <v>2111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35">
      <c r="B29" s="344" t="s">
        <v>2112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35">
      <c r="B30" s="344" t="s">
        <v>2113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35">
      <c r="B31" s="344" t="s">
        <v>2114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35">
      <c r="B32" s="344" t="s">
        <v>2115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35">
      <c r="B33" s="344" t="s">
        <v>2116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35">
      <c r="B34" s="344" t="s">
        <v>2117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35">
      <c r="B35" s="344" t="s">
        <v>2118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" thickBot="1" x14ac:dyDescent="0.4">
      <c r="B36" s="349" t="s">
        <v>2119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35">
      <c r="H37" s="80"/>
      <c r="P37" s="56" t="str">
        <f t="shared" si="5"/>
        <v/>
      </c>
    </row>
    <row r="38" spans="2:17" x14ac:dyDescent="0.35">
      <c r="H38" s="80"/>
      <c r="P38" s="56" t="str">
        <f t="shared" si="5"/>
        <v/>
      </c>
    </row>
    <row r="39" spans="2:17" x14ac:dyDescent="0.35">
      <c r="H39" s="80"/>
      <c r="P39" s="56" t="str">
        <f t="shared" si="5"/>
        <v/>
      </c>
    </row>
    <row r="391" spans="1:6" x14ac:dyDescent="0.35">
      <c r="A391" t="s">
        <v>2096</v>
      </c>
      <c r="B391" t="s">
        <v>2179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35">
      <c r="A392" t="s">
        <v>2095</v>
      </c>
      <c r="B392" t="s">
        <v>2095</v>
      </c>
      <c r="C392" t="s">
        <v>2095</v>
      </c>
      <c r="D392" t="s">
        <v>2095</v>
      </c>
      <c r="E392" t="s">
        <v>2095</v>
      </c>
      <c r="F392" t="s">
        <v>2095</v>
      </c>
    </row>
    <row r="397" spans="1:6" x14ac:dyDescent="0.35">
      <c r="A397" t="s">
        <v>2095</v>
      </c>
      <c r="B397" t="s">
        <v>2095</v>
      </c>
      <c r="C397" t="s">
        <v>2095</v>
      </c>
      <c r="D397" t="s">
        <v>2095</v>
      </c>
      <c r="E397" t="s">
        <v>2095</v>
      </c>
      <c r="F397" t="s">
        <v>2095</v>
      </c>
    </row>
    <row r="398" spans="1:6" x14ac:dyDescent="0.35">
      <c r="A398" t="s">
        <v>2099</v>
      </c>
      <c r="B398" t="s">
        <v>2182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35">
      <c r="A399" t="s">
        <v>2095</v>
      </c>
      <c r="B399" t="s">
        <v>2095</v>
      </c>
      <c r="C399" t="s">
        <v>2095</v>
      </c>
      <c r="D399" t="s">
        <v>2095</v>
      </c>
      <c r="E399" t="s">
        <v>2095</v>
      </c>
      <c r="F399" t="s">
        <v>2095</v>
      </c>
    </row>
    <row r="400" spans="1:6" x14ac:dyDescent="0.35">
      <c r="A400" t="s">
        <v>2095</v>
      </c>
      <c r="B400" t="s">
        <v>2095</v>
      </c>
      <c r="C400" t="s">
        <v>2095</v>
      </c>
      <c r="D400" t="s">
        <v>2095</v>
      </c>
      <c r="E400" t="s">
        <v>2095</v>
      </c>
      <c r="F400" t="s">
        <v>2095</v>
      </c>
    </row>
    <row r="401" spans="1:6" x14ac:dyDescent="0.35">
      <c r="A401" t="s">
        <v>2095</v>
      </c>
      <c r="B401" t="s">
        <v>2095</v>
      </c>
      <c r="C401" t="s">
        <v>2095</v>
      </c>
      <c r="D401" t="s">
        <v>2095</v>
      </c>
      <c r="E401" t="s">
        <v>2095</v>
      </c>
      <c r="F401" t="s">
        <v>2095</v>
      </c>
    </row>
    <row r="402" spans="1:6" x14ac:dyDescent="0.35">
      <c r="A402" t="s">
        <v>2095</v>
      </c>
      <c r="B402" t="s">
        <v>2095</v>
      </c>
      <c r="C402" t="s">
        <v>2095</v>
      </c>
      <c r="D402" t="s">
        <v>2095</v>
      </c>
      <c r="E402" t="s">
        <v>2095</v>
      </c>
      <c r="F402" t="s">
        <v>2095</v>
      </c>
    </row>
    <row r="403" spans="1:6" x14ac:dyDescent="0.35">
      <c r="A403" t="s">
        <v>2095</v>
      </c>
      <c r="B403" t="s">
        <v>2095</v>
      </c>
      <c r="C403" t="s">
        <v>2095</v>
      </c>
      <c r="D403" t="s">
        <v>2095</v>
      </c>
      <c r="E403" t="s">
        <v>2095</v>
      </c>
      <c r="F403" t="s">
        <v>2095</v>
      </c>
    </row>
    <row r="404" spans="1:6" x14ac:dyDescent="0.35">
      <c r="A404" t="s">
        <v>2095</v>
      </c>
      <c r="B404" t="s">
        <v>2095</v>
      </c>
      <c r="C404" t="s">
        <v>2095</v>
      </c>
      <c r="D404" t="s">
        <v>2095</v>
      </c>
      <c r="E404" t="s">
        <v>2095</v>
      </c>
      <c r="F404" t="s">
        <v>2095</v>
      </c>
    </row>
    <row r="405" spans="1:6" x14ac:dyDescent="0.35">
      <c r="A405" t="s">
        <v>2095</v>
      </c>
      <c r="B405" t="s">
        <v>2095</v>
      </c>
      <c r="C405" t="s">
        <v>2095</v>
      </c>
      <c r="D405" t="s">
        <v>2095</v>
      </c>
      <c r="E405" t="s">
        <v>2095</v>
      </c>
      <c r="F405" t="s">
        <v>2095</v>
      </c>
    </row>
    <row r="406" spans="1:6" x14ac:dyDescent="0.35">
      <c r="A406" t="s">
        <v>2095</v>
      </c>
      <c r="B406" t="s">
        <v>2095</v>
      </c>
      <c r="C406" t="s">
        <v>2095</v>
      </c>
      <c r="D406" t="s">
        <v>2095</v>
      </c>
      <c r="E406" t="s">
        <v>2095</v>
      </c>
      <c r="F406" t="s">
        <v>2095</v>
      </c>
    </row>
    <row r="407" spans="1:6" x14ac:dyDescent="0.35">
      <c r="A407" t="s">
        <v>2095</v>
      </c>
      <c r="B407" t="s">
        <v>2095</v>
      </c>
      <c r="C407" t="s">
        <v>2095</v>
      </c>
      <c r="D407" t="s">
        <v>2095</v>
      </c>
      <c r="E407" t="s">
        <v>2095</v>
      </c>
      <c r="F407" t="s">
        <v>2095</v>
      </c>
    </row>
    <row r="408" spans="1:6" x14ac:dyDescent="0.35">
      <c r="A408" t="s">
        <v>2107</v>
      </c>
      <c r="B408" t="s">
        <v>2190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35">
      <c r="A409" t="s">
        <v>2095</v>
      </c>
      <c r="B409" t="s">
        <v>2095</v>
      </c>
      <c r="C409" t="s">
        <v>2095</v>
      </c>
      <c r="D409" t="s">
        <v>2095</v>
      </c>
      <c r="E409" t="s">
        <v>2095</v>
      </c>
      <c r="F409" t="s">
        <v>2095</v>
      </c>
    </row>
    <row r="410" spans="1:6" x14ac:dyDescent="0.35">
      <c r="A410" t="s">
        <v>2095</v>
      </c>
      <c r="B410" t="s">
        <v>2095</v>
      </c>
      <c r="C410" t="s">
        <v>2095</v>
      </c>
      <c r="D410" t="s">
        <v>2095</v>
      </c>
      <c r="E410" t="s">
        <v>2095</v>
      </c>
      <c r="F410" t="s">
        <v>2095</v>
      </c>
    </row>
    <row r="411" spans="1:6" x14ac:dyDescent="0.35">
      <c r="A411" t="s">
        <v>2095</v>
      </c>
      <c r="B411" t="s">
        <v>2095</v>
      </c>
      <c r="C411" t="s">
        <v>2095</v>
      </c>
      <c r="D411" t="s">
        <v>2095</v>
      </c>
      <c r="E411" t="s">
        <v>2095</v>
      </c>
      <c r="F411" t="s">
        <v>2095</v>
      </c>
    </row>
    <row r="412" spans="1:6" x14ac:dyDescent="0.35">
      <c r="A412" t="s">
        <v>2111</v>
      </c>
      <c r="B412" t="s">
        <v>2194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35">
      <c r="A413" t="s">
        <v>2112</v>
      </c>
      <c r="B413" t="s">
        <v>2195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35">
      <c r="A414" t="s">
        <v>2095</v>
      </c>
      <c r="B414" t="s">
        <v>2095</v>
      </c>
      <c r="C414" t="s">
        <v>2095</v>
      </c>
      <c r="D414" t="s">
        <v>2095</v>
      </c>
      <c r="E414" t="s">
        <v>2095</v>
      </c>
      <c r="F414" t="s">
        <v>2095</v>
      </c>
    </row>
    <row r="415" spans="1:6" x14ac:dyDescent="0.35">
      <c r="A415" t="s">
        <v>2114</v>
      </c>
      <c r="B415" t="s">
        <v>2197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35">
      <c r="A416" t="s">
        <v>2095</v>
      </c>
      <c r="B416" t="s">
        <v>2095</v>
      </c>
      <c r="C416" t="s">
        <v>2095</v>
      </c>
      <c r="D416" t="s">
        <v>2095</v>
      </c>
      <c r="E416" t="s">
        <v>2095</v>
      </c>
      <c r="F416" t="s">
        <v>2095</v>
      </c>
    </row>
    <row r="417" spans="1:6" x14ac:dyDescent="0.35">
      <c r="A417" t="s">
        <v>2095</v>
      </c>
      <c r="B417" t="s">
        <v>2095</v>
      </c>
      <c r="C417" t="s">
        <v>2095</v>
      </c>
      <c r="D417" t="s">
        <v>2095</v>
      </c>
      <c r="E417" t="s">
        <v>2095</v>
      </c>
      <c r="F417" t="s">
        <v>2095</v>
      </c>
    </row>
    <row r="418" spans="1:6" x14ac:dyDescent="0.35">
      <c r="A418" t="s">
        <v>2117</v>
      </c>
      <c r="B418" t="s">
        <v>2200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35">
      <c r="A419" t="s">
        <v>2095</v>
      </c>
      <c r="B419" t="s">
        <v>2095</v>
      </c>
      <c r="C419" t="s">
        <v>2095</v>
      </c>
      <c r="D419" t="s">
        <v>2095</v>
      </c>
      <c r="E419" t="s">
        <v>2095</v>
      </c>
      <c r="F419" t="s">
        <v>2095</v>
      </c>
    </row>
    <row r="420" spans="1:6" x14ac:dyDescent="0.35">
      <c r="A420" t="s">
        <v>2095</v>
      </c>
      <c r="B420" t="s">
        <v>2095</v>
      </c>
      <c r="C420" t="s">
        <v>2095</v>
      </c>
      <c r="D420" t="s">
        <v>2095</v>
      </c>
      <c r="E420" t="s">
        <v>2095</v>
      </c>
      <c r="F420" t="s">
        <v>2095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 xr:uid="{6435EB2E-EA21-4988-94CF-369AEDDA6DE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12700</xdr:rowOff>
                  </from>
                  <to>
                    <xdr:col>12</xdr:col>
                    <xdr:colOff>1670050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58BD7-4F5F-4D3B-B569-8B80F5258A3A}">
  <sheetPr codeName="Sheet16"/>
  <dimension ref="A1:Q511"/>
  <sheetViews>
    <sheetView zoomScale="83" zoomScaleNormal="85" workbookViewId="0">
      <selection activeCell="K6" sqref="K6:Q95"/>
    </sheetView>
  </sheetViews>
  <sheetFormatPr defaultColWidth="8.7265625" defaultRowHeight="14.5" x14ac:dyDescent="0.35"/>
  <cols>
    <col min="2" max="2" width="19.1796875" bestFit="1" customWidth="1"/>
    <col min="3" max="3" width="56" bestFit="1" customWidth="1"/>
    <col min="4" max="4" width="10.54296875" bestFit="1" customWidth="1"/>
    <col min="5" max="5" width="10.453125" style="56" bestFit="1" customWidth="1"/>
    <col min="6" max="6" width="10.453125" bestFit="1" customWidth="1"/>
    <col min="7" max="7" width="9.453125" style="56" bestFit="1" customWidth="1"/>
    <col min="11" max="11" width="10.81640625" bestFit="1" customWidth="1"/>
    <col min="12" max="12" width="19.81640625" customWidth="1"/>
    <col min="13" max="13" width="12.453125" customWidth="1"/>
    <col min="14" max="14" width="9.54296875" style="56" bestFit="1" customWidth="1"/>
    <col min="15" max="15" width="5.453125" style="56" bestFit="1" customWidth="1"/>
    <col min="16" max="16" width="9.54296875" style="56" bestFit="1" customWidth="1"/>
  </cols>
  <sheetData>
    <row r="1" spans="2:16" x14ac:dyDescent="0.35">
      <c r="C1" t="s">
        <v>4</v>
      </c>
      <c r="D1" s="56">
        <f>presu!C11</f>
        <v>1</v>
      </c>
      <c r="E1"/>
    </row>
    <row r="2" spans="2:16" ht="21" x14ac:dyDescent="0.5">
      <c r="C2" t="s">
        <v>5</v>
      </c>
      <c r="D2" s="56">
        <f>presu!C12</f>
        <v>1</v>
      </c>
      <c r="E2"/>
      <c r="I2" s="156" t="s">
        <v>1879</v>
      </c>
    </row>
    <row r="3" spans="2:16" ht="15" thickBot="1" x14ac:dyDescent="0.4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35">
      <c r="B4" s="377" t="s">
        <v>1838</v>
      </c>
      <c r="C4" s="477" t="s">
        <v>1839</v>
      </c>
      <c r="D4" s="477"/>
      <c r="E4" s="477"/>
      <c r="F4" s="477"/>
      <c r="G4" s="478"/>
    </row>
    <row r="5" spans="2:16" ht="15" thickBot="1" x14ac:dyDescent="0.4">
      <c r="B5" s="378" t="s">
        <v>0</v>
      </c>
      <c r="C5" s="463" t="s">
        <v>2137</v>
      </c>
      <c r="D5" s="463"/>
      <c r="E5" s="463"/>
      <c r="F5" s="463"/>
      <c r="G5" s="464"/>
      <c r="N5"/>
      <c r="O5"/>
      <c r="P5"/>
    </row>
    <row r="6" spans="2:16" x14ac:dyDescent="0.3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3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3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35">
      <c r="B9" s="2"/>
      <c r="C9" s="213"/>
      <c r="D9" s="214"/>
      <c r="E9" s="303"/>
      <c r="F9" s="30"/>
      <c r="G9" s="373"/>
      <c r="N9"/>
      <c r="O9"/>
      <c r="P9"/>
    </row>
    <row r="10" spans="2:16" ht="15" thickBot="1" x14ac:dyDescent="0.4">
      <c r="B10" s="95"/>
      <c r="C10" s="96"/>
      <c r="D10" s="95"/>
      <c r="E10" s="309"/>
      <c r="F10" s="97"/>
      <c r="G10" s="309"/>
      <c r="N10"/>
      <c r="O10"/>
      <c r="P10"/>
    </row>
    <row r="11" spans="2:16" x14ac:dyDescent="0.35">
      <c r="B11" s="65" t="s">
        <v>1838</v>
      </c>
      <c r="C11" s="477" t="s">
        <v>1839</v>
      </c>
      <c r="D11" s="477"/>
      <c r="E11" s="477"/>
      <c r="F11" s="477"/>
      <c r="G11" s="478"/>
      <c r="N11"/>
      <c r="O11"/>
      <c r="P11"/>
    </row>
    <row r="12" spans="2:16" x14ac:dyDescent="0.35">
      <c r="B12" s="158" t="s">
        <v>0</v>
      </c>
      <c r="C12" s="494" t="s">
        <v>2149</v>
      </c>
      <c r="D12" s="494"/>
      <c r="E12" s="494"/>
      <c r="F12" s="494"/>
      <c r="G12" s="495"/>
      <c r="N12"/>
      <c r="O12"/>
      <c r="P12"/>
    </row>
    <row r="13" spans="2:16" x14ac:dyDescent="0.3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3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3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3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3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" thickBot="1" x14ac:dyDescent="0.4">
      <c r="B18" s="95"/>
      <c r="C18" s="96"/>
      <c r="D18" s="95"/>
      <c r="E18" s="309"/>
      <c r="F18" s="97"/>
      <c r="G18" s="309"/>
      <c r="N18"/>
      <c r="O18"/>
      <c r="P18"/>
    </row>
    <row r="19" spans="2:16" x14ac:dyDescent="0.35">
      <c r="B19" s="103" t="s">
        <v>1838</v>
      </c>
      <c r="C19" s="479" t="s">
        <v>1839</v>
      </c>
      <c r="D19" s="479"/>
      <c r="E19" s="479"/>
      <c r="F19" s="479"/>
      <c r="G19" s="480"/>
      <c r="N19"/>
      <c r="O19"/>
      <c r="P19"/>
    </row>
    <row r="20" spans="2:16" ht="15" thickBot="1" x14ac:dyDescent="0.4">
      <c r="B20" s="104" t="s">
        <v>0</v>
      </c>
      <c r="C20" s="481" t="s">
        <v>2150</v>
      </c>
      <c r="D20" s="481"/>
      <c r="E20" s="481"/>
      <c r="F20" s="481"/>
      <c r="G20" s="482"/>
      <c r="N20"/>
      <c r="O20"/>
      <c r="P20"/>
    </row>
    <row r="21" spans="2:16" x14ac:dyDescent="0.3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3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3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3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35">
      <c r="B25" s="31">
        <v>8507954</v>
      </c>
      <c r="C25" s="32" t="s">
        <v>2144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2144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3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" thickBot="1" x14ac:dyDescent="0.4">
      <c r="B27" s="95"/>
      <c r="C27" s="96"/>
      <c r="D27" s="95"/>
      <c r="E27" s="309"/>
      <c r="F27" s="97"/>
      <c r="G27" s="309"/>
      <c r="N27"/>
      <c r="O27"/>
      <c r="P27"/>
    </row>
    <row r="28" spans="2:16" x14ac:dyDescent="0.35">
      <c r="B28" s="103" t="s">
        <v>1838</v>
      </c>
      <c r="C28" s="479" t="s">
        <v>1839</v>
      </c>
      <c r="D28" s="479"/>
      <c r="E28" s="479"/>
      <c r="F28" s="479"/>
      <c r="G28" s="480"/>
      <c r="N28"/>
      <c r="O28"/>
      <c r="P28"/>
    </row>
    <row r="29" spans="2:16" ht="15" thickBot="1" x14ac:dyDescent="0.4">
      <c r="B29" s="104" t="s">
        <v>0</v>
      </c>
      <c r="C29" s="481" t="s">
        <v>2148</v>
      </c>
      <c r="D29" s="481"/>
      <c r="E29" s="481"/>
      <c r="F29" s="481"/>
      <c r="G29" s="482"/>
      <c r="N29"/>
      <c r="O29"/>
      <c r="P29"/>
    </row>
    <row r="30" spans="2:16" x14ac:dyDescent="0.3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3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3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3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3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" thickBot="1" x14ac:dyDescent="0.4">
      <c r="B35" s="95"/>
      <c r="C35" s="96"/>
      <c r="D35" s="95"/>
      <c r="E35" s="309"/>
      <c r="F35" s="97"/>
      <c r="G35" s="309"/>
    </row>
    <row r="36" spans="2:16" x14ac:dyDescent="0.35">
      <c r="B36" s="103" t="s">
        <v>1838</v>
      </c>
      <c r="C36" s="479" t="s">
        <v>1839</v>
      </c>
      <c r="D36" s="479"/>
      <c r="E36" s="479"/>
      <c r="F36" s="479"/>
      <c r="G36" s="480"/>
    </row>
    <row r="37" spans="2:16" ht="15" thickBot="1" x14ac:dyDescent="0.4">
      <c r="B37" s="104" t="s">
        <v>0</v>
      </c>
      <c r="C37" s="481" t="s">
        <v>2145</v>
      </c>
      <c r="D37" s="481"/>
      <c r="E37" s="481"/>
      <c r="F37" s="481"/>
      <c r="G37" s="482"/>
    </row>
    <row r="38" spans="2:16" x14ac:dyDescent="0.3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3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3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35">
      <c r="B41" s="60">
        <v>8510211</v>
      </c>
      <c r="C41" s="363" t="s">
        <v>2146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2146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3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3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" thickBot="1" x14ac:dyDescent="0.4">
      <c r="B44" s="281"/>
      <c r="C44" s="364"/>
      <c r="D44" s="364"/>
      <c r="E44" s="365"/>
      <c r="N44"/>
      <c r="O44"/>
      <c r="P44"/>
    </row>
    <row r="45" spans="2:16" x14ac:dyDescent="0.35">
      <c r="B45" s="103" t="s">
        <v>1838</v>
      </c>
      <c r="C45" s="479" t="s">
        <v>1839</v>
      </c>
      <c r="D45" s="479"/>
      <c r="E45" s="479"/>
      <c r="F45" s="479"/>
      <c r="G45" s="480"/>
    </row>
    <row r="46" spans="2:16" ht="15" thickBot="1" x14ac:dyDescent="0.4">
      <c r="B46" s="380" t="s">
        <v>0</v>
      </c>
      <c r="C46" s="481" t="s">
        <v>2151</v>
      </c>
      <c r="D46" s="481"/>
      <c r="E46" s="481"/>
      <c r="F46" s="481"/>
      <c r="G46" s="482"/>
    </row>
    <row r="47" spans="2:16" x14ac:dyDescent="0.3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3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35">
      <c r="B49" s="326" t="s">
        <v>61</v>
      </c>
      <c r="C49" s="107" t="s">
        <v>2147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2147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35">
      <c r="B50" s="326">
        <v>8510211</v>
      </c>
      <c r="C50" s="107" t="s">
        <v>2146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2146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" thickBot="1" x14ac:dyDescent="0.4">
      <c r="B51" s="366"/>
      <c r="C51" s="96"/>
      <c r="D51" s="95"/>
      <c r="E51" s="92"/>
      <c r="F51" s="360"/>
      <c r="G51" s="367"/>
    </row>
    <row r="52" spans="2:17" x14ac:dyDescent="0.35">
      <c r="B52" s="361" t="s">
        <v>1838</v>
      </c>
      <c r="C52" s="490"/>
      <c r="D52" s="490"/>
      <c r="E52" s="490"/>
      <c r="F52" s="490"/>
      <c r="G52" s="491"/>
    </row>
    <row r="53" spans="2:17" ht="15" thickBot="1" x14ac:dyDescent="0.4">
      <c r="B53" s="362" t="s">
        <v>0</v>
      </c>
      <c r="C53" s="492" t="s">
        <v>2138</v>
      </c>
      <c r="D53" s="492"/>
      <c r="E53" s="492"/>
      <c r="F53" s="492"/>
      <c r="G53" s="493"/>
    </row>
    <row r="54" spans="2:17" x14ac:dyDescent="0.3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3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3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3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" thickBot="1" x14ac:dyDescent="0.4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35">
      <c r="B59" s="361" t="s">
        <v>1838</v>
      </c>
      <c r="C59" s="490"/>
      <c r="D59" s="490"/>
      <c r="E59" s="490"/>
      <c r="F59" s="490"/>
      <c r="G59" s="491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" thickBot="1" x14ac:dyDescent="0.4">
      <c r="B60" s="362" t="s">
        <v>0</v>
      </c>
      <c r="C60" s="492" t="s">
        <v>2139</v>
      </c>
      <c r="D60" s="492"/>
      <c r="E60" s="492"/>
      <c r="F60" s="492"/>
      <c r="G60" s="493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3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3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3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3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" thickBot="1" x14ac:dyDescent="0.4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35">
      <c r="B66" s="65" t="s">
        <v>1838</v>
      </c>
      <c r="C66" s="477" t="s">
        <v>1839</v>
      </c>
      <c r="D66" s="477"/>
      <c r="E66" s="477"/>
      <c r="F66" s="477"/>
      <c r="G66" s="478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" thickBot="1" x14ac:dyDescent="0.4">
      <c r="B67" s="1" t="s">
        <v>0</v>
      </c>
      <c r="C67" s="463" t="s">
        <v>2140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3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3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3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3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" thickBot="1" x14ac:dyDescent="0.4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35">
      <c r="B73" s="65" t="s">
        <v>1838</v>
      </c>
      <c r="C73" s="477" t="s">
        <v>1839</v>
      </c>
      <c r="D73" s="477"/>
      <c r="E73" s="477"/>
      <c r="F73" s="477"/>
      <c r="G73" s="478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" thickBot="1" x14ac:dyDescent="0.4">
      <c r="B74" s="1" t="s">
        <v>0</v>
      </c>
      <c r="C74" s="463" t="s">
        <v>2141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3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3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3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" thickBot="1" x14ac:dyDescent="0.4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35">
      <c r="B79" s="65" t="s">
        <v>1838</v>
      </c>
      <c r="C79" s="477" t="s">
        <v>1839</v>
      </c>
      <c r="D79" s="477"/>
      <c r="E79" s="477"/>
      <c r="F79" s="477"/>
      <c r="G79" s="478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" thickBot="1" x14ac:dyDescent="0.4">
      <c r="B80" s="1" t="s">
        <v>0</v>
      </c>
      <c r="C80" s="463" t="s">
        <v>2142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3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3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3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" thickBot="1" x14ac:dyDescent="0.4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35">
      <c r="B85" s="65" t="s">
        <v>1838</v>
      </c>
      <c r="C85" s="477" t="s">
        <v>1839</v>
      </c>
      <c r="D85" s="477"/>
      <c r="E85" s="477"/>
      <c r="F85" s="477"/>
      <c r="G85" s="478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" thickBot="1" x14ac:dyDescent="0.4">
      <c r="B86" s="1" t="s">
        <v>0</v>
      </c>
      <c r="C86" s="463" t="s">
        <v>2207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3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3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3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" thickBot="1" x14ac:dyDescent="0.4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35">
      <c r="B91" s="65" t="s">
        <v>1838</v>
      </c>
      <c r="C91" s="477" t="s">
        <v>1839</v>
      </c>
      <c r="D91" s="477"/>
      <c r="E91" s="477"/>
      <c r="F91" s="477"/>
      <c r="G91" s="478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" thickBot="1" x14ac:dyDescent="0.4">
      <c r="B92" s="1" t="s">
        <v>0</v>
      </c>
      <c r="C92" s="463" t="s">
        <v>2143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3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3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3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35">
      <c r="B96" s="64"/>
      <c r="C96" s="64"/>
      <c r="D96" s="64"/>
      <c r="E96" s="64"/>
      <c r="F96" s="64"/>
      <c r="G96" s="64"/>
    </row>
    <row r="422" spans="1:6" x14ac:dyDescent="0.3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3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3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3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3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3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3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3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3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3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3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3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35">
      <c r="A441">
        <v>8507954</v>
      </c>
      <c r="B441" t="s">
        <v>2144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3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3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3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3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3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3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3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3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3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35">
      <c r="A457">
        <v>8510211</v>
      </c>
      <c r="B457" t="s">
        <v>2146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3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3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3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3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35">
      <c r="A465" t="s">
        <v>61</v>
      </c>
      <c r="B465" t="s">
        <v>2147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35">
      <c r="A466">
        <v>8510211</v>
      </c>
      <c r="B466" t="s">
        <v>2146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35">
      <c r="A470" t="s">
        <v>2095</v>
      </c>
      <c r="B470" t="s">
        <v>2095</v>
      </c>
      <c r="C470" t="s">
        <v>2095</v>
      </c>
      <c r="D470" t="s">
        <v>2095</v>
      </c>
      <c r="E470" s="56" t="s">
        <v>2095</v>
      </c>
      <c r="F470" t="s">
        <v>2095</v>
      </c>
    </row>
    <row r="471" spans="1:6" x14ac:dyDescent="0.35">
      <c r="A471" t="s">
        <v>2095</v>
      </c>
      <c r="B471" t="s">
        <v>2095</v>
      </c>
      <c r="C471" t="s">
        <v>2095</v>
      </c>
      <c r="D471" t="s">
        <v>2095</v>
      </c>
      <c r="E471" s="56" t="s">
        <v>2095</v>
      </c>
      <c r="F471" t="s">
        <v>2095</v>
      </c>
    </row>
    <row r="472" spans="1:6" x14ac:dyDescent="0.35">
      <c r="A472" t="s">
        <v>2095</v>
      </c>
      <c r="B472" t="s">
        <v>2095</v>
      </c>
      <c r="C472" t="s">
        <v>2095</v>
      </c>
      <c r="D472" t="s">
        <v>2095</v>
      </c>
      <c r="E472" s="56" t="s">
        <v>2095</v>
      </c>
      <c r="F472" t="s">
        <v>2095</v>
      </c>
    </row>
    <row r="473" spans="1:6" x14ac:dyDescent="0.3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35">
      <c r="B474" t="s">
        <v>2095</v>
      </c>
      <c r="C474" t="s">
        <v>2095</v>
      </c>
      <c r="D474" t="s">
        <v>2095</v>
      </c>
      <c r="E474" s="56" t="s">
        <v>2095</v>
      </c>
      <c r="F474" t="s">
        <v>2095</v>
      </c>
    </row>
    <row r="475" spans="1:6" x14ac:dyDescent="0.35">
      <c r="B475" t="s">
        <v>2095</v>
      </c>
      <c r="C475" t="s">
        <v>2095</v>
      </c>
      <c r="D475" t="s">
        <v>2095</v>
      </c>
      <c r="E475" s="56" t="s">
        <v>2095</v>
      </c>
      <c r="F475" t="s">
        <v>2095</v>
      </c>
    </row>
    <row r="476" spans="1:6" x14ac:dyDescent="0.35">
      <c r="B476" t="s">
        <v>2095</v>
      </c>
      <c r="C476" t="s">
        <v>2095</v>
      </c>
      <c r="D476" t="s">
        <v>2095</v>
      </c>
      <c r="E476" s="56" t="s">
        <v>2095</v>
      </c>
      <c r="F476" t="s">
        <v>2095</v>
      </c>
    </row>
    <row r="477" spans="1:6" x14ac:dyDescent="0.35">
      <c r="A477" t="s">
        <v>2095</v>
      </c>
      <c r="B477" t="s">
        <v>2095</v>
      </c>
      <c r="C477" t="s">
        <v>2095</v>
      </c>
      <c r="D477" t="s">
        <v>2095</v>
      </c>
      <c r="E477" s="56" t="s">
        <v>2095</v>
      </c>
      <c r="F477" t="s">
        <v>2095</v>
      </c>
    </row>
    <row r="478" spans="1:6" x14ac:dyDescent="0.35">
      <c r="A478" t="s">
        <v>2095</v>
      </c>
      <c r="B478" t="s">
        <v>2095</v>
      </c>
      <c r="C478" t="s">
        <v>2095</v>
      </c>
      <c r="D478" t="s">
        <v>2095</v>
      </c>
      <c r="E478" s="56" t="s">
        <v>2095</v>
      </c>
      <c r="F478" t="s">
        <v>2095</v>
      </c>
    </row>
    <row r="479" spans="1:6" x14ac:dyDescent="0.35">
      <c r="A479" t="s">
        <v>2095</v>
      </c>
      <c r="B479" t="s">
        <v>2095</v>
      </c>
      <c r="C479" t="s">
        <v>2095</v>
      </c>
      <c r="D479" t="s">
        <v>2095</v>
      </c>
      <c r="E479" s="56" t="s">
        <v>2095</v>
      </c>
      <c r="F479" t="s">
        <v>2095</v>
      </c>
    </row>
    <row r="480" spans="1:6" x14ac:dyDescent="0.3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35">
      <c r="A481" t="s">
        <v>2095</v>
      </c>
      <c r="B481" t="s">
        <v>2095</v>
      </c>
      <c r="C481" t="s">
        <v>2095</v>
      </c>
      <c r="D481" t="s">
        <v>2095</v>
      </c>
      <c r="E481" s="56" t="s">
        <v>2095</v>
      </c>
      <c r="F481" t="s">
        <v>2095</v>
      </c>
    </row>
    <row r="482" spans="1:6" x14ac:dyDescent="0.35">
      <c r="A482" t="s">
        <v>2095</v>
      </c>
      <c r="B482" t="s">
        <v>2095</v>
      </c>
      <c r="C482" t="s">
        <v>2095</v>
      </c>
      <c r="D482" t="s">
        <v>2095</v>
      </c>
      <c r="E482" s="56" t="s">
        <v>2095</v>
      </c>
      <c r="F482" t="s">
        <v>2095</v>
      </c>
    </row>
    <row r="483" spans="1:6" x14ac:dyDescent="0.35">
      <c r="A483" t="s">
        <v>2095</v>
      </c>
      <c r="B483" t="s">
        <v>2095</v>
      </c>
      <c r="C483" t="s">
        <v>2095</v>
      </c>
      <c r="D483" t="s">
        <v>2095</v>
      </c>
      <c r="E483" s="56" t="s">
        <v>2095</v>
      </c>
      <c r="F483" t="s">
        <v>2095</v>
      </c>
    </row>
    <row r="484" spans="1:6" x14ac:dyDescent="0.35">
      <c r="A484" t="s">
        <v>2095</v>
      </c>
      <c r="B484" t="s">
        <v>2095</v>
      </c>
      <c r="C484" t="s">
        <v>2095</v>
      </c>
      <c r="D484" t="s">
        <v>2095</v>
      </c>
      <c r="E484" s="56" t="s">
        <v>2095</v>
      </c>
      <c r="F484" t="s">
        <v>2095</v>
      </c>
    </row>
    <row r="485" spans="1:6" x14ac:dyDescent="0.35">
      <c r="A485" t="s">
        <v>2095</v>
      </c>
      <c r="B485" t="s">
        <v>2095</v>
      </c>
      <c r="C485" t="s">
        <v>2095</v>
      </c>
      <c r="D485" t="s">
        <v>2095</v>
      </c>
      <c r="E485" s="56" t="s">
        <v>2095</v>
      </c>
      <c r="F485" t="s">
        <v>2095</v>
      </c>
    </row>
    <row r="486" spans="1:6" x14ac:dyDescent="0.35">
      <c r="A486" t="s">
        <v>2095</v>
      </c>
      <c r="B486" t="s">
        <v>2095</v>
      </c>
      <c r="C486" t="s">
        <v>2095</v>
      </c>
      <c r="D486" t="s">
        <v>2095</v>
      </c>
      <c r="E486" s="56" t="s">
        <v>2095</v>
      </c>
      <c r="F486" t="s">
        <v>2095</v>
      </c>
    </row>
    <row r="487" spans="1:6" x14ac:dyDescent="0.35">
      <c r="A487" t="s">
        <v>2095</v>
      </c>
      <c r="B487" t="s">
        <v>2095</v>
      </c>
      <c r="C487" t="s">
        <v>2095</v>
      </c>
      <c r="D487" t="s">
        <v>2095</v>
      </c>
      <c r="E487" s="56" t="s">
        <v>2095</v>
      </c>
      <c r="F487" t="s">
        <v>2095</v>
      </c>
    </row>
    <row r="488" spans="1:6" x14ac:dyDescent="0.35">
      <c r="A488" t="s">
        <v>2095</v>
      </c>
      <c r="B488" t="s">
        <v>2095</v>
      </c>
      <c r="C488" t="s">
        <v>2095</v>
      </c>
      <c r="D488" t="s">
        <v>2095</v>
      </c>
      <c r="E488" s="56" t="s">
        <v>2095</v>
      </c>
      <c r="F488" t="s">
        <v>2095</v>
      </c>
    </row>
    <row r="489" spans="1:6" x14ac:dyDescent="0.35">
      <c r="A489" t="s">
        <v>2095</v>
      </c>
      <c r="B489" t="s">
        <v>2095</v>
      </c>
      <c r="C489" t="s">
        <v>2095</v>
      </c>
      <c r="D489" t="s">
        <v>2095</v>
      </c>
      <c r="E489" s="56" t="s">
        <v>2095</v>
      </c>
      <c r="F489" t="s">
        <v>2095</v>
      </c>
    </row>
    <row r="490" spans="1:6" x14ac:dyDescent="0.35">
      <c r="A490" t="s">
        <v>2095</v>
      </c>
      <c r="B490" t="s">
        <v>2095</v>
      </c>
      <c r="C490" t="s">
        <v>2095</v>
      </c>
      <c r="D490" t="s">
        <v>2095</v>
      </c>
      <c r="E490" s="56" t="s">
        <v>2095</v>
      </c>
      <c r="F490" t="s">
        <v>2095</v>
      </c>
    </row>
    <row r="491" spans="1:6" x14ac:dyDescent="0.35">
      <c r="A491" t="s">
        <v>2095</v>
      </c>
      <c r="B491" t="s">
        <v>2095</v>
      </c>
      <c r="C491" t="s">
        <v>2095</v>
      </c>
      <c r="D491" t="s">
        <v>2095</v>
      </c>
      <c r="E491" s="56" t="s">
        <v>2095</v>
      </c>
      <c r="F491" t="s">
        <v>2095</v>
      </c>
    </row>
    <row r="492" spans="1:6" x14ac:dyDescent="0.35">
      <c r="A492" t="s">
        <v>2095</v>
      </c>
      <c r="B492" t="s">
        <v>2095</v>
      </c>
      <c r="C492" t="s">
        <v>2095</v>
      </c>
      <c r="D492" t="s">
        <v>2095</v>
      </c>
      <c r="E492" s="56" t="s">
        <v>2095</v>
      </c>
      <c r="F492" t="s">
        <v>2095</v>
      </c>
    </row>
    <row r="493" spans="1:6" x14ac:dyDescent="0.35">
      <c r="A493" t="s">
        <v>2095</v>
      </c>
      <c r="B493" t="s">
        <v>2095</v>
      </c>
      <c r="C493" t="s">
        <v>2095</v>
      </c>
      <c r="D493" t="s">
        <v>2095</v>
      </c>
      <c r="E493" s="56" t="s">
        <v>2095</v>
      </c>
      <c r="F493" t="s">
        <v>2095</v>
      </c>
    </row>
    <row r="494" spans="1:6" x14ac:dyDescent="0.35">
      <c r="A494" t="s">
        <v>2095</v>
      </c>
      <c r="B494" t="s">
        <v>2095</v>
      </c>
      <c r="C494" t="s">
        <v>2095</v>
      </c>
      <c r="D494" t="s">
        <v>2095</v>
      </c>
      <c r="E494" s="56" t="s">
        <v>2095</v>
      </c>
      <c r="F494" t="s">
        <v>2095</v>
      </c>
    </row>
    <row r="495" spans="1:6" x14ac:dyDescent="0.35">
      <c r="A495" t="s">
        <v>2095</v>
      </c>
      <c r="B495" t="s">
        <v>2095</v>
      </c>
      <c r="C495" t="s">
        <v>2095</v>
      </c>
      <c r="D495" t="s">
        <v>2095</v>
      </c>
      <c r="E495" s="56" t="s">
        <v>2095</v>
      </c>
      <c r="F495" t="s">
        <v>2095</v>
      </c>
    </row>
    <row r="496" spans="1:6" x14ac:dyDescent="0.35">
      <c r="A496" t="s">
        <v>2095</v>
      </c>
      <c r="B496" t="s">
        <v>2095</v>
      </c>
      <c r="C496" t="s">
        <v>2095</v>
      </c>
      <c r="D496" t="s">
        <v>2095</v>
      </c>
      <c r="E496" s="56" t="s">
        <v>2095</v>
      </c>
      <c r="F496" t="s">
        <v>2095</v>
      </c>
    </row>
    <row r="497" spans="1:6" x14ac:dyDescent="0.3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3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35">
      <c r="A499" t="s">
        <v>2095</v>
      </c>
      <c r="B499" t="s">
        <v>2095</v>
      </c>
      <c r="C499" t="s">
        <v>2095</v>
      </c>
      <c r="D499" t="s">
        <v>2095</v>
      </c>
      <c r="E499" s="56" t="s">
        <v>2095</v>
      </c>
      <c r="F499" t="s">
        <v>2095</v>
      </c>
    </row>
    <row r="500" spans="1:6" x14ac:dyDescent="0.35">
      <c r="A500" t="s">
        <v>2095</v>
      </c>
      <c r="B500" t="s">
        <v>2095</v>
      </c>
      <c r="C500" t="s">
        <v>2095</v>
      </c>
      <c r="D500" t="s">
        <v>2095</v>
      </c>
      <c r="E500" s="56" t="s">
        <v>2095</v>
      </c>
      <c r="F500" t="s">
        <v>2095</v>
      </c>
    </row>
    <row r="501" spans="1:6" x14ac:dyDescent="0.35">
      <c r="A501" t="s">
        <v>2095</v>
      </c>
      <c r="B501" t="s">
        <v>2095</v>
      </c>
      <c r="C501" t="s">
        <v>2095</v>
      </c>
      <c r="D501" t="s">
        <v>2095</v>
      </c>
      <c r="E501" s="56" t="s">
        <v>2095</v>
      </c>
      <c r="F501" t="s">
        <v>2095</v>
      </c>
    </row>
    <row r="502" spans="1:6" x14ac:dyDescent="0.35">
      <c r="A502" t="s">
        <v>2095</v>
      </c>
      <c r="B502" t="s">
        <v>2095</v>
      </c>
      <c r="C502" t="s">
        <v>2095</v>
      </c>
      <c r="D502" t="s">
        <v>2095</v>
      </c>
      <c r="E502" s="56" t="s">
        <v>2095</v>
      </c>
      <c r="F502" t="s">
        <v>2095</v>
      </c>
    </row>
    <row r="503" spans="1:6" x14ac:dyDescent="0.3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3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3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35">
      <c r="A506" t="s">
        <v>2095</v>
      </c>
      <c r="B506" t="s">
        <v>2095</v>
      </c>
      <c r="C506" t="s">
        <v>2095</v>
      </c>
      <c r="D506" t="s">
        <v>2095</v>
      </c>
      <c r="E506" s="56" t="s">
        <v>2095</v>
      </c>
      <c r="F506" t="s">
        <v>2095</v>
      </c>
    </row>
    <row r="507" spans="1:6" x14ac:dyDescent="0.35">
      <c r="A507" t="s">
        <v>2095</v>
      </c>
      <c r="B507" t="s">
        <v>2095</v>
      </c>
      <c r="C507" t="s">
        <v>2095</v>
      </c>
      <c r="D507" t="s">
        <v>2095</v>
      </c>
      <c r="E507" s="56" t="s">
        <v>2095</v>
      </c>
      <c r="F507" t="s">
        <v>2095</v>
      </c>
    </row>
    <row r="508" spans="1:6" x14ac:dyDescent="0.35">
      <c r="A508" t="s">
        <v>2095</v>
      </c>
      <c r="B508" t="s">
        <v>2095</v>
      </c>
      <c r="C508" t="s">
        <v>2095</v>
      </c>
      <c r="D508" t="s">
        <v>2095</v>
      </c>
      <c r="E508" s="56" t="s">
        <v>2095</v>
      </c>
      <c r="F508" t="s">
        <v>2095</v>
      </c>
    </row>
    <row r="509" spans="1:6" x14ac:dyDescent="0.35">
      <c r="A509" t="s">
        <v>2095</v>
      </c>
      <c r="B509" t="s">
        <v>2095</v>
      </c>
      <c r="C509" t="s">
        <v>2095</v>
      </c>
      <c r="D509" t="s">
        <v>2095</v>
      </c>
      <c r="E509" s="56" t="s">
        <v>2095</v>
      </c>
      <c r="F509" t="s">
        <v>2095</v>
      </c>
    </row>
    <row r="510" spans="1:6" x14ac:dyDescent="0.35">
      <c r="A510" t="s">
        <v>2095</v>
      </c>
      <c r="B510" t="s">
        <v>2095</v>
      </c>
      <c r="C510" t="s">
        <v>2095</v>
      </c>
      <c r="D510" t="s">
        <v>2095</v>
      </c>
      <c r="E510" s="56" t="s">
        <v>2095</v>
      </c>
      <c r="F510" t="s">
        <v>2095</v>
      </c>
    </row>
    <row r="511" spans="1:6" x14ac:dyDescent="0.35">
      <c r="A511" t="s">
        <v>2095</v>
      </c>
      <c r="B511" t="s">
        <v>2095</v>
      </c>
      <c r="C511" t="s">
        <v>2095</v>
      </c>
      <c r="D511" t="s">
        <v>2095</v>
      </c>
      <c r="E511" s="56" t="s">
        <v>2095</v>
      </c>
      <c r="F511" t="s">
        <v>2095</v>
      </c>
    </row>
  </sheetData>
  <mergeCells count="26">
    <mergeCell ref="C19:G19"/>
    <mergeCell ref="C20:G20"/>
    <mergeCell ref="C28:G28"/>
    <mergeCell ref="C29:G29"/>
    <mergeCell ref="C4:G4"/>
    <mergeCell ref="C5:G5"/>
    <mergeCell ref="C11:G11"/>
    <mergeCell ref="C12:G12"/>
    <mergeCell ref="C67:G67"/>
    <mergeCell ref="C59:G59"/>
    <mergeCell ref="C60:G60"/>
    <mergeCell ref="C52:G52"/>
    <mergeCell ref="C53:G53"/>
    <mergeCell ref="C36:G36"/>
    <mergeCell ref="C37:G37"/>
    <mergeCell ref="C45:G45"/>
    <mergeCell ref="C46:G46"/>
    <mergeCell ref="C66:G66"/>
    <mergeCell ref="C86:G86"/>
    <mergeCell ref="C91:G91"/>
    <mergeCell ref="C92:G92"/>
    <mergeCell ref="C73:G73"/>
    <mergeCell ref="C74:G74"/>
    <mergeCell ref="C79:G79"/>
    <mergeCell ref="C80:G80"/>
    <mergeCell ref="C85:G85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 xr:uid="{220D7325-14B1-4B36-AA36-2AFEA82925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355600</xdr:colOff>
                    <xdr:row>3</xdr:row>
                    <xdr:rowOff>184150</xdr:rowOff>
                  </from>
                  <to>
                    <xdr:col>9</xdr:col>
                    <xdr:colOff>514350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355600</xdr:colOff>
                    <xdr:row>6</xdr:row>
                    <xdr:rowOff>184150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336550</xdr:colOff>
                    <xdr:row>11</xdr:row>
                    <xdr:rowOff>0</xdr:rowOff>
                  </from>
                  <to>
                    <xdr:col>9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336550</xdr:colOff>
                    <xdr:row>14</xdr:row>
                    <xdr:rowOff>12700</xdr:rowOff>
                  </from>
                  <to>
                    <xdr:col>9</xdr:col>
                    <xdr:colOff>488950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450850</xdr:colOff>
                    <xdr:row>19</xdr:row>
                    <xdr:rowOff>146050</xdr:rowOff>
                  </from>
                  <to>
                    <xdr:col>9</xdr:col>
                    <xdr:colOff>603250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450850</xdr:colOff>
                    <xdr:row>22</xdr:row>
                    <xdr:rowOff>152400</xdr:rowOff>
                  </from>
                  <to>
                    <xdr:col>9</xdr:col>
                    <xdr:colOff>603250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603250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88900</xdr:rowOff>
                  </from>
                  <to>
                    <xdr:col>9</xdr:col>
                    <xdr:colOff>603250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450850</xdr:colOff>
                    <xdr:row>36</xdr:row>
                    <xdr:rowOff>171450</xdr:rowOff>
                  </from>
                  <to>
                    <xdr:col>9</xdr:col>
                    <xdr:colOff>603250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450850</xdr:colOff>
                    <xdr:row>39</xdr:row>
                    <xdr:rowOff>31750</xdr:rowOff>
                  </from>
                  <to>
                    <xdr:col>9</xdr:col>
                    <xdr:colOff>603250</xdr:colOff>
                    <xdr:row>40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450850</xdr:colOff>
                    <xdr:row>44</xdr:row>
                    <xdr:rowOff>146050</xdr:rowOff>
                  </from>
                  <to>
                    <xdr:col>9</xdr:col>
                    <xdr:colOff>603250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450850</xdr:colOff>
                    <xdr:row>47</xdr:row>
                    <xdr:rowOff>152400</xdr:rowOff>
                  </from>
                  <to>
                    <xdr:col>9</xdr:col>
                    <xdr:colOff>603250</xdr:colOff>
                    <xdr:row>49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2EA5-C99A-4A37-9933-4A7B83E38E38}">
  <sheetPr codeName="Sheet12">
    <pageSetUpPr fitToPage="1"/>
  </sheetPr>
  <dimension ref="A3:K45"/>
  <sheetViews>
    <sheetView workbookViewId="0">
      <selection activeCell="A8" sqref="A8"/>
    </sheetView>
  </sheetViews>
  <sheetFormatPr defaultColWidth="8.7265625" defaultRowHeight="14.5" x14ac:dyDescent="0.35"/>
  <cols>
    <col min="1" max="1" width="5.453125" customWidth="1"/>
    <col min="2" max="2" width="10.7265625" bestFit="1" customWidth="1"/>
    <col min="3" max="3" width="47.453125" customWidth="1"/>
    <col min="4" max="4" width="11.7265625" bestFit="1" customWidth="1"/>
    <col min="5" max="5" width="11.1796875" bestFit="1" customWidth="1"/>
    <col min="6" max="6" width="13.26953125" style="56" customWidth="1"/>
    <col min="7" max="7" width="4.453125" customWidth="1"/>
    <col min="8" max="8" width="14.7265625" customWidth="1"/>
    <col min="9" max="9" width="34" customWidth="1"/>
  </cols>
  <sheetData>
    <row r="3" spans="1:11" x14ac:dyDescent="0.35">
      <c r="B3" t="s">
        <v>57</v>
      </c>
      <c r="C3" s="324"/>
      <c r="H3" s="292" t="s">
        <v>2083</v>
      </c>
      <c r="I3" s="292" t="s">
        <v>65</v>
      </c>
    </row>
    <row r="4" spans="1:11" ht="15" thickBot="1" x14ac:dyDescent="0.4">
      <c r="H4" s="163"/>
      <c r="I4" s="293" t="s">
        <v>2264</v>
      </c>
    </row>
    <row r="5" spans="1:11" ht="26.5" x14ac:dyDescent="0.35">
      <c r="A5" s="321" t="s">
        <v>1832</v>
      </c>
      <c r="B5" s="322" t="s">
        <v>2083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2083</v>
      </c>
      <c r="I5" s="34" t="s">
        <v>65</v>
      </c>
      <c r="J5" s="298" t="s">
        <v>66</v>
      </c>
      <c r="K5" s="57" t="s">
        <v>67</v>
      </c>
    </row>
    <row r="6" spans="1:11" x14ac:dyDescent="0.3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3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3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3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3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3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3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35">
      <c r="A13" s="36"/>
      <c r="B13" s="36"/>
      <c r="C13" s="35"/>
      <c r="D13" s="63"/>
      <c r="E13" s="58"/>
      <c r="F13" s="325">
        <f t="shared" si="0"/>
        <v>0</v>
      </c>
    </row>
    <row r="14" spans="1:11" x14ac:dyDescent="0.35">
      <c r="A14" s="36"/>
      <c r="B14" s="36"/>
      <c r="C14" s="35"/>
      <c r="D14" s="63"/>
      <c r="E14" s="58"/>
      <c r="F14" s="325">
        <f t="shared" si="0"/>
        <v>0</v>
      </c>
    </row>
    <row r="15" spans="1:11" x14ac:dyDescent="0.35">
      <c r="A15" s="36"/>
      <c r="B15" s="36"/>
      <c r="C15" s="35"/>
      <c r="D15" s="63"/>
      <c r="E15" s="58"/>
      <c r="F15" s="325">
        <f t="shared" si="0"/>
        <v>0</v>
      </c>
    </row>
    <row r="16" spans="1:11" x14ac:dyDescent="0.35">
      <c r="A16" s="36"/>
      <c r="B16" s="36"/>
      <c r="C16" s="35"/>
      <c r="D16" s="63"/>
      <c r="E16" s="58"/>
      <c r="F16" s="325">
        <f t="shared" si="0"/>
        <v>0</v>
      </c>
    </row>
    <row r="17" spans="1:6" x14ac:dyDescent="0.35">
      <c r="A17" s="36"/>
      <c r="B17" s="36"/>
      <c r="C17" s="35"/>
      <c r="D17" s="63"/>
      <c r="E17" s="58"/>
      <c r="F17" s="325">
        <f t="shared" si="0"/>
        <v>0</v>
      </c>
    </row>
    <row r="18" spans="1:6" x14ac:dyDescent="0.35">
      <c r="A18" s="36"/>
      <c r="B18" s="36"/>
      <c r="C18" s="35"/>
      <c r="D18" s="63"/>
      <c r="E18" s="58"/>
      <c r="F18" s="325">
        <f t="shared" si="0"/>
        <v>0</v>
      </c>
    </row>
    <row r="19" spans="1:6" x14ac:dyDescent="0.35">
      <c r="A19" s="36"/>
      <c r="B19" s="36"/>
      <c r="C19" s="35"/>
      <c r="D19" s="63"/>
      <c r="E19" s="58"/>
      <c r="F19" s="325">
        <f t="shared" si="0"/>
        <v>0</v>
      </c>
    </row>
    <row r="20" spans="1:6" x14ac:dyDescent="0.35">
      <c r="A20" s="36"/>
      <c r="B20" s="36"/>
      <c r="C20" s="35"/>
      <c r="D20" s="63"/>
      <c r="E20" s="58"/>
      <c r="F20" s="325">
        <f t="shared" si="0"/>
        <v>0</v>
      </c>
    </row>
    <row r="21" spans="1:6" x14ac:dyDescent="0.35">
      <c r="A21" s="36"/>
      <c r="B21" s="36"/>
      <c r="C21" s="35"/>
      <c r="D21" s="63"/>
      <c r="E21" s="58"/>
      <c r="F21" s="325">
        <f t="shared" si="0"/>
        <v>0</v>
      </c>
    </row>
    <row r="22" spans="1:6" x14ac:dyDescent="0.35">
      <c r="A22" s="36"/>
      <c r="B22" s="36"/>
      <c r="C22" s="35"/>
      <c r="D22" s="63"/>
      <c r="E22" s="58"/>
      <c r="F22" s="325">
        <f t="shared" si="0"/>
        <v>0</v>
      </c>
    </row>
    <row r="23" spans="1:6" x14ac:dyDescent="0.35">
      <c r="A23" s="36"/>
      <c r="B23" s="36"/>
      <c r="C23" s="35"/>
      <c r="D23" s="63"/>
      <c r="E23" s="58"/>
      <c r="F23" s="325">
        <f t="shared" si="0"/>
        <v>0</v>
      </c>
    </row>
    <row r="24" spans="1:6" x14ac:dyDescent="0.35">
      <c r="A24" s="36"/>
      <c r="B24" s="36"/>
      <c r="C24" s="35"/>
      <c r="D24" s="63"/>
      <c r="E24" s="58"/>
      <c r="F24" s="325">
        <f t="shared" si="0"/>
        <v>0</v>
      </c>
    </row>
    <row r="25" spans="1:6" x14ac:dyDescent="0.35">
      <c r="A25" s="36"/>
      <c r="B25" s="36"/>
      <c r="C25" s="35"/>
      <c r="D25" s="63"/>
      <c r="E25" s="58"/>
      <c r="F25" s="325">
        <f t="shared" si="0"/>
        <v>0</v>
      </c>
    </row>
    <row r="26" spans="1:6" x14ac:dyDescent="0.35">
      <c r="A26" s="36"/>
      <c r="B26" s="36"/>
      <c r="C26" s="35"/>
      <c r="D26" s="63"/>
      <c r="E26" s="58"/>
      <c r="F26" s="325">
        <f t="shared" si="0"/>
        <v>0</v>
      </c>
    </row>
    <row r="27" spans="1:6" x14ac:dyDescent="0.35">
      <c r="A27" s="36"/>
      <c r="B27" s="36"/>
      <c r="C27" s="35"/>
      <c r="D27" s="63"/>
      <c r="E27" s="58"/>
      <c r="F27" s="325">
        <f t="shared" si="0"/>
        <v>0</v>
      </c>
    </row>
    <row r="28" spans="1:6" x14ac:dyDescent="0.35">
      <c r="A28" s="36"/>
      <c r="B28" s="36"/>
      <c r="C28" s="35"/>
      <c r="D28" s="63"/>
      <c r="E28" s="58"/>
      <c r="F28" s="325">
        <f t="shared" si="0"/>
        <v>0</v>
      </c>
    </row>
    <row r="29" spans="1:6" x14ac:dyDescent="0.35">
      <c r="A29" s="36"/>
      <c r="B29" s="36"/>
      <c r="C29" s="35"/>
      <c r="D29" s="63"/>
      <c r="E29" s="58"/>
      <c r="F29" s="325">
        <f t="shared" si="0"/>
        <v>0</v>
      </c>
    </row>
    <row r="30" spans="1:6" x14ac:dyDescent="0.35">
      <c r="A30" s="36"/>
      <c r="B30" s="36"/>
      <c r="C30" s="35"/>
      <c r="D30" s="63"/>
      <c r="E30" s="58"/>
      <c r="F30" s="325">
        <f t="shared" si="0"/>
        <v>0</v>
      </c>
    </row>
    <row r="31" spans="1:6" x14ac:dyDescent="0.35">
      <c r="A31" s="36"/>
      <c r="B31" s="36"/>
      <c r="C31" s="35"/>
      <c r="D31" s="63"/>
      <c r="E31" s="58"/>
      <c r="F31" s="325">
        <f t="shared" si="0"/>
        <v>0</v>
      </c>
    </row>
    <row r="32" spans="1:6" x14ac:dyDescent="0.35">
      <c r="A32" s="36"/>
      <c r="B32" s="36"/>
      <c r="C32" s="35"/>
      <c r="D32" s="63"/>
      <c r="E32" s="58"/>
      <c r="F32" s="325">
        <f t="shared" si="0"/>
        <v>0</v>
      </c>
    </row>
    <row r="33" spans="1:6" x14ac:dyDescent="0.35">
      <c r="A33" s="36"/>
      <c r="B33" s="36"/>
      <c r="C33" s="35"/>
      <c r="D33" s="63"/>
      <c r="E33" s="58"/>
      <c r="F33" s="325">
        <f t="shared" si="0"/>
        <v>0</v>
      </c>
    </row>
    <row r="34" spans="1:6" x14ac:dyDescent="0.35">
      <c r="A34" s="36"/>
      <c r="B34" s="36"/>
      <c r="C34" s="35"/>
      <c r="D34" s="63"/>
      <c r="E34" s="58"/>
      <c r="F34" s="325">
        <f t="shared" si="0"/>
        <v>0</v>
      </c>
    </row>
    <row r="35" spans="1:6" x14ac:dyDescent="0.35">
      <c r="A35" s="36"/>
      <c r="B35" s="36"/>
      <c r="C35" s="35"/>
      <c r="D35" s="63"/>
      <c r="E35" s="58"/>
      <c r="F35" s="325">
        <f t="shared" si="0"/>
        <v>0</v>
      </c>
    </row>
    <row r="36" spans="1:6" x14ac:dyDescent="0.35">
      <c r="A36" s="36"/>
      <c r="B36" s="36"/>
      <c r="C36" s="35"/>
      <c r="D36" s="63"/>
      <c r="E36" s="58"/>
      <c r="F36" s="325">
        <f t="shared" si="0"/>
        <v>0</v>
      </c>
    </row>
    <row r="37" spans="1:6" x14ac:dyDescent="0.35">
      <c r="A37" s="36"/>
      <c r="B37" s="36"/>
      <c r="C37" s="35"/>
      <c r="D37" s="63"/>
      <c r="E37" s="58"/>
      <c r="F37" s="325">
        <f t="shared" si="0"/>
        <v>0</v>
      </c>
    </row>
    <row r="38" spans="1:6" x14ac:dyDescent="0.35">
      <c r="A38" s="36"/>
      <c r="B38" s="36"/>
      <c r="C38" s="35"/>
      <c r="D38" s="63"/>
      <c r="E38" s="58"/>
      <c r="F38" s="325">
        <f t="shared" si="0"/>
        <v>0</v>
      </c>
    </row>
    <row r="39" spans="1:6" x14ac:dyDescent="0.35">
      <c r="A39" s="36"/>
      <c r="B39" s="36"/>
      <c r="C39" s="35"/>
      <c r="D39" s="63"/>
      <c r="E39" s="58"/>
      <c r="F39" s="325">
        <f t="shared" si="0"/>
        <v>0</v>
      </c>
    </row>
    <row r="40" spans="1:6" x14ac:dyDescent="0.35">
      <c r="A40" s="36"/>
      <c r="B40" s="36"/>
      <c r="C40" s="35"/>
      <c r="D40" s="63"/>
      <c r="E40" s="58"/>
      <c r="F40" s="325">
        <f t="shared" si="0"/>
        <v>0</v>
      </c>
    </row>
    <row r="41" spans="1:6" x14ac:dyDescent="0.35">
      <c r="A41" s="36"/>
      <c r="B41" s="36"/>
      <c r="C41" s="35"/>
      <c r="D41" s="63"/>
      <c r="E41" s="58"/>
      <c r="F41" s="325">
        <f t="shared" si="0"/>
        <v>0</v>
      </c>
    </row>
    <row r="42" spans="1:6" x14ac:dyDescent="0.35">
      <c r="A42" s="36"/>
      <c r="B42" s="36"/>
      <c r="C42" s="35"/>
      <c r="D42" s="63"/>
      <c r="E42" s="58"/>
      <c r="F42" s="325">
        <f t="shared" si="0"/>
        <v>0</v>
      </c>
    </row>
    <row r="43" spans="1:6" x14ac:dyDescent="0.35">
      <c r="A43" s="36"/>
      <c r="B43" s="36"/>
      <c r="C43" s="35"/>
      <c r="D43" s="63"/>
      <c r="E43" s="58"/>
      <c r="F43" s="325">
        <f t="shared" si="0"/>
        <v>0</v>
      </c>
    </row>
    <row r="44" spans="1:6" x14ac:dyDescent="0.3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35">
      <c r="E45" t="s">
        <v>2262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298450</xdr:colOff>
                    <xdr:row>0</xdr:row>
                    <xdr:rowOff>88900</xdr:rowOff>
                  </from>
                  <to>
                    <xdr:col>8</xdr:col>
                    <xdr:colOff>298450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336550</xdr:colOff>
                    <xdr:row>0</xdr:row>
                    <xdr:rowOff>76200</xdr:rowOff>
                  </from>
                  <to>
                    <xdr:col>9</xdr:col>
                    <xdr:colOff>260350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31750</xdr:colOff>
                    <xdr:row>0</xdr:row>
                    <xdr:rowOff>88900</xdr:rowOff>
                  </from>
                  <to>
                    <xdr:col>11</xdr:col>
                    <xdr:colOff>508000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298450</xdr:colOff>
                    <xdr:row>0</xdr:row>
                    <xdr:rowOff>88900</xdr:rowOff>
                  </from>
                  <to>
                    <xdr:col>8</xdr:col>
                    <xdr:colOff>298450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336550</xdr:colOff>
                    <xdr:row>0</xdr:row>
                    <xdr:rowOff>76200</xdr:rowOff>
                  </from>
                  <to>
                    <xdr:col>9</xdr:col>
                    <xdr:colOff>260350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298450</xdr:colOff>
                    <xdr:row>0</xdr:row>
                    <xdr:rowOff>88900</xdr:rowOff>
                  </from>
                  <to>
                    <xdr:col>8</xdr:col>
                    <xdr:colOff>298450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127000</xdr:colOff>
                    <xdr:row>1</xdr:row>
                    <xdr:rowOff>12700</xdr:rowOff>
                  </from>
                  <to>
                    <xdr:col>6</xdr:col>
                    <xdr:colOff>222250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AAFE-A3CE-457F-B816-2F51E84C5074}">
  <sheetPr codeName="Sheet13"/>
  <dimension ref="C1"/>
  <sheetViews>
    <sheetView workbookViewId="0">
      <selection activeCell="H7" sqref="H7"/>
    </sheetView>
  </sheetViews>
  <sheetFormatPr defaultColWidth="8.7265625" defaultRowHeight="14.5" x14ac:dyDescent="0.35"/>
  <cols>
    <col min="2" max="2" width="10.54296875" bestFit="1" customWidth="1"/>
    <col min="3" max="3" width="58.36328125" bestFit="1" customWidth="1"/>
    <col min="4" max="4" width="11.54296875" bestFit="1" customWidth="1"/>
    <col min="5" max="5" width="5.36328125" bestFit="1" customWidth="1"/>
  </cols>
  <sheetData>
    <row r="1" spans="3:3" ht="21" x14ac:dyDescent="0.5">
      <c r="C1" s="156" t="s">
        <v>1879</v>
      </c>
    </row>
  </sheetData>
  <hyperlinks>
    <hyperlink ref="C1" location="presu!A1" display="Presupuesto" xr:uid="{4FACD027-EC92-41CA-B476-7894872285A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431800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370"/>
  <sheetViews>
    <sheetView workbookViewId="0">
      <pane xSplit="4" ySplit="4" topLeftCell="E391" activePane="bottomRight" state="frozen"/>
      <selection pane="topRight" activeCell="E1" sqref="E1"/>
      <selection pane="bottomLeft" activeCell="A5" sqref="A5"/>
      <selection pane="bottomRight" activeCell="E511" sqref="E511"/>
    </sheetView>
  </sheetViews>
  <sheetFormatPr defaultColWidth="8.7265625" defaultRowHeight="14.5" x14ac:dyDescent="0.35"/>
  <cols>
    <col min="1" max="1" width="12.81640625" bestFit="1" customWidth="1"/>
    <col min="2" max="2" width="75.81640625" bestFit="1" customWidth="1"/>
    <col min="3" max="3" width="12.453125" style="297" bestFit="1" customWidth="1"/>
    <col min="4" max="4" width="9.26953125" style="56" bestFit="1" customWidth="1"/>
    <col min="5" max="5" width="10.1796875" style="56" bestFit="1" customWidth="1"/>
  </cols>
  <sheetData>
    <row r="1" spans="1:7" ht="21" x14ac:dyDescent="0.5">
      <c r="C1" s="296" t="s">
        <v>1879</v>
      </c>
    </row>
    <row r="3" spans="1:7" s="61" customFormat="1" ht="15" thickBot="1" x14ac:dyDescent="0.4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5" x14ac:dyDescent="0.35">
      <c r="A4" s="33" t="s">
        <v>2083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2208</v>
      </c>
    </row>
    <row r="5" spans="1:7" x14ac:dyDescent="0.3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3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3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3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3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3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3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3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3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3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3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3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3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3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3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3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3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3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3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3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3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3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3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3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3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3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3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3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3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3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3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3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3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3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3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3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3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3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3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3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3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3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3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3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3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3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3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3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3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3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3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3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3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3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3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3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3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3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3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3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3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3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35">
      <c r="A67" s="385" t="s">
        <v>2096</v>
      </c>
      <c r="B67" s="260" t="s">
        <v>2179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35">
      <c r="A68" s="385" t="s">
        <v>2097</v>
      </c>
      <c r="B68" s="260" t="s">
        <v>2180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35">
      <c r="A69" s="385" t="s">
        <v>2098</v>
      </c>
      <c r="B69" s="260" t="s">
        <v>2181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35">
      <c r="A70" s="385" t="s">
        <v>2099</v>
      </c>
      <c r="B70" s="260" t="s">
        <v>2182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35">
      <c r="A71" s="385" t="s">
        <v>2100</v>
      </c>
      <c r="B71" s="260" t="s">
        <v>2183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35">
      <c r="A72" s="385" t="s">
        <v>2101</v>
      </c>
      <c r="B72" s="260" t="s">
        <v>2184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35">
      <c r="A73" s="385" t="s">
        <v>2102</v>
      </c>
      <c r="B73" s="260" t="s">
        <v>2185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35">
      <c r="A74" s="385" t="s">
        <v>2103</v>
      </c>
      <c r="B74" s="260" t="s">
        <v>2186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35">
      <c r="A75" s="385" t="s">
        <v>2104</v>
      </c>
      <c r="B75" s="260" t="s">
        <v>2187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35">
      <c r="A76" s="385" t="s">
        <v>2099</v>
      </c>
      <c r="B76" s="260" t="s">
        <v>2182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35">
      <c r="A77" s="385" t="s">
        <v>2104</v>
      </c>
      <c r="B77" s="260" t="s">
        <v>2187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35">
      <c r="A78" s="385" t="s">
        <v>2105</v>
      </c>
      <c r="B78" s="260" t="s">
        <v>2188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35">
      <c r="A79" s="385" t="s">
        <v>2106</v>
      </c>
      <c r="B79" s="260" t="s">
        <v>2189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35">
      <c r="A80" s="385" t="s">
        <v>2107</v>
      </c>
      <c r="B80" s="260" t="s">
        <v>2190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35">
      <c r="A81" s="385" t="s">
        <v>2108</v>
      </c>
      <c r="B81" s="260" t="s">
        <v>2191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35">
      <c r="A82" s="385" t="s">
        <v>2109</v>
      </c>
      <c r="B82" s="260" t="s">
        <v>2192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35">
      <c r="A83" s="385" t="s">
        <v>2110</v>
      </c>
      <c r="B83" s="260" t="s">
        <v>2193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35">
      <c r="A84" s="385" t="s">
        <v>2111</v>
      </c>
      <c r="B84" s="260" t="s">
        <v>2194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35">
      <c r="A85" s="385" t="s">
        <v>2112</v>
      </c>
      <c r="B85" s="260" t="s">
        <v>2195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35">
      <c r="A86" s="385" t="s">
        <v>2113</v>
      </c>
      <c r="B86" s="260" t="s">
        <v>2196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35">
      <c r="A87" s="385" t="s">
        <v>2114</v>
      </c>
      <c r="B87" s="260" t="s">
        <v>2197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35">
      <c r="A88" s="385" t="s">
        <v>2115</v>
      </c>
      <c r="B88" s="260" t="s">
        <v>2198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35">
      <c r="A89" s="385" t="s">
        <v>2116</v>
      </c>
      <c r="B89" s="260" t="s">
        <v>2199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35">
      <c r="A90" s="385" t="s">
        <v>2117</v>
      </c>
      <c r="B90" s="260" t="s">
        <v>2200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35">
      <c r="A91" s="385" t="s">
        <v>2118</v>
      </c>
      <c r="B91" s="260" t="s">
        <v>2201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35">
      <c r="A92" s="390" t="s">
        <v>2119</v>
      </c>
      <c r="B92" s="260" t="s">
        <v>2202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35">
      <c r="A93" s="164" t="s">
        <v>2122</v>
      </c>
      <c r="B93" s="260" t="s">
        <v>2160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35">
      <c r="A94" s="164" t="s">
        <v>2123</v>
      </c>
      <c r="B94" s="260" t="s">
        <v>2161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35">
      <c r="A95" s="164" t="s">
        <v>2124</v>
      </c>
      <c r="B95" s="260" t="s">
        <v>2162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35">
      <c r="A96" s="168" t="s">
        <v>2125</v>
      </c>
      <c r="B96" s="260" t="s">
        <v>2128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35">
      <c r="A97" s="168" t="s">
        <v>2126</v>
      </c>
      <c r="B97" s="260" t="s">
        <v>2129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35">
      <c r="A98" s="168" t="s">
        <v>2127</v>
      </c>
      <c r="B98" s="260" t="s">
        <v>2130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35">
      <c r="A99" s="168" t="s">
        <v>2131</v>
      </c>
      <c r="B99" s="260" t="s">
        <v>2134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35">
      <c r="A100" s="168" t="s">
        <v>2132</v>
      </c>
      <c r="B100" s="260" t="s">
        <v>2135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35">
      <c r="A101" s="168" t="s">
        <v>2133</v>
      </c>
      <c r="B101" s="260" t="s">
        <v>2136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3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3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3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3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3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3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3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3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3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3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3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3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3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3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3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3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3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3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3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3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3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3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3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3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3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3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3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3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3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3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3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3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3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3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3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3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3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3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3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3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3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3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3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3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3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3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3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3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3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3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3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3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3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3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3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35">
      <c r="A157" s="163">
        <v>3558005</v>
      </c>
      <c r="B157" s="260" t="s">
        <v>2171</v>
      </c>
      <c r="C157" s="327" t="s">
        <v>2168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3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3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3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3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3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3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3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3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3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3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3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3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35">
      <c r="A170" s="163">
        <v>3558294</v>
      </c>
      <c r="B170" s="260" t="s">
        <v>2172</v>
      </c>
      <c r="C170" s="327" t="s">
        <v>2168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3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35">
      <c r="A172" s="163">
        <v>3562334</v>
      </c>
      <c r="B172" s="260" t="s">
        <v>2169</v>
      </c>
      <c r="C172" s="327" t="s">
        <v>2168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3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3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3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3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3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3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3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3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3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3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3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35">
      <c r="A184" s="163">
        <v>3558008</v>
      </c>
      <c r="B184" s="260" t="s">
        <v>2174</v>
      </c>
      <c r="C184" s="327" t="s">
        <v>2168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35">
      <c r="A185" s="163">
        <v>3558009</v>
      </c>
      <c r="B185" s="260" t="s">
        <v>2173</v>
      </c>
      <c r="C185" s="327" t="s">
        <v>2168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35">
      <c r="A186" s="168">
        <v>3559117</v>
      </c>
      <c r="B186" s="260" t="s">
        <v>2177</v>
      </c>
      <c r="C186" s="327" t="s">
        <v>2168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3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3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3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3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3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3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3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3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3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3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3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3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3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3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3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3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3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3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3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3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3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3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3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35">
      <c r="A210" s="157">
        <v>322517</v>
      </c>
      <c r="B210" s="260" t="s">
        <v>2004</v>
      </c>
      <c r="C210" s="327" t="s">
        <v>2168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3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3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3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3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35">
      <c r="A215" s="168" t="s">
        <v>2053</v>
      </c>
      <c r="B215" s="164" t="s">
        <v>2071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3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3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3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3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3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3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3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3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3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3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3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35">
      <c r="A227" s="168">
        <v>3560107</v>
      </c>
      <c r="B227" s="260" t="s">
        <v>2175</v>
      </c>
      <c r="C227" s="327" t="s">
        <v>2168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3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35">
      <c r="A229" s="168">
        <v>3560108</v>
      </c>
      <c r="B229" s="260" t="s">
        <v>2176</v>
      </c>
      <c r="C229" s="327" t="s">
        <v>2168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3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35">
      <c r="A231" s="168" t="s">
        <v>2055</v>
      </c>
      <c r="B231" s="164" t="s">
        <v>2056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3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3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3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3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3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3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3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3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3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3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3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3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3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3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3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3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3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3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3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3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3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3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3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3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3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3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3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3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3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3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3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3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3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3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3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3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3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3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3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3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3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3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3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3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3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3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3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3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35">
      <c r="A280" s="168" t="s">
        <v>2058</v>
      </c>
      <c r="B280" s="164" t="s">
        <v>2059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3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3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3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3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3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3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3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3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3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3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3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3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3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3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3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3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3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3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3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3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3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3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3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3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3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3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3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3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3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3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3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3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3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3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3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3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3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3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3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3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3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3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3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3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3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3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3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3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3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3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3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3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3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3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3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3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3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3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3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3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3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3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3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3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3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3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3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3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35">
      <c r="A349" s="163">
        <v>3562403</v>
      </c>
      <c r="B349" s="260" t="s">
        <v>2170</v>
      </c>
      <c r="C349" s="327" t="s">
        <v>2168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3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3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3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3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3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3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3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3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3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3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3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3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3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3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3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3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3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3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3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3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3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3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3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3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3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3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3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3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3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3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3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3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3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3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3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3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3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3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3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3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3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3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3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3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3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3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3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3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3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3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3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3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35">
      <c r="A402" s="43">
        <v>3562182</v>
      </c>
      <c r="B402" s="43" t="s">
        <v>2072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3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3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35">
      <c r="A405" s="43">
        <v>3562183</v>
      </c>
      <c r="B405" s="43" t="s">
        <v>2073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3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35">
      <c r="A407" s="43">
        <v>3562184</v>
      </c>
      <c r="B407" s="43" t="s">
        <v>2074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3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3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3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35">
      <c r="A411" s="43">
        <v>3562185</v>
      </c>
      <c r="B411" s="43" t="s">
        <v>2075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3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3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3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35">
      <c r="A415" s="43">
        <v>3562186</v>
      </c>
      <c r="B415" s="43" t="s">
        <v>2076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3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3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3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3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3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3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3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3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3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3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3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3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3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3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3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3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3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3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3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3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3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3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3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3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3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3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3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35">
      <c r="A443" s="141">
        <v>8582269</v>
      </c>
      <c r="B443" s="43" t="s">
        <v>2078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3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3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3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3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3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3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3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3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3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3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3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3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3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3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3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35">
      <c r="A459" s="168" t="s">
        <v>2063</v>
      </c>
      <c r="B459" s="164" t="s">
        <v>2064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3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3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3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3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3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3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3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3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3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3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3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3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3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3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3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3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3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3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3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3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3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3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3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3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3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3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3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3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3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3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3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3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3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3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3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3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35">
      <c r="A496" s="163">
        <v>8511740</v>
      </c>
      <c r="B496" s="260" t="s">
        <v>2164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3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3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3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35">
      <c r="A500" s="163">
        <v>8584191</v>
      </c>
      <c r="B500" s="260" t="s">
        <v>2163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35">
      <c r="A501" s="163">
        <v>8584191</v>
      </c>
      <c r="B501" s="260" t="s">
        <v>2163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3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3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3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3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3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3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3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3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3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3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3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3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3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3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3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3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3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3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3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3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3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3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3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3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3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3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3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3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3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3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3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3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3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3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3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3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3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3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3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3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3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3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3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35">
      <c r="A545" s="157">
        <v>8582622</v>
      </c>
      <c r="B545" s="397" t="s">
        <v>2081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3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3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3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3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3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3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3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3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3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3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3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3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3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3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3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3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3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35">
      <c r="A563" s="392">
        <v>8582621</v>
      </c>
      <c r="B563" s="397" t="s">
        <v>2080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3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3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35">
      <c r="A566" s="157">
        <v>8582623</v>
      </c>
      <c r="B566" s="397" t="s">
        <v>2082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3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3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3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3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3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3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3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3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3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3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3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3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3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3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3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3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3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3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3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3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3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3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3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3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3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3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3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3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3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3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3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3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3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3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3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3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3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3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3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3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3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3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3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3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3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3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3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3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3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3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3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3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3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3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3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3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3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3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3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3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3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3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3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3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3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3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3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3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3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3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3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3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3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3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3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3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3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3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3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3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3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3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3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3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3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3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3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3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3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3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3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3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3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3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3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3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3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3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3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3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3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3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3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3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3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3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3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3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3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3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3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3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3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3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3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3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3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3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3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3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3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3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3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3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3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3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3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3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3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3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3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3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3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3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3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3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3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3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3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3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3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3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3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3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3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3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3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3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3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3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3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3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3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3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3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3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3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3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3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3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3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3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3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3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3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3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3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3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3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3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3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3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3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3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3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3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3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3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3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3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3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3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3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3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3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3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3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3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3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3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3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3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3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3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3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3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3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3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3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3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3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3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3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3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3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3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3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3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3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3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3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3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3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3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3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3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3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3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3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3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3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3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3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3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3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3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3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3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3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3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3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3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3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3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3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3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3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3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3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3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3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3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3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3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3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3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3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3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3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3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3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3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3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3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3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3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3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3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3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3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3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3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3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3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3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3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3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3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3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3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3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3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3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3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3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3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3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3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3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3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3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3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3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3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3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3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3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3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3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3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3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3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35">
      <c r="A859" s="77" t="s">
        <v>2217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3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3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3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3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3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3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3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3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3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3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3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3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3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3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3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3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3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3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3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3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3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3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3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3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3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3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3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3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3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3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3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3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3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3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3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3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3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3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3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3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3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3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3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35">
      <c r="A903" s="163">
        <v>8589528</v>
      </c>
      <c r="B903" s="407" t="s">
        <v>2069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3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35">
      <c r="A905" s="163" t="s">
        <v>1943</v>
      </c>
      <c r="B905" s="260" t="s">
        <v>2165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35">
      <c r="A906" s="168" t="s">
        <v>1959</v>
      </c>
      <c r="B906" s="260" t="s">
        <v>2166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35">
      <c r="A907" s="163">
        <v>3562341</v>
      </c>
      <c r="B907" s="260" t="s">
        <v>2167</v>
      </c>
      <c r="C907" s="327" t="s">
        <v>2168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35">
      <c r="A908" s="168" t="s">
        <v>2019</v>
      </c>
      <c r="B908" s="260" t="s">
        <v>2178</v>
      </c>
      <c r="C908" s="327" t="s">
        <v>2168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35">
      <c r="A909" s="168" t="s">
        <v>2065</v>
      </c>
      <c r="B909" s="164" t="s">
        <v>2066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35">
      <c r="A910" s="168" t="s">
        <v>2060</v>
      </c>
      <c r="B910" s="164" t="s">
        <v>2061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3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3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3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3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35">
      <c r="A915" s="163">
        <v>8589524</v>
      </c>
      <c r="B915" s="407" t="s">
        <v>2070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3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3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35">
      <c r="A918" s="168">
        <v>3562409</v>
      </c>
      <c r="B918" s="260" t="s">
        <v>2035</v>
      </c>
      <c r="C918" s="327" t="s">
        <v>2168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3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3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3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3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3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3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3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3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3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3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3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3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3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3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3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3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3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3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3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3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3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3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3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3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3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3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3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3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3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3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3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3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3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3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3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3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3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3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3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3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3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3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3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3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3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3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3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3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3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3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3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3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3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3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3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3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3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3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3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3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3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3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3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3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3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3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3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3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3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3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3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3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3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3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3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3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3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3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3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3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3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3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3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3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3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3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3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3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3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3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3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3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3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3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3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3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3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3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3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3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3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3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3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3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3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3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3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3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3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3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3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3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3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3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3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3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3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3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3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3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3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3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3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3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3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3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3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3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3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3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3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3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3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3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3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3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3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3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3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3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3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3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3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3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3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3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3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3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3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3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3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3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3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3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3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3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3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3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3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3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3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3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3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3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3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3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3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3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3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3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3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3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3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3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3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3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3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3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3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3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3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3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3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3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3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3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3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3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3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3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3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3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3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3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3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3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3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3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3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3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3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3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3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3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3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3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3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3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3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3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3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3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3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3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3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3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3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3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3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3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3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3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3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3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3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3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3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3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3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3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3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3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3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3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3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3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3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3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3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3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3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3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3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3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3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3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3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3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3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3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3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3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3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3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3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3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3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3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3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3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3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3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3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3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3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3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3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3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3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3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3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3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3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3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3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3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3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3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3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3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3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3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3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3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3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3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3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3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3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3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3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3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3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3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3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3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3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3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3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3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3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3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3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3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3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3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3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3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3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3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3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3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3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3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3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3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3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3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3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3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3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3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3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3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3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3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3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3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3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3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3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3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3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3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3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3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3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3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3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3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3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3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3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3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3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3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3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3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3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3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3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3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3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3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3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3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3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3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3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3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3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3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3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3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3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3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3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3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3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3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3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3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3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3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3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35">
      <c r="A1294" s="422">
        <v>8591439</v>
      </c>
      <c r="B1294" s="426" t="s">
        <v>2243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35">
      <c r="A1295" s="422">
        <v>8592789</v>
      </c>
      <c r="B1295" s="426" t="s">
        <v>2220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35">
      <c r="A1296" s="422">
        <v>8592062</v>
      </c>
      <c r="B1296" s="426" t="s">
        <v>2221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35">
      <c r="A1297" s="424">
        <v>8591563</v>
      </c>
      <c r="B1297" s="426" t="s">
        <v>2244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35">
      <c r="A1298" s="422">
        <v>8591435</v>
      </c>
      <c r="B1298" s="426" t="s">
        <v>2223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35">
      <c r="A1299" s="422">
        <v>3562475</v>
      </c>
      <c r="B1299" s="426" t="s">
        <v>2245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35">
      <c r="A1300" s="422">
        <v>3562478</v>
      </c>
      <c r="B1300" s="426" t="s">
        <v>2246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35">
      <c r="A1301" s="422">
        <v>3558013</v>
      </c>
      <c r="B1301" s="426" t="s">
        <v>2247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35">
      <c r="A1302" s="422">
        <v>8580119</v>
      </c>
      <c r="B1302" s="426" t="s">
        <v>2248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35">
      <c r="A1303" s="422">
        <v>8501422</v>
      </c>
      <c r="B1303" s="426" t="s">
        <v>2249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35">
      <c r="A1304" s="422">
        <v>8514033</v>
      </c>
      <c r="B1304" s="426" t="s">
        <v>2250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35">
      <c r="A1305" s="422">
        <v>1091008</v>
      </c>
      <c r="B1305" s="426" t="s">
        <v>2251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35">
      <c r="A1306" s="422">
        <v>1203352</v>
      </c>
      <c r="B1306" s="426" t="s">
        <v>2252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35">
      <c r="A1307" s="422">
        <v>8591560</v>
      </c>
      <c r="B1307" s="426" t="s">
        <v>2253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35">
      <c r="A1308" s="422">
        <v>8592165</v>
      </c>
      <c r="B1308" s="426" t="s">
        <v>2241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35">
      <c r="A1309" s="422">
        <v>8592166</v>
      </c>
      <c r="B1309" s="426" t="s">
        <v>2242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35">
      <c r="A1310" s="198">
        <v>4026118</v>
      </c>
      <c r="B1310" s="32" t="s">
        <v>2256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35">
      <c r="A1311" s="198">
        <v>4026121</v>
      </c>
      <c r="B1311" s="32" t="s">
        <v>2257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35">
      <c r="A1312" s="168"/>
      <c r="B1312" s="168"/>
      <c r="C1312" s="168"/>
      <c r="D1312" s="168"/>
      <c r="E1312" s="168"/>
    </row>
    <row r="1313" spans="1:5" x14ac:dyDescent="0.3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35">
      <c r="A1314" s="183"/>
      <c r="B1314" s="294"/>
      <c r="C1314" s="301"/>
      <c r="D1314" s="295"/>
      <c r="E1314" s="295"/>
    </row>
    <row r="1315" spans="1:5" x14ac:dyDescent="0.35">
      <c r="A1315" s="183"/>
      <c r="B1315" s="294"/>
      <c r="C1315" s="301"/>
      <c r="D1315" s="295"/>
      <c r="E1315" s="295"/>
    </row>
    <row r="1316" spans="1:5" x14ac:dyDescent="0.35">
      <c r="A1316" s="183"/>
      <c r="B1316" s="294"/>
      <c r="C1316" s="301"/>
      <c r="D1316" s="295"/>
      <c r="E1316" s="295"/>
    </row>
    <row r="1317" spans="1:5" x14ac:dyDescent="0.35">
      <c r="A1317" s="183"/>
      <c r="B1317" s="294"/>
      <c r="C1317" s="301"/>
      <c r="D1317" s="295"/>
      <c r="E1317" s="295"/>
    </row>
    <row r="1318" spans="1:5" ht="13.5" customHeight="1" x14ac:dyDescent="0.35">
      <c r="A1318" s="183"/>
      <c r="B1318" s="294"/>
      <c r="C1318" s="301"/>
      <c r="D1318" s="295"/>
      <c r="E1318" s="295"/>
    </row>
    <row r="1319" spans="1:5" x14ac:dyDescent="0.35">
      <c r="A1319" s="183"/>
      <c r="B1319" s="294"/>
      <c r="C1319" s="301"/>
      <c r="D1319" s="295"/>
      <c r="E1319" s="295"/>
    </row>
    <row r="1320" spans="1:5" x14ac:dyDescent="0.35">
      <c r="A1320" s="183"/>
      <c r="B1320" s="294"/>
      <c r="C1320" s="301"/>
      <c r="D1320" s="295"/>
      <c r="E1320" s="295"/>
    </row>
    <row r="1321" spans="1:5" x14ac:dyDescent="0.35">
      <c r="A1321" s="183"/>
      <c r="B1321" s="294"/>
      <c r="C1321" s="301"/>
      <c r="D1321" s="295"/>
      <c r="E1321" s="295"/>
    </row>
    <row r="1322" spans="1:5" x14ac:dyDescent="0.35">
      <c r="A1322" s="183"/>
      <c r="B1322" s="294"/>
      <c r="C1322" s="301"/>
      <c r="D1322" s="295"/>
      <c r="E1322" s="295"/>
    </row>
    <row r="1323" spans="1:5" x14ac:dyDescent="0.35">
      <c r="A1323" s="183"/>
      <c r="B1323" s="294"/>
      <c r="C1323" s="301"/>
      <c r="D1323" s="295"/>
      <c r="E1323" s="295"/>
    </row>
    <row r="1324" spans="1:5" x14ac:dyDescent="0.35">
      <c r="A1324" s="183"/>
      <c r="B1324" s="294"/>
      <c r="C1324" s="301"/>
      <c r="D1324" s="295"/>
      <c r="E1324" s="295"/>
    </row>
    <row r="1325" spans="1:5" x14ac:dyDescent="0.35">
      <c r="A1325" s="183"/>
      <c r="B1325" s="294"/>
      <c r="C1325" s="301"/>
      <c r="D1325" s="295"/>
      <c r="E1325" s="295"/>
    </row>
    <row r="1326" spans="1:5" x14ac:dyDescent="0.35">
      <c r="A1326" s="183"/>
      <c r="B1326" s="294"/>
      <c r="C1326" s="301"/>
      <c r="D1326" s="295"/>
      <c r="E1326" s="295"/>
    </row>
    <row r="1327" spans="1:5" x14ac:dyDescent="0.35">
      <c r="A1327" s="183"/>
      <c r="B1327" s="294"/>
      <c r="C1327" s="301"/>
      <c r="D1327" s="295"/>
      <c r="E1327" s="295"/>
    </row>
    <row r="1328" spans="1:5" x14ac:dyDescent="0.35">
      <c r="A1328" s="183"/>
      <c r="B1328" s="294"/>
      <c r="C1328" s="301"/>
      <c r="D1328" s="295"/>
      <c r="E1328" s="295"/>
    </row>
    <row r="1329" spans="1:5" x14ac:dyDescent="0.35">
      <c r="A1329" s="183"/>
      <c r="B1329" s="294"/>
      <c r="C1329" s="301"/>
      <c r="D1329" s="295"/>
      <c r="E1329" s="295"/>
    </row>
    <row r="1330" spans="1:5" x14ac:dyDescent="0.35">
      <c r="A1330" s="183"/>
      <c r="B1330" s="294"/>
      <c r="C1330" s="301"/>
      <c r="D1330" s="295"/>
      <c r="E1330" s="295"/>
    </row>
    <row r="1331" spans="1:5" x14ac:dyDescent="0.35">
      <c r="A1331" s="183"/>
      <c r="B1331" s="294"/>
      <c r="C1331" s="301"/>
      <c r="D1331" s="295"/>
      <c r="E1331" s="295"/>
    </row>
    <row r="1332" spans="1:5" x14ac:dyDescent="0.35">
      <c r="A1332" s="183"/>
      <c r="B1332" s="294"/>
      <c r="C1332" s="301"/>
      <c r="D1332" s="295"/>
      <c r="E1332" s="295"/>
    </row>
    <row r="1333" spans="1:5" x14ac:dyDescent="0.35">
      <c r="A1333" s="183"/>
      <c r="B1333" s="294"/>
      <c r="C1333" s="301"/>
      <c r="D1333" s="295"/>
      <c r="E1333" s="295"/>
    </row>
    <row r="1334" spans="1:5" x14ac:dyDescent="0.35">
      <c r="A1334" s="183"/>
      <c r="B1334" s="294"/>
      <c r="C1334" s="301"/>
      <c r="D1334" s="295"/>
      <c r="E1334" s="295"/>
    </row>
    <row r="1335" spans="1:5" x14ac:dyDescent="0.35">
      <c r="A1335" s="183"/>
      <c r="B1335" s="294"/>
      <c r="C1335" s="301"/>
      <c r="D1335" s="295"/>
      <c r="E1335" s="295"/>
    </row>
    <row r="1336" spans="1:5" x14ac:dyDescent="0.35">
      <c r="A1336" s="183"/>
      <c r="B1336" s="294"/>
      <c r="C1336" s="301"/>
      <c r="D1336" s="295"/>
      <c r="E1336" s="295"/>
    </row>
    <row r="1337" spans="1:5" x14ac:dyDescent="0.35">
      <c r="A1337" s="183"/>
      <c r="B1337" s="294"/>
      <c r="C1337" s="301"/>
      <c r="D1337" s="295"/>
      <c r="E1337" s="295"/>
    </row>
    <row r="1338" spans="1:5" x14ac:dyDescent="0.35">
      <c r="A1338" s="183"/>
      <c r="B1338" s="294"/>
      <c r="C1338" s="301"/>
      <c r="D1338" s="295"/>
      <c r="E1338" s="295"/>
    </row>
    <row r="1339" spans="1:5" x14ac:dyDescent="0.35">
      <c r="A1339" s="183"/>
      <c r="B1339" s="294"/>
      <c r="C1339" s="301"/>
      <c r="D1339" s="295"/>
      <c r="E1339" s="295"/>
    </row>
    <row r="1340" spans="1:5" x14ac:dyDescent="0.35">
      <c r="A1340" s="183"/>
      <c r="B1340" s="294"/>
      <c r="C1340" s="301"/>
      <c r="D1340" s="295"/>
      <c r="E1340" s="295"/>
    </row>
    <row r="1341" spans="1:5" x14ac:dyDescent="0.35">
      <c r="A1341" s="183"/>
      <c r="B1341" s="294"/>
      <c r="C1341" s="301"/>
      <c r="D1341" s="295"/>
      <c r="E1341" s="295"/>
    </row>
    <row r="1342" spans="1:5" x14ac:dyDescent="0.35">
      <c r="A1342" s="183"/>
      <c r="B1342" s="294"/>
      <c r="C1342" s="301"/>
      <c r="D1342" s="295"/>
      <c r="E1342" s="295"/>
    </row>
    <row r="1343" spans="1:5" x14ac:dyDescent="0.35">
      <c r="A1343" s="183"/>
      <c r="B1343" s="294"/>
      <c r="C1343" s="301"/>
      <c r="D1343" s="295"/>
      <c r="E1343" s="295"/>
    </row>
    <row r="1344" spans="1:5" x14ac:dyDescent="0.35">
      <c r="A1344" s="183"/>
      <c r="B1344" s="294"/>
      <c r="C1344" s="301"/>
      <c r="D1344" s="295"/>
      <c r="E1344" s="295"/>
    </row>
    <row r="1345" spans="1:5" x14ac:dyDescent="0.35">
      <c r="A1345" s="183"/>
      <c r="B1345" s="294"/>
      <c r="C1345" s="301"/>
      <c r="D1345" s="295"/>
      <c r="E1345" s="295"/>
    </row>
    <row r="1346" spans="1:5" x14ac:dyDescent="0.35">
      <c r="A1346" s="183"/>
      <c r="B1346" s="294"/>
      <c r="C1346" s="301"/>
      <c r="D1346" s="295"/>
      <c r="E1346" s="295"/>
    </row>
    <row r="1347" spans="1:5" x14ac:dyDescent="0.35">
      <c r="A1347" s="183"/>
      <c r="B1347" s="294"/>
      <c r="C1347" s="301"/>
      <c r="D1347" s="295"/>
      <c r="E1347" s="295"/>
    </row>
    <row r="1348" spans="1:5" x14ac:dyDescent="0.35">
      <c r="A1348" s="183"/>
      <c r="B1348" s="294"/>
      <c r="C1348" s="301"/>
      <c r="D1348" s="295"/>
      <c r="E1348" s="295"/>
    </row>
    <row r="1349" spans="1:5" x14ac:dyDescent="0.35">
      <c r="A1349" s="183"/>
      <c r="B1349" s="294"/>
      <c r="C1349" s="301"/>
      <c r="D1349" s="295"/>
      <c r="E1349" s="295"/>
    </row>
    <row r="1350" spans="1:5" x14ac:dyDescent="0.35">
      <c r="A1350" s="183"/>
      <c r="B1350" s="294"/>
      <c r="C1350" s="301"/>
      <c r="D1350" s="295"/>
      <c r="E1350" s="295"/>
    </row>
    <row r="1351" spans="1:5" x14ac:dyDescent="0.35">
      <c r="A1351" s="183"/>
      <c r="B1351" s="294"/>
      <c r="C1351" s="301"/>
      <c r="D1351" s="295"/>
      <c r="E1351" s="295"/>
    </row>
    <row r="1352" spans="1:5" x14ac:dyDescent="0.35">
      <c r="A1352" s="183"/>
      <c r="B1352" s="294"/>
      <c r="C1352" s="301"/>
      <c r="D1352" s="295"/>
      <c r="E1352" s="295"/>
    </row>
    <row r="1353" spans="1:5" x14ac:dyDescent="0.35">
      <c r="A1353" s="183"/>
      <c r="B1353" s="294"/>
      <c r="C1353" s="301"/>
      <c r="D1353" s="295"/>
      <c r="E1353" s="295"/>
    </row>
    <row r="1354" spans="1:5" x14ac:dyDescent="0.35">
      <c r="A1354" s="183"/>
      <c r="B1354" s="294"/>
      <c r="C1354" s="301"/>
      <c r="D1354" s="295"/>
      <c r="E1354" s="295"/>
    </row>
    <row r="1355" spans="1:5" x14ac:dyDescent="0.35">
      <c r="A1355" s="183"/>
      <c r="B1355" s="294"/>
      <c r="C1355" s="301"/>
      <c r="D1355" s="295"/>
      <c r="E1355" s="295"/>
    </row>
    <row r="1356" spans="1:5" x14ac:dyDescent="0.35">
      <c r="A1356" s="183"/>
      <c r="B1356" s="294"/>
      <c r="C1356" s="301"/>
      <c r="D1356" s="295"/>
      <c r="E1356" s="295"/>
    </row>
    <row r="1357" spans="1:5" x14ac:dyDescent="0.35">
      <c r="A1357" s="183"/>
      <c r="B1357" s="294"/>
      <c r="C1357" s="301"/>
      <c r="D1357" s="295"/>
      <c r="E1357" s="295"/>
    </row>
    <row r="1358" spans="1:5" x14ac:dyDescent="0.35">
      <c r="A1358" s="183"/>
      <c r="B1358" s="294"/>
      <c r="C1358" s="301"/>
      <c r="D1358" s="295"/>
      <c r="E1358" s="295"/>
    </row>
    <row r="1359" spans="1:5" x14ac:dyDescent="0.35">
      <c r="A1359" s="183"/>
      <c r="B1359" s="294"/>
      <c r="C1359" s="301"/>
      <c r="D1359" s="295"/>
      <c r="E1359" s="295"/>
    </row>
    <row r="1360" spans="1:5" x14ac:dyDescent="0.35">
      <c r="A1360" s="183"/>
      <c r="B1360" s="294"/>
      <c r="C1360" s="301"/>
      <c r="D1360" s="295"/>
      <c r="E1360" s="295"/>
    </row>
    <row r="1361" spans="1:5" x14ac:dyDescent="0.35">
      <c r="A1361" s="183"/>
      <c r="B1361" s="294"/>
      <c r="C1361" s="301"/>
      <c r="D1361" s="295"/>
      <c r="E1361" s="295"/>
    </row>
    <row r="1362" spans="1:5" x14ac:dyDescent="0.35">
      <c r="A1362" s="183"/>
      <c r="B1362" s="294"/>
      <c r="C1362" s="301"/>
      <c r="D1362" s="295"/>
      <c r="E1362" s="295"/>
    </row>
    <row r="1363" spans="1:5" x14ac:dyDescent="0.35">
      <c r="A1363" s="183"/>
      <c r="B1363" s="294"/>
      <c r="C1363" s="301"/>
      <c r="D1363" s="295"/>
      <c r="E1363" s="295"/>
    </row>
    <row r="1364" spans="1:5" x14ac:dyDescent="0.35">
      <c r="A1364" s="183"/>
      <c r="B1364" s="294"/>
      <c r="C1364" s="301"/>
      <c r="D1364" s="295"/>
      <c r="E1364" s="295"/>
    </row>
    <row r="1365" spans="1:5" x14ac:dyDescent="0.35">
      <c r="A1365" s="183"/>
      <c r="B1365" s="294"/>
      <c r="C1365" s="301"/>
      <c r="D1365" s="295"/>
      <c r="E1365" s="295"/>
    </row>
    <row r="1366" spans="1:5" x14ac:dyDescent="0.35">
      <c r="A1366" s="183"/>
      <c r="B1366" s="294"/>
      <c r="C1366" s="301"/>
      <c r="D1366" s="295"/>
      <c r="E1366" s="295"/>
    </row>
    <row r="1367" spans="1:5" x14ac:dyDescent="0.35">
      <c r="A1367" s="183"/>
      <c r="B1367" s="294"/>
      <c r="C1367" s="301"/>
      <c r="D1367" s="295"/>
      <c r="E1367" s="295"/>
    </row>
    <row r="1368" spans="1:5" x14ac:dyDescent="0.35">
      <c r="A1368" s="183"/>
      <c r="B1368" s="294"/>
      <c r="C1368" s="301"/>
      <c r="D1368" s="295"/>
      <c r="E1368" s="295"/>
    </row>
    <row r="1369" spans="1:5" x14ac:dyDescent="0.35">
      <c r="A1369" s="183"/>
      <c r="B1369" s="294"/>
      <c r="C1369" s="301"/>
      <c r="D1369" s="295"/>
      <c r="E1369" s="295"/>
    </row>
    <row r="1370" spans="1:5" x14ac:dyDescent="0.3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 xr:uid="{B3C1BFC3-433B-4190-8A23-562ABEC2913F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7F85-2A24-4C05-BA13-D90E59E33D63}">
  <sheetPr codeName="Sheet15"/>
  <dimension ref="A4:C364"/>
  <sheetViews>
    <sheetView topLeftCell="A53" workbookViewId="0">
      <selection activeCell="A17" sqref="A17"/>
    </sheetView>
  </sheetViews>
  <sheetFormatPr defaultColWidth="8.7265625" defaultRowHeight="14.5" x14ac:dyDescent="0.35"/>
  <cols>
    <col min="1" max="1" width="115.1796875" style="83" bestFit="1" customWidth="1"/>
  </cols>
  <sheetData>
    <row r="4" spans="1:1" ht="21" x14ac:dyDescent="0.5">
      <c r="A4" s="156" t="s">
        <v>1879</v>
      </c>
    </row>
    <row r="8" spans="1:1" x14ac:dyDescent="0.35">
      <c r="A8" s="83" t="s">
        <v>57</v>
      </c>
    </row>
    <row r="15" spans="1:1" x14ac:dyDescent="0.35">
      <c r="A15"/>
    </row>
    <row r="16" spans="1:1" ht="19" thickBot="1" x14ac:dyDescent="0.5">
      <c r="A16" s="153" t="s">
        <v>12</v>
      </c>
    </row>
    <row r="17" spans="1:3" ht="23.5" customHeight="1" x14ac:dyDescent="0.35">
      <c r="A17" s="84"/>
      <c r="C17" s="428"/>
    </row>
    <row r="18" spans="1:3" x14ac:dyDescent="0.35">
      <c r="A18" s="85"/>
    </row>
    <row r="19" spans="1:3" x14ac:dyDescent="0.35">
      <c r="A19" s="85"/>
    </row>
    <row r="20" spans="1:3" ht="21" x14ac:dyDescent="0.5">
      <c r="A20" s="154" t="s">
        <v>1825</v>
      </c>
    </row>
    <row r="21" spans="1:3" x14ac:dyDescent="0.35">
      <c r="A21" s="85"/>
    </row>
    <row r="22" spans="1:3" x14ac:dyDescent="0.35">
      <c r="A22" s="85"/>
    </row>
    <row r="23" spans="1:3" x14ac:dyDescent="0.35">
      <c r="A23" s="85"/>
    </row>
    <row r="24" spans="1:3" x14ac:dyDescent="0.35">
      <c r="A24" s="85"/>
    </row>
    <row r="25" spans="1:3" x14ac:dyDescent="0.35">
      <c r="A25" s="85"/>
    </row>
    <row r="26" spans="1:3" x14ac:dyDescent="0.35">
      <c r="A26" s="85"/>
    </row>
    <row r="27" spans="1:3" x14ac:dyDescent="0.35">
      <c r="A27" s="85"/>
    </row>
    <row r="28" spans="1:3" x14ac:dyDescent="0.35">
      <c r="A28" s="85"/>
    </row>
    <row r="29" spans="1:3" x14ac:dyDescent="0.35">
      <c r="A29" s="85"/>
    </row>
    <row r="30" spans="1:3" x14ac:dyDescent="0.35">
      <c r="A30" s="85"/>
    </row>
    <row r="31" spans="1:3" x14ac:dyDescent="0.35">
      <c r="A31" s="85"/>
    </row>
    <row r="32" spans="1:3" x14ac:dyDescent="0.35">
      <c r="A32" s="85"/>
    </row>
    <row r="33" spans="1:1" x14ac:dyDescent="0.35">
      <c r="A33" s="85"/>
    </row>
    <row r="34" spans="1:1" x14ac:dyDescent="0.35">
      <c r="A34" s="85"/>
    </row>
    <row r="35" spans="1:1" x14ac:dyDescent="0.35">
      <c r="A35" s="85"/>
    </row>
    <row r="36" spans="1:1" x14ac:dyDescent="0.35">
      <c r="A36" s="85"/>
    </row>
    <row r="37" spans="1:1" x14ac:dyDescent="0.35">
      <c r="A37" s="85"/>
    </row>
    <row r="38" spans="1:1" x14ac:dyDescent="0.35">
      <c r="A38" s="85"/>
    </row>
    <row r="39" spans="1:1" x14ac:dyDescent="0.35">
      <c r="A39" s="85"/>
    </row>
    <row r="40" spans="1:1" x14ac:dyDescent="0.35">
      <c r="A40" s="85"/>
    </row>
    <row r="41" spans="1:1" x14ac:dyDescent="0.35">
      <c r="A41" s="85"/>
    </row>
    <row r="42" spans="1:1" x14ac:dyDescent="0.35">
      <c r="A42" s="85"/>
    </row>
    <row r="43" spans="1:1" x14ac:dyDescent="0.35">
      <c r="A43" s="85"/>
    </row>
    <row r="44" spans="1:1" x14ac:dyDescent="0.35">
      <c r="A44" s="85"/>
    </row>
    <row r="45" spans="1:1" x14ac:dyDescent="0.35">
      <c r="A45" s="85"/>
    </row>
    <row r="46" spans="1:1" x14ac:dyDescent="0.35">
      <c r="A46" s="85"/>
    </row>
    <row r="47" spans="1:1" x14ac:dyDescent="0.35">
      <c r="A47" s="85"/>
    </row>
    <row r="48" spans="1:1" x14ac:dyDescent="0.35">
      <c r="A48" s="85"/>
    </row>
    <row r="49" spans="1:1" x14ac:dyDescent="0.35">
      <c r="A49" s="85"/>
    </row>
    <row r="50" spans="1:1" x14ac:dyDescent="0.35">
      <c r="A50" s="85"/>
    </row>
    <row r="51" spans="1:1" x14ac:dyDescent="0.35">
      <c r="A51" s="85"/>
    </row>
    <row r="52" spans="1:1" x14ac:dyDescent="0.35">
      <c r="A52" s="85"/>
    </row>
    <row r="53" spans="1:1" x14ac:dyDescent="0.35">
      <c r="A53" s="85"/>
    </row>
    <row r="54" spans="1:1" x14ac:dyDescent="0.35">
      <c r="A54" s="85"/>
    </row>
    <row r="55" spans="1:1" x14ac:dyDescent="0.35">
      <c r="A55" s="85"/>
    </row>
    <row r="56" spans="1:1" x14ac:dyDescent="0.35">
      <c r="A56" s="85"/>
    </row>
    <row r="57" spans="1:1" x14ac:dyDescent="0.35">
      <c r="A57" s="85"/>
    </row>
    <row r="58" spans="1:1" x14ac:dyDescent="0.35">
      <c r="A58" s="85"/>
    </row>
    <row r="59" spans="1:1" x14ac:dyDescent="0.35">
      <c r="A59" s="85"/>
    </row>
    <row r="60" spans="1:1" x14ac:dyDescent="0.35">
      <c r="A60" s="85"/>
    </row>
    <row r="61" spans="1:1" x14ac:dyDescent="0.35">
      <c r="A61" s="85"/>
    </row>
    <row r="62" spans="1:1" x14ac:dyDescent="0.35">
      <c r="A62" s="85"/>
    </row>
    <row r="63" spans="1:1" x14ac:dyDescent="0.35">
      <c r="A63" s="85"/>
    </row>
    <row r="64" spans="1:1" x14ac:dyDescent="0.35">
      <c r="A64" s="85"/>
    </row>
    <row r="65" spans="1:1" x14ac:dyDescent="0.35">
      <c r="A65" s="85"/>
    </row>
    <row r="66" spans="1:1" x14ac:dyDescent="0.35">
      <c r="A66" s="85"/>
    </row>
    <row r="67" spans="1:1" x14ac:dyDescent="0.35">
      <c r="A67" s="85"/>
    </row>
    <row r="68" spans="1:1" x14ac:dyDescent="0.35">
      <c r="A68" s="85"/>
    </row>
    <row r="69" spans="1:1" x14ac:dyDescent="0.35">
      <c r="A69" s="85"/>
    </row>
    <row r="70" spans="1:1" x14ac:dyDescent="0.35">
      <c r="A70" s="85"/>
    </row>
    <row r="71" spans="1:1" x14ac:dyDescent="0.35">
      <c r="A71" s="85"/>
    </row>
    <row r="72" spans="1:1" x14ac:dyDescent="0.35">
      <c r="A72" s="85"/>
    </row>
    <row r="73" spans="1:1" x14ac:dyDescent="0.35">
      <c r="A73" s="85"/>
    </row>
    <row r="74" spans="1:1" x14ac:dyDescent="0.35">
      <c r="A74" s="85"/>
    </row>
    <row r="75" spans="1:1" x14ac:dyDescent="0.35">
      <c r="A75" s="85"/>
    </row>
    <row r="76" spans="1:1" x14ac:dyDescent="0.35">
      <c r="A76" s="85"/>
    </row>
    <row r="77" spans="1:1" x14ac:dyDescent="0.35">
      <c r="A77" s="85"/>
    </row>
    <row r="78" spans="1:1" x14ac:dyDescent="0.35">
      <c r="A78" s="85"/>
    </row>
    <row r="79" spans="1:1" x14ac:dyDescent="0.35">
      <c r="A79" s="85"/>
    </row>
    <row r="80" spans="1:1" x14ac:dyDescent="0.35">
      <c r="A80" s="85"/>
    </row>
    <row r="81" spans="1:1" x14ac:dyDescent="0.35">
      <c r="A81" s="85"/>
    </row>
    <row r="82" spans="1:1" x14ac:dyDescent="0.35">
      <c r="A82" s="85"/>
    </row>
    <row r="83" spans="1:1" x14ac:dyDescent="0.35">
      <c r="A83" s="85"/>
    </row>
    <row r="84" spans="1:1" x14ac:dyDescent="0.35">
      <c r="A84" s="85"/>
    </row>
    <row r="85" spans="1:1" x14ac:dyDescent="0.35">
      <c r="A85" s="85"/>
    </row>
    <row r="86" spans="1:1" x14ac:dyDescent="0.35">
      <c r="A86" s="85"/>
    </row>
    <row r="87" spans="1:1" x14ac:dyDescent="0.35">
      <c r="A87" s="85"/>
    </row>
    <row r="88" spans="1:1" x14ac:dyDescent="0.35">
      <c r="A88" s="85"/>
    </row>
    <row r="89" spans="1:1" x14ac:dyDescent="0.35">
      <c r="A89" s="85"/>
    </row>
    <row r="90" spans="1:1" x14ac:dyDescent="0.35">
      <c r="A90" s="85"/>
    </row>
    <row r="91" spans="1:1" x14ac:dyDescent="0.35">
      <c r="A91" s="85"/>
    </row>
    <row r="92" spans="1:1" x14ac:dyDescent="0.35">
      <c r="A92" s="85"/>
    </row>
    <row r="93" spans="1:1" x14ac:dyDescent="0.35">
      <c r="A93" s="85"/>
    </row>
    <row r="94" spans="1:1" x14ac:dyDescent="0.35">
      <c r="A94" s="85"/>
    </row>
    <row r="95" spans="1:1" x14ac:dyDescent="0.35">
      <c r="A95" s="85"/>
    </row>
    <row r="96" spans="1:1" x14ac:dyDescent="0.35">
      <c r="A96" s="85"/>
    </row>
    <row r="97" spans="1:1" x14ac:dyDescent="0.35">
      <c r="A97" s="85"/>
    </row>
    <row r="98" spans="1:1" x14ac:dyDescent="0.35">
      <c r="A98" s="85"/>
    </row>
    <row r="99" spans="1:1" x14ac:dyDescent="0.35">
      <c r="A99" s="85"/>
    </row>
    <row r="100" spans="1:1" x14ac:dyDescent="0.35">
      <c r="A100" s="85"/>
    </row>
    <row r="101" spans="1:1" x14ac:dyDescent="0.35">
      <c r="A101" s="85"/>
    </row>
    <row r="102" spans="1:1" x14ac:dyDescent="0.35">
      <c r="A102" s="85"/>
    </row>
    <row r="103" spans="1:1" x14ac:dyDescent="0.35">
      <c r="A103" s="85"/>
    </row>
    <row r="104" spans="1:1" x14ac:dyDescent="0.35">
      <c r="A104" s="85"/>
    </row>
    <row r="105" spans="1:1" x14ac:dyDescent="0.35">
      <c r="A105" s="85"/>
    </row>
    <row r="106" spans="1:1" x14ac:dyDescent="0.35">
      <c r="A106" s="85"/>
    </row>
    <row r="107" spans="1:1" x14ac:dyDescent="0.35">
      <c r="A107" s="85"/>
    </row>
    <row r="108" spans="1:1" x14ac:dyDescent="0.35">
      <c r="A108" s="85"/>
    </row>
    <row r="109" spans="1:1" x14ac:dyDescent="0.35">
      <c r="A109" s="85"/>
    </row>
    <row r="110" spans="1:1" x14ac:dyDescent="0.35">
      <c r="A110" s="85"/>
    </row>
    <row r="111" spans="1:1" x14ac:dyDescent="0.35">
      <c r="A111" s="85"/>
    </row>
    <row r="112" spans="1:1" x14ac:dyDescent="0.35">
      <c r="A112" s="85"/>
    </row>
    <row r="113" spans="1:1" x14ac:dyDescent="0.35">
      <c r="A113" s="85"/>
    </row>
    <row r="114" spans="1:1" x14ac:dyDescent="0.35">
      <c r="A114" s="85"/>
    </row>
    <row r="115" spans="1:1" x14ac:dyDescent="0.35">
      <c r="A115" s="85"/>
    </row>
    <row r="116" spans="1:1" ht="21" x14ac:dyDescent="0.5">
      <c r="A116" s="154"/>
    </row>
    <row r="117" spans="1:1" x14ac:dyDescent="0.35">
      <c r="A117" s="89"/>
    </row>
    <row r="118" spans="1:1" x14ac:dyDescent="0.35">
      <c r="A118" s="89"/>
    </row>
    <row r="119" spans="1:1" x14ac:dyDescent="0.35">
      <c r="A119" s="89"/>
    </row>
    <row r="120" spans="1:1" x14ac:dyDescent="0.35">
      <c r="A120" s="89"/>
    </row>
    <row r="121" spans="1:1" x14ac:dyDescent="0.35">
      <c r="A121" s="89"/>
    </row>
    <row r="122" spans="1:1" x14ac:dyDescent="0.35">
      <c r="A122" s="89"/>
    </row>
    <row r="123" spans="1:1" x14ac:dyDescent="0.35">
      <c r="A123" s="89"/>
    </row>
    <row r="124" spans="1:1" x14ac:dyDescent="0.35">
      <c r="A124" s="89"/>
    </row>
    <row r="125" spans="1:1" x14ac:dyDescent="0.35">
      <c r="A125" s="89"/>
    </row>
    <row r="126" spans="1:1" x14ac:dyDescent="0.35">
      <c r="A126" s="89"/>
    </row>
    <row r="127" spans="1:1" ht="21" x14ac:dyDescent="0.5">
      <c r="A127" s="154"/>
    </row>
    <row r="128" spans="1:1" x14ac:dyDescent="0.35">
      <c r="A128" s="320"/>
    </row>
    <row r="129" spans="1:1" x14ac:dyDescent="0.35">
      <c r="A129" s="320"/>
    </row>
    <row r="130" spans="1:1" x14ac:dyDescent="0.35">
      <c r="A130" s="320"/>
    </row>
    <row r="131" spans="1:1" x14ac:dyDescent="0.35">
      <c r="A131" s="320"/>
    </row>
    <row r="132" spans="1:1" x14ac:dyDescent="0.35">
      <c r="A132" s="320"/>
    </row>
    <row r="133" spans="1:1" x14ac:dyDescent="0.35">
      <c r="A133" s="320"/>
    </row>
    <row r="134" spans="1:1" x14ac:dyDescent="0.35">
      <c r="A134" s="320"/>
    </row>
    <row r="135" spans="1:1" x14ac:dyDescent="0.35">
      <c r="A135" s="320"/>
    </row>
    <row r="136" spans="1:1" x14ac:dyDescent="0.35">
      <c r="A136" s="320"/>
    </row>
    <row r="137" spans="1:1" x14ac:dyDescent="0.35">
      <c r="A137" s="320"/>
    </row>
    <row r="138" spans="1:1" x14ac:dyDescent="0.35">
      <c r="A138" s="320"/>
    </row>
    <row r="139" spans="1:1" x14ac:dyDescent="0.35">
      <c r="A139" s="320"/>
    </row>
    <row r="140" spans="1:1" x14ac:dyDescent="0.35">
      <c r="A140" s="320"/>
    </row>
    <row r="141" spans="1:1" x14ac:dyDescent="0.35">
      <c r="A141" s="320"/>
    </row>
    <row r="142" spans="1:1" x14ac:dyDescent="0.35">
      <c r="A142" s="320"/>
    </row>
    <row r="143" spans="1:1" x14ac:dyDescent="0.35">
      <c r="A143" s="320"/>
    </row>
    <row r="144" spans="1:1" x14ac:dyDescent="0.35">
      <c r="A144" s="320"/>
    </row>
    <row r="145" spans="1:1" x14ac:dyDescent="0.35">
      <c r="A145" s="320"/>
    </row>
    <row r="146" spans="1:1" x14ac:dyDescent="0.35">
      <c r="A146" s="320"/>
    </row>
    <row r="147" spans="1:1" x14ac:dyDescent="0.35">
      <c r="A147" s="320"/>
    </row>
    <row r="148" spans="1:1" x14ac:dyDescent="0.35">
      <c r="A148" s="320"/>
    </row>
    <row r="149" spans="1:1" x14ac:dyDescent="0.35">
      <c r="A149" s="320"/>
    </row>
    <row r="150" spans="1:1" x14ac:dyDescent="0.35">
      <c r="A150" s="320"/>
    </row>
    <row r="151" spans="1:1" x14ac:dyDescent="0.35">
      <c r="A151" s="320"/>
    </row>
    <row r="152" spans="1:1" x14ac:dyDescent="0.35">
      <c r="A152" s="320"/>
    </row>
    <row r="153" spans="1:1" x14ac:dyDescent="0.35">
      <c r="A153" s="320"/>
    </row>
    <row r="154" spans="1:1" x14ac:dyDescent="0.35">
      <c r="A154" s="320"/>
    </row>
    <row r="155" spans="1:1" x14ac:dyDescent="0.35">
      <c r="A155" s="320"/>
    </row>
    <row r="156" spans="1:1" x14ac:dyDescent="0.35">
      <c r="A156" s="320"/>
    </row>
    <row r="157" spans="1:1" x14ac:dyDescent="0.35">
      <c r="A157" s="320"/>
    </row>
    <row r="158" spans="1:1" x14ac:dyDescent="0.35">
      <c r="A158" s="320"/>
    </row>
    <row r="159" spans="1:1" x14ac:dyDescent="0.35">
      <c r="A159" s="320"/>
    </row>
    <row r="160" spans="1:1" x14ac:dyDescent="0.35">
      <c r="A160" s="320"/>
    </row>
    <row r="161" spans="1:1" x14ac:dyDescent="0.35">
      <c r="A161" s="320"/>
    </row>
    <row r="162" spans="1:1" x14ac:dyDescent="0.35">
      <c r="A162" s="320"/>
    </row>
    <row r="163" spans="1:1" x14ac:dyDescent="0.35">
      <c r="A163" s="320"/>
    </row>
    <row r="164" spans="1:1" x14ac:dyDescent="0.35">
      <c r="A164" s="320"/>
    </row>
    <row r="165" spans="1:1" x14ac:dyDescent="0.35">
      <c r="A165" s="320"/>
    </row>
    <row r="166" spans="1:1" x14ac:dyDescent="0.35">
      <c r="A166" s="320"/>
    </row>
    <row r="167" spans="1:1" x14ac:dyDescent="0.35">
      <c r="A167" s="320"/>
    </row>
    <row r="168" spans="1:1" x14ac:dyDescent="0.35">
      <c r="A168" s="320"/>
    </row>
    <row r="169" spans="1:1" x14ac:dyDescent="0.35">
      <c r="A169" s="320"/>
    </row>
    <row r="170" spans="1:1" x14ac:dyDescent="0.35">
      <c r="A170" s="320"/>
    </row>
    <row r="171" spans="1:1" x14ac:dyDescent="0.35">
      <c r="A171" s="320"/>
    </row>
    <row r="172" spans="1:1" x14ac:dyDescent="0.35">
      <c r="A172" s="320"/>
    </row>
    <row r="173" spans="1:1" x14ac:dyDescent="0.35">
      <c r="A173" s="320"/>
    </row>
    <row r="174" spans="1:1" x14ac:dyDescent="0.35">
      <c r="A174" s="320"/>
    </row>
    <row r="175" spans="1:1" x14ac:dyDescent="0.35">
      <c r="A175" s="320"/>
    </row>
    <row r="176" spans="1:1" x14ac:dyDescent="0.35">
      <c r="A176" s="320"/>
    </row>
    <row r="177" spans="1:1" x14ac:dyDescent="0.35">
      <c r="A177" s="320"/>
    </row>
    <row r="178" spans="1:1" ht="21" x14ac:dyDescent="0.5">
      <c r="A178" s="154" t="s">
        <v>1860</v>
      </c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  <row r="190" spans="1:1" x14ac:dyDescent="0.35">
      <c r="A190" s="82"/>
    </row>
    <row r="191" spans="1:1" x14ac:dyDescent="0.35">
      <c r="A191" s="82"/>
    </row>
    <row r="192" spans="1:1" x14ac:dyDescent="0.35">
      <c r="A192" s="82"/>
    </row>
    <row r="193" spans="1:1" x14ac:dyDescent="0.35">
      <c r="A193" s="82"/>
    </row>
    <row r="194" spans="1:1" x14ac:dyDescent="0.35">
      <c r="A194" s="82"/>
    </row>
    <row r="195" spans="1:1" x14ac:dyDescent="0.35">
      <c r="A195" s="82"/>
    </row>
    <row r="196" spans="1:1" x14ac:dyDescent="0.35">
      <c r="A196" s="82"/>
    </row>
    <row r="197" spans="1:1" x14ac:dyDescent="0.35">
      <c r="A197" s="82"/>
    </row>
    <row r="198" spans="1:1" x14ac:dyDescent="0.35">
      <c r="A198" s="82"/>
    </row>
    <row r="199" spans="1:1" x14ac:dyDescent="0.35">
      <c r="A199" s="82"/>
    </row>
    <row r="200" spans="1:1" x14ac:dyDescent="0.35">
      <c r="A200" s="82"/>
    </row>
    <row r="201" spans="1:1" x14ac:dyDescent="0.35">
      <c r="A201" s="82"/>
    </row>
    <row r="202" spans="1:1" x14ac:dyDescent="0.35">
      <c r="A202" s="82"/>
    </row>
    <row r="203" spans="1:1" x14ac:dyDescent="0.35">
      <c r="A203" s="82"/>
    </row>
    <row r="204" spans="1:1" x14ac:dyDescent="0.35">
      <c r="A204" s="82"/>
    </row>
    <row r="205" spans="1:1" x14ac:dyDescent="0.35">
      <c r="A205" s="82"/>
    </row>
    <row r="206" spans="1:1" x14ac:dyDescent="0.35">
      <c r="A206" s="82"/>
    </row>
    <row r="207" spans="1:1" x14ac:dyDescent="0.35">
      <c r="A207" s="82"/>
    </row>
    <row r="208" spans="1:1" x14ac:dyDescent="0.35">
      <c r="A208" s="82"/>
    </row>
    <row r="209" spans="1:1" x14ac:dyDescent="0.35">
      <c r="A209" s="82"/>
    </row>
    <row r="210" spans="1:1" x14ac:dyDescent="0.35">
      <c r="A210" s="82"/>
    </row>
    <row r="211" spans="1:1" x14ac:dyDescent="0.35">
      <c r="A211" s="82"/>
    </row>
    <row r="212" spans="1:1" x14ac:dyDescent="0.35">
      <c r="A212" s="82"/>
    </row>
    <row r="213" spans="1:1" x14ac:dyDescent="0.35">
      <c r="A213" s="82"/>
    </row>
    <row r="214" spans="1:1" x14ac:dyDescent="0.35">
      <c r="A214" s="82"/>
    </row>
    <row r="215" spans="1:1" x14ac:dyDescent="0.35">
      <c r="A215" s="82"/>
    </row>
    <row r="216" spans="1:1" x14ac:dyDescent="0.35">
      <c r="A216" s="82"/>
    </row>
    <row r="217" spans="1:1" x14ac:dyDescent="0.35">
      <c r="A217" s="82"/>
    </row>
    <row r="218" spans="1:1" x14ac:dyDescent="0.35">
      <c r="A218" s="82"/>
    </row>
    <row r="219" spans="1:1" x14ac:dyDescent="0.35">
      <c r="A219" s="82"/>
    </row>
    <row r="220" spans="1:1" x14ac:dyDescent="0.35">
      <c r="A220" s="82"/>
    </row>
    <row r="221" spans="1:1" x14ac:dyDescent="0.35">
      <c r="A221" s="82"/>
    </row>
    <row r="222" spans="1:1" x14ac:dyDescent="0.35">
      <c r="A222" s="82"/>
    </row>
    <row r="223" spans="1:1" x14ac:dyDescent="0.35">
      <c r="A223" s="82"/>
    </row>
    <row r="224" spans="1:1" x14ac:dyDescent="0.35">
      <c r="A224" s="82"/>
    </row>
    <row r="225" spans="1:1" x14ac:dyDescent="0.35">
      <c r="A225" s="82"/>
    </row>
    <row r="226" spans="1:1" x14ac:dyDescent="0.35">
      <c r="A226" s="82"/>
    </row>
    <row r="227" spans="1:1" x14ac:dyDescent="0.35">
      <c r="A227" s="82"/>
    </row>
    <row r="228" spans="1:1" x14ac:dyDescent="0.35">
      <c r="A228" s="82"/>
    </row>
    <row r="229" spans="1:1" x14ac:dyDescent="0.35">
      <c r="A229" s="82"/>
    </row>
    <row r="230" spans="1:1" x14ac:dyDescent="0.35">
      <c r="A230" s="82"/>
    </row>
    <row r="231" spans="1:1" x14ac:dyDescent="0.35">
      <c r="A231" s="82"/>
    </row>
    <row r="232" spans="1:1" x14ac:dyDescent="0.35">
      <c r="A232" s="82"/>
    </row>
    <row r="233" spans="1:1" x14ac:dyDescent="0.35">
      <c r="A233" s="82"/>
    </row>
    <row r="234" spans="1:1" x14ac:dyDescent="0.35">
      <c r="A234" s="82"/>
    </row>
    <row r="235" spans="1:1" x14ac:dyDescent="0.35">
      <c r="A235" s="82"/>
    </row>
    <row r="236" spans="1:1" x14ac:dyDescent="0.35">
      <c r="A236" s="82"/>
    </row>
    <row r="237" spans="1:1" x14ac:dyDescent="0.35">
      <c r="A237" s="82"/>
    </row>
    <row r="238" spans="1:1" x14ac:dyDescent="0.35">
      <c r="A238" s="82"/>
    </row>
    <row r="239" spans="1:1" x14ac:dyDescent="0.35">
      <c r="A239" s="82"/>
    </row>
    <row r="240" spans="1:1" x14ac:dyDescent="0.35">
      <c r="A240" s="82"/>
    </row>
    <row r="241" spans="1:1" x14ac:dyDescent="0.35">
      <c r="A241" s="82"/>
    </row>
    <row r="242" spans="1:1" x14ac:dyDescent="0.35">
      <c r="A242" s="82"/>
    </row>
    <row r="243" spans="1:1" x14ac:dyDescent="0.35">
      <c r="A243" s="82"/>
    </row>
    <row r="244" spans="1:1" x14ac:dyDescent="0.35">
      <c r="A244" s="82"/>
    </row>
    <row r="245" spans="1:1" x14ac:dyDescent="0.35">
      <c r="A245" s="82"/>
    </row>
    <row r="246" spans="1:1" x14ac:dyDescent="0.35">
      <c r="A246" s="82"/>
    </row>
    <row r="247" spans="1:1" x14ac:dyDescent="0.35">
      <c r="A247" s="82"/>
    </row>
    <row r="248" spans="1:1" x14ac:dyDescent="0.35">
      <c r="A248" s="82"/>
    </row>
    <row r="249" spans="1:1" x14ac:dyDescent="0.35">
      <c r="A249" s="82"/>
    </row>
    <row r="250" spans="1:1" x14ac:dyDescent="0.35">
      <c r="A250" s="82"/>
    </row>
    <row r="251" spans="1:1" x14ac:dyDescent="0.35">
      <c r="A251" s="82"/>
    </row>
    <row r="252" spans="1:1" x14ac:dyDescent="0.35">
      <c r="A252" s="82"/>
    </row>
    <row r="253" spans="1:1" x14ac:dyDescent="0.35">
      <c r="A253" s="82"/>
    </row>
    <row r="254" spans="1:1" x14ac:dyDescent="0.35">
      <c r="A254" s="82"/>
    </row>
    <row r="255" spans="1:1" x14ac:dyDescent="0.35">
      <c r="A255" s="82"/>
    </row>
    <row r="256" spans="1:1" x14ac:dyDescent="0.35">
      <c r="A256" s="82"/>
    </row>
    <row r="257" spans="1:1" x14ac:dyDescent="0.35">
      <c r="A257" s="82"/>
    </row>
    <row r="258" spans="1:1" x14ac:dyDescent="0.35">
      <c r="A258" s="82"/>
    </row>
    <row r="259" spans="1:1" x14ac:dyDescent="0.35">
      <c r="A259" s="82"/>
    </row>
    <row r="260" spans="1:1" x14ac:dyDescent="0.35">
      <c r="A260" s="82"/>
    </row>
    <row r="261" spans="1:1" x14ac:dyDescent="0.35">
      <c r="A261" s="82"/>
    </row>
    <row r="262" spans="1:1" x14ac:dyDescent="0.35">
      <c r="A262" s="82"/>
    </row>
    <row r="263" spans="1:1" x14ac:dyDescent="0.35">
      <c r="A263" s="82"/>
    </row>
    <row r="264" spans="1:1" x14ac:dyDescent="0.35">
      <c r="A264" s="82"/>
    </row>
    <row r="265" spans="1:1" x14ac:dyDescent="0.35">
      <c r="A265" s="82"/>
    </row>
    <row r="266" spans="1:1" x14ac:dyDescent="0.35">
      <c r="A266" s="82"/>
    </row>
    <row r="267" spans="1:1" x14ac:dyDescent="0.35">
      <c r="A267" s="82"/>
    </row>
    <row r="268" spans="1:1" x14ac:dyDescent="0.35">
      <c r="A268" s="82"/>
    </row>
    <row r="269" spans="1:1" x14ac:dyDescent="0.35">
      <c r="A269" s="82"/>
    </row>
    <row r="270" spans="1:1" x14ac:dyDescent="0.35">
      <c r="A270" s="82"/>
    </row>
    <row r="271" spans="1:1" x14ac:dyDescent="0.35">
      <c r="A271" s="82"/>
    </row>
    <row r="272" spans="1:1" ht="21" x14ac:dyDescent="0.5">
      <c r="A272" s="270" t="s">
        <v>2077</v>
      </c>
    </row>
    <row r="273" spans="1:1" x14ac:dyDescent="0.35">
      <c r="A273" s="18"/>
    </row>
    <row r="274" spans="1:1" x14ac:dyDescent="0.35">
      <c r="A274" s="18"/>
    </row>
    <row r="275" spans="1:1" x14ac:dyDescent="0.35">
      <c r="A275" s="18"/>
    </row>
    <row r="276" spans="1:1" x14ac:dyDescent="0.35">
      <c r="A276" s="18"/>
    </row>
    <row r="277" spans="1:1" x14ac:dyDescent="0.35">
      <c r="A277" s="18"/>
    </row>
    <row r="278" spans="1:1" x14ac:dyDescent="0.35">
      <c r="A278" s="18"/>
    </row>
    <row r="279" spans="1:1" x14ac:dyDescent="0.35">
      <c r="A279" s="18"/>
    </row>
    <row r="280" spans="1:1" x14ac:dyDescent="0.35">
      <c r="A280" s="18"/>
    </row>
    <row r="281" spans="1:1" x14ac:dyDescent="0.35">
      <c r="A281" s="18"/>
    </row>
    <row r="282" spans="1:1" x14ac:dyDescent="0.35">
      <c r="A282" s="18"/>
    </row>
    <row r="283" spans="1:1" x14ac:dyDescent="0.35">
      <c r="A283" s="18"/>
    </row>
    <row r="284" spans="1:1" x14ac:dyDescent="0.35">
      <c r="A284" s="18"/>
    </row>
    <row r="285" spans="1:1" x14ac:dyDescent="0.35">
      <c r="A285" s="18"/>
    </row>
    <row r="286" spans="1:1" x14ac:dyDescent="0.35">
      <c r="A286" s="18"/>
    </row>
    <row r="287" spans="1:1" x14ac:dyDescent="0.35">
      <c r="A287" s="18"/>
    </row>
    <row r="288" spans="1:1" x14ac:dyDescent="0.35">
      <c r="A288" s="18"/>
    </row>
    <row r="289" spans="1:1" x14ac:dyDescent="0.35">
      <c r="A289" s="18"/>
    </row>
    <row r="290" spans="1:1" x14ac:dyDescent="0.35">
      <c r="A290" s="18"/>
    </row>
    <row r="291" spans="1:1" x14ac:dyDescent="0.35">
      <c r="A291" s="18"/>
    </row>
    <row r="292" spans="1:1" x14ac:dyDescent="0.35">
      <c r="A292" s="18"/>
    </row>
    <row r="293" spans="1:1" x14ac:dyDescent="0.35">
      <c r="A293" s="18"/>
    </row>
    <row r="294" spans="1:1" x14ac:dyDescent="0.35">
      <c r="A294" s="18"/>
    </row>
    <row r="295" spans="1:1" x14ac:dyDescent="0.35">
      <c r="A295" s="18"/>
    </row>
    <row r="296" spans="1:1" x14ac:dyDescent="0.35">
      <c r="A296" s="18"/>
    </row>
    <row r="297" spans="1:1" x14ac:dyDescent="0.35">
      <c r="A297" s="18"/>
    </row>
    <row r="298" spans="1:1" x14ac:dyDescent="0.35">
      <c r="A298" s="18"/>
    </row>
    <row r="299" spans="1:1" x14ac:dyDescent="0.35">
      <c r="A299" s="18"/>
    </row>
    <row r="300" spans="1:1" x14ac:dyDescent="0.35">
      <c r="A300" s="18"/>
    </row>
    <row r="301" spans="1:1" x14ac:dyDescent="0.35">
      <c r="A301" s="18"/>
    </row>
    <row r="302" spans="1:1" x14ac:dyDescent="0.35">
      <c r="A302" s="18"/>
    </row>
    <row r="303" spans="1:1" x14ac:dyDescent="0.35">
      <c r="A303" s="18"/>
    </row>
    <row r="304" spans="1:1" x14ac:dyDescent="0.35">
      <c r="A304" s="18"/>
    </row>
    <row r="305" spans="1:1" x14ac:dyDescent="0.35">
      <c r="A305" s="18"/>
    </row>
    <row r="306" spans="1:1" x14ac:dyDescent="0.35">
      <c r="A306" s="18"/>
    </row>
    <row r="307" spans="1:1" x14ac:dyDescent="0.35">
      <c r="A307" s="18"/>
    </row>
    <row r="308" spans="1:1" x14ac:dyDescent="0.35">
      <c r="A308" s="18"/>
    </row>
    <row r="309" spans="1:1" x14ac:dyDescent="0.35">
      <c r="A309" s="18"/>
    </row>
    <row r="310" spans="1:1" x14ac:dyDescent="0.35">
      <c r="A310" s="18"/>
    </row>
    <row r="311" spans="1:1" x14ac:dyDescent="0.35">
      <c r="A311" s="18"/>
    </row>
    <row r="312" spans="1:1" ht="18.5" x14ac:dyDescent="0.45">
      <c r="A312" s="153" t="s">
        <v>2079</v>
      </c>
    </row>
    <row r="313" spans="1:1" x14ac:dyDescent="0.35">
      <c r="A313" s="82"/>
    </row>
    <row r="314" spans="1:1" x14ac:dyDescent="0.35">
      <c r="A314" s="82"/>
    </row>
    <row r="315" spans="1:1" x14ac:dyDescent="0.35">
      <c r="A315" s="82"/>
    </row>
    <row r="316" spans="1:1" x14ac:dyDescent="0.35">
      <c r="A316" s="82"/>
    </row>
    <row r="317" spans="1:1" x14ac:dyDescent="0.35">
      <c r="A317" s="82"/>
    </row>
    <row r="318" spans="1:1" x14ac:dyDescent="0.35">
      <c r="A318" s="82"/>
    </row>
    <row r="319" spans="1:1" x14ac:dyDescent="0.35">
      <c r="A319" s="82"/>
    </row>
    <row r="320" spans="1:1" x14ac:dyDescent="0.35">
      <c r="A320" s="82"/>
    </row>
    <row r="321" spans="1:1" x14ac:dyDescent="0.35">
      <c r="A321" s="82"/>
    </row>
    <row r="322" spans="1:1" x14ac:dyDescent="0.35">
      <c r="A322" s="82"/>
    </row>
    <row r="323" spans="1:1" x14ac:dyDescent="0.35">
      <c r="A323" s="82"/>
    </row>
    <row r="324" spans="1:1" x14ac:dyDescent="0.35">
      <c r="A324" s="82"/>
    </row>
    <row r="325" spans="1:1" x14ac:dyDescent="0.35">
      <c r="A325" s="82"/>
    </row>
    <row r="326" spans="1:1" x14ac:dyDescent="0.35">
      <c r="A326" s="82"/>
    </row>
    <row r="327" spans="1:1" x14ac:dyDescent="0.35">
      <c r="A327" s="82"/>
    </row>
    <row r="328" spans="1:1" x14ac:dyDescent="0.35">
      <c r="A328" s="82"/>
    </row>
    <row r="329" spans="1:1" x14ac:dyDescent="0.35">
      <c r="A329" s="82"/>
    </row>
    <row r="330" spans="1:1" x14ac:dyDescent="0.35">
      <c r="A330" s="82"/>
    </row>
    <row r="331" spans="1:1" x14ac:dyDescent="0.35">
      <c r="A331" s="82"/>
    </row>
    <row r="332" spans="1:1" x14ac:dyDescent="0.35">
      <c r="A332" s="82"/>
    </row>
    <row r="333" spans="1:1" x14ac:dyDescent="0.35">
      <c r="A333" s="82"/>
    </row>
    <row r="334" spans="1:1" x14ac:dyDescent="0.35">
      <c r="A334" s="82"/>
    </row>
    <row r="335" spans="1:1" x14ac:dyDescent="0.35">
      <c r="A335" s="82"/>
    </row>
    <row r="336" spans="1:1" x14ac:dyDescent="0.35">
      <c r="A336" s="82"/>
    </row>
    <row r="337" spans="1:1" x14ac:dyDescent="0.35">
      <c r="A337" s="82"/>
    </row>
    <row r="338" spans="1:1" x14ac:dyDescent="0.35">
      <c r="A338" s="82"/>
    </row>
    <row r="339" spans="1:1" x14ac:dyDescent="0.35">
      <c r="A339" s="82"/>
    </row>
    <row r="340" spans="1:1" x14ac:dyDescent="0.35">
      <c r="A340" s="82"/>
    </row>
    <row r="341" spans="1:1" x14ac:dyDescent="0.35">
      <c r="A341" s="82"/>
    </row>
    <row r="342" spans="1:1" x14ac:dyDescent="0.35">
      <c r="A342" s="82"/>
    </row>
    <row r="343" spans="1:1" x14ac:dyDescent="0.35">
      <c r="A343" s="82"/>
    </row>
    <row r="344" spans="1:1" x14ac:dyDescent="0.35">
      <c r="A344" s="82"/>
    </row>
    <row r="345" spans="1:1" x14ac:dyDescent="0.35">
      <c r="A345" s="82"/>
    </row>
    <row r="346" spans="1:1" x14ac:dyDescent="0.35">
      <c r="A346" s="82"/>
    </row>
    <row r="347" spans="1:1" x14ac:dyDescent="0.35">
      <c r="A347" s="82"/>
    </row>
    <row r="348" spans="1:1" x14ac:dyDescent="0.35">
      <c r="A348" s="82"/>
    </row>
    <row r="349" spans="1:1" x14ac:dyDescent="0.35">
      <c r="A349" s="82"/>
    </row>
    <row r="350" spans="1:1" x14ac:dyDescent="0.35">
      <c r="A350" s="82"/>
    </row>
    <row r="351" spans="1:1" x14ac:dyDescent="0.35">
      <c r="A351" s="82"/>
    </row>
    <row r="352" spans="1:1" x14ac:dyDescent="0.35">
      <c r="A352" s="82"/>
    </row>
    <row r="353" spans="1:1" x14ac:dyDescent="0.35">
      <c r="A353" s="82"/>
    </row>
    <row r="354" spans="1:1" x14ac:dyDescent="0.35">
      <c r="A354" s="82"/>
    </row>
    <row r="355" spans="1:1" x14ac:dyDescent="0.35">
      <c r="A355" s="82"/>
    </row>
    <row r="356" spans="1:1" x14ac:dyDescent="0.35">
      <c r="A356" s="82"/>
    </row>
    <row r="357" spans="1:1" x14ac:dyDescent="0.35">
      <c r="A357" s="82"/>
    </row>
    <row r="358" spans="1:1" x14ac:dyDescent="0.35">
      <c r="A358" s="82"/>
    </row>
    <row r="359" spans="1:1" x14ac:dyDescent="0.35">
      <c r="A359" s="82"/>
    </row>
    <row r="360" spans="1:1" x14ac:dyDescent="0.35">
      <c r="A360" s="82"/>
    </row>
    <row r="361" spans="1:1" x14ac:dyDescent="0.35">
      <c r="A361" s="82"/>
    </row>
    <row r="362" spans="1:1" x14ac:dyDescent="0.35">
      <c r="A362" s="82"/>
    </row>
    <row r="363" spans="1:1" x14ac:dyDescent="0.35">
      <c r="A363" s="82"/>
    </row>
    <row r="364" spans="1:1" x14ac:dyDescent="0.35">
      <c r="A364" s="82"/>
    </row>
  </sheetData>
  <autoFilter ref="A15:F364" xr:uid="{ABAC8952-A00E-42B9-A7B0-332BD5BD7C73}"/>
  <hyperlinks>
    <hyperlink ref="A16" location="'Unidad de ordeñe'!A1" display="Unidades de ordeño y Jetters de lavado " xr:uid="{D558DDA4-B341-4DED-A408-D642AD6FD606}"/>
    <hyperlink ref="A20" location="bombas!A1" display="Bombas de Vacio" xr:uid="{274AC541-1375-4712-9DFE-1443CD92593B}"/>
    <hyperlink ref="A178" location="'Unidad Final'!A1" display="Unidad Final" xr:uid="{38121CF7-A3CB-424A-AB5B-243C83E67C51}"/>
    <hyperlink ref="A272" location="'Extractores, indicadores'!A1" display="Extractores e indicadores" xr:uid="{199D87F5-7BF3-4E06-A478-615F03464D77}"/>
    <hyperlink ref="A312" location="'ISO ID - SortGate'!A1" display="ISO ID, Sort Gate" xr:uid="{E5F4B3F1-4848-4208-848F-F5848F4D78B1}"/>
    <hyperlink ref="A4" location="presu!A1" display="Presupuesto" xr:uid="{6C17EF91-168C-4743-A132-87A25F70ADD7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69850</xdr:colOff>
                    <xdr:row>22</xdr:row>
                    <xdr:rowOff>12700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69850</xdr:colOff>
                    <xdr:row>119</xdr:row>
                    <xdr:rowOff>12700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69850</xdr:colOff>
                    <xdr:row>128</xdr:row>
                    <xdr:rowOff>12700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69850</xdr:colOff>
                    <xdr:row>180</xdr:row>
                    <xdr:rowOff>12700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107950</xdr:rowOff>
                  </from>
                  <to>
                    <xdr:col>4</xdr:col>
                    <xdr:colOff>298450</xdr:colOff>
                    <xdr:row>273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69850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69850</xdr:colOff>
                    <xdr:row>10</xdr:row>
                    <xdr:rowOff>31750</xdr:rowOff>
                  </from>
                  <to>
                    <xdr:col>0</xdr:col>
                    <xdr:colOff>927100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107950</xdr:rowOff>
                  </from>
                  <to>
                    <xdr:col>0</xdr:col>
                    <xdr:colOff>914400</xdr:colOff>
                    <xdr:row>12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Bombas_de_vacio.</vt:lpstr>
      <vt:lpstr>Caneria</vt:lpstr>
      <vt:lpstr>'Formulario pedido'!Criteria</vt:lpstr>
      <vt:lpstr>'Formulario pedido'!Extract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Pablo Siri</cp:lastModifiedBy>
  <cp:lastPrinted>2023-07-19T12:13:26Z</cp:lastPrinted>
  <dcterms:created xsi:type="dcterms:W3CDTF">2017-06-22T18:12:13Z</dcterms:created>
  <dcterms:modified xsi:type="dcterms:W3CDTF">2023-09-06T21:33:17Z</dcterms:modified>
</cp:coreProperties>
</file>