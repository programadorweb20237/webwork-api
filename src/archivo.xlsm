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Usuario\Desktop\Nueva carpeta\web\webwork-api\src\"/>
    </mc:Choice>
  </mc:AlternateContent>
  <xr:revisionPtr revIDLastSave="0" documentId="13_ncr:1_{422FF443-A2CE-47B9-9A82-EB32A953D758}" xr6:coauthVersionLast="47" xr6:coauthVersionMax="47" xr10:uidLastSave="{00000000-0000-0000-0000-000000000000}"/>
  <bookViews>
    <workbookView xWindow="-120" yWindow="-120" windowWidth="20730" windowHeight="11310" firstSheet="1" activeTab="1" xr2:uid="{00000000-000D-0000-FFFF-FFFF00000000}"/>
  </bookViews>
  <sheets>
    <sheet name="Lista de precios" sheetId="9" state="hidden" r:id="rId1"/>
    <sheet name="Quimicos" sheetId="14" r:id="rId2"/>
    <sheet name="presu" sheetId="1" state="hidden" r:id="rId3"/>
    <sheet name="Unidad de ordeñe" sheetId="3" state="hidden" r:id="rId4"/>
    <sheet name="bombas" sheetId="2" state="hidden" r:id="rId5"/>
    <sheet name="pulsado" sheetId="4" state="hidden" r:id="rId6"/>
    <sheet name="Placas, Filtros Lavadora,Recupe" sheetId="5" state="hidden" r:id="rId7"/>
    <sheet name="Unidad Final" sheetId="6" state="hidden" r:id="rId8"/>
    <sheet name="Extractores, indicadores" sheetId="7" state="hidden" r:id="rId9"/>
    <sheet name="ISO ID - SortGate" sheetId="13" state="hidden" r:id="rId10"/>
    <sheet name="Robot" sheetId="21" state="hidden" r:id="rId11"/>
    <sheet name="cañerias" sheetId="22" state="hidden" r:id="rId12"/>
    <sheet name="Formulario pedido" sheetId="10" state="hidden" r:id="rId13"/>
    <sheet name="Packing list" sheetId="11" state="hidden" r:id="rId14"/>
    <sheet name="Base" sheetId="8" r:id="rId15"/>
    <sheet name="presu cliente" sheetId="20" state="hidden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F7" i="14" l="1"/>
  <c r="F8" i="14"/>
  <c r="F9" i="14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F11" i="14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<sst xmlns="http://schemas.openxmlformats.org/spreadsheetml/2006/main" count="4178" uniqueCount="2269">
  <si>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</si>
  <si>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</si>
  <si>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</si>
  <si>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</si>
  <si>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</si>
  <si>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</si>
  <si>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</si>
  <si>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</si>
  <si>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</si>
  <si>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</si>
  <si>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</si>
  <si>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</si>
  <si>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</si>
  <si>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</si>
  <si>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</si>
  <si>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</si>
  <si>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</si>
  <si>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</si>
  <si>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</si>
  <si>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</si>
  <si>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</si>
  <si>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</si>
  <si>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</si>
  <si>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</si>
  <si>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</si>
  <si>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</si>
  <si>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</si>
  <si>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</si>
  <si>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</si>
  <si>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</si>
  <si>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</si>
  <si>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</si>
  <si>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</si>
  <si>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</si>
  <si>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</si>
  <si>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</si>
  <si>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</si>
  <si>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</si>
  <si>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</si>
  <si>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</si>
  <si>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</si>
  <si>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</si>
  <si>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</si>
  <si>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</si>
  <si>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</si>
  <si>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</si>
  <si>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</si>
  <si>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</si>
  <si>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</si>
  <si>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</si>
  <si>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</si>
  <si>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</si>
  <si>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</si>
  <si>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</si>
  <si>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</si>
  <si>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</si>
  <si>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</si>
  <si>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</si>
  <si>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</si>
  <si>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</si>
  <si>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</si>
  <si>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</si>
  <si>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</si>
  <si>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</si>
  <si>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</si>
  <si>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</si>
  <si>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</si>
  <si>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</si>
  <si>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</si>
  <si>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</si>
  <si>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</si>
  <si>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</si>
  <si>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</si>
  <si>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</si>
  <si>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</si>
  <si>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</si>
  <si>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</si>
  <si>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</si>
  <si>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</si>
  <si>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</si>
  <si>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</si>
  <si>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</si>
  <si>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</si>
  <si>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</si>
  <si>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</si>
  <si>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</si>
  <si>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</si>
  <si>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</si>
  <si>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</si>
  <si>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</si>
  <si>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</si>
  <si>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</si>
  <si>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</si>
  <si>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</si>
  <si>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</si>
  <si>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</si>
  <si>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</si>
  <si>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</si>
  <si>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</si>
  <si>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</si>
  <si>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</si>
  <si>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</si>
  <si>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</si>
  <si>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</si>
  <si>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</si>
  <si>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</si>
  <si>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</si>
  <si>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</si>
  <si>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</si>
  <si>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</si>
  <si>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</si>
  <si>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</si>
  <si>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</si>
  <si>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</si>
  <si>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</si>
  <si>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</si>
  <si>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</si>
  <si>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</si>
  <si>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</si>
  <si>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</si>
  <si>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</si>
  <si>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</si>
  <si>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</si>
  <si>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</si>
  <si>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</si>
  <si>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</si>
  <si>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</si>
  <si>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</si>
  <si>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</si>
  <si>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</si>
  <si>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</si>
  <si>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</si>
  <si>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</si>
  <si>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</si>
  <si>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</si>
  <si>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</si>
  <si>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</si>
  <si>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</si>
  <si>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</si>
  <si>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</si>
  <si>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</si>
  <si>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</si>
  <si>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</si>
  <si>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</si>
  <si>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</si>
  <si>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</si>
  <si>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</si>
  <si>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</si>
  <si>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</si>
  <si>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</si>
  <si>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</si>
  <si>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</si>
  <si>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</si>
  <si>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</si>
  <si>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</si>
  <si>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</si>
  <si>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</si>
  <si>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</si>
  <si>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</si>
  <si>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</si>
  <si>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</si>
  <si>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</si>
  <si>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</si>
  <si>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</si>
  <si>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</si>
  <si>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</si>
  <si>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</si>
  <si>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</si>
  <si>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</si>
  <si>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</si>
  <si>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</si>
  <si>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</si>
  <si>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</si>
  <si>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</si>
  <si>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</si>
  <si>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</si>
  <si>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</si>
  <si>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</si>
  <si>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</si>
  <si>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</si>
  <si>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</si>
  <si>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</si>
  <si>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</si>
  <si>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</si>
  <si>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</si>
  <si>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</si>
  <si>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</si>
  <si>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</si>
  <si>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</si>
  <si>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</si>
  <si>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</si>
  <si>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</si>
  <si>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</si>
  <si>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</si>
  <si>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</si>
  <si>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</si>
  <si>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</si>
  <si>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</si>
  <si>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</si>
  <si>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</si>
  <si>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</si>
  <si>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</si>
  <si>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</si>
  <si>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</si>
  <si>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</si>
  <si>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</si>
  <si>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</si>
  <si>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</si>
  <si>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</si>
  <si>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</si>
  <si>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</si>
  <si>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</si>
  <si>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</si>
  <si>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</si>
  <si>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</si>
  <si>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</si>
  <si>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</si>
  <si>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</si>
  <si>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</si>
  <si>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</si>
  <si>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</si>
  <si>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</si>
  <si>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</si>
  <si>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</si>
  <si>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</si>
  <si>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</si>
  <si>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</si>
  <si>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</si>
  <si>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</si>
  <si>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</si>
  <si>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</si>
  <si>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</si>
  <si>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</si>
  <si>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</si>
  <si>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</si>
  <si>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</si>
  <si>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</si>
  <si>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</si>
  <si>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</si>
  <si>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</si>
  <si>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</si>
  <si>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</si>
  <si>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</si>
  <si>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</si>
  <si>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</si>
  <si>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</si>
  <si>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</si>
  <si>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</si>
  <si>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</si>
  <si>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</si>
  <si>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</si>
  <si>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</si>
  <si>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</si>
  <si>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</si>
  <si>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</si>
  <si>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</si>
  <si>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</si>
  <si>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</si>
  <si>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</si>
  <si>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</si>
  <si>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</si>
  <si>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</si>
  <si>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</si>
  <si>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</si>
  <si>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</si>
  <si>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</si>
  <si>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</si>
  <si>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</si>
  <si>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</si>
  <si>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</si>
  <si>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</si>
  <si>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</si>
  <si>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</si>
  <si>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</si>
  <si>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</si>
  <si>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</si>
  <si>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</si>
  <si>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</si>
  <si>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</si>
  <si>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</si>
  <si>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</si>
  <si>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</si>
  <si>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</si>
  <si>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</si>
  <si>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</si>
  <si>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</si>
  <si>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</si>
  <si>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</si>
  <si>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</si>
  <si>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</si>
  <si>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</si>
  <si>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</si>
  <si>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</si>
  <si>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</si>
  <si>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</si>
  <si>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</si>
  <si>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</si>
  <si>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</si>
  <si>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</si>
  <si>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</si>
  <si>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</si>
  <si>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</si>
  <si>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</si>
  <si>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</si>
  <si>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</si>
  <si>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</si>
  <si>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</si>
  <si>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</si>
  <si>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</si>
  <si>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</si>
  <si>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</si>
  <si>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</si>
  <si>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</si>
  <si>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</si>
  <si>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</si>
  <si>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</si>
  <si>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</si>
  <si>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</si>
  <si>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</si>
  <si>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</si>
  <si>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</si>
  <si>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</si>
  <si>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</si>
  <si>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</si>
  <si>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</si>
  <si>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</si>
  <si>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</si>
  <si>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</si>
  <si>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</si>
  <si>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</si>
  <si>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</si>
  <si>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</si>
  <si>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</si>
  <si>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</si>
  <si>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</si>
  <si>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</si>
  <si>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</si>
  <si>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</si>
  <si>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</si>
  <si>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</si>
  <si>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</si>
  <si>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</si>
  <si>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</si>
  <si>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</si>
  <si>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</si>
  <si>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</si>
  <si>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</si>
  <si>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</si>
  <si>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</si>
  <si>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</si>
  <si>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</si>
  <si>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</si>
  <si>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</si>
  <si>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</si>
  <si>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</si>
  <si>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</si>
  <si>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</si>
  <si>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</si>
  <si>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</si>
  <si>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</si>
  <si>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</si>
  <si>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</si>
  <si>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</si>
  <si>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</si>
  <si>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</si>
  <si>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</si>
  <si>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</si>
  <si>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</si>
  <si>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</si>
  <si>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</si>
  <si>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</si>
  <si>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</si>
  <si>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</si>
  <si>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</si>
  <si>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</si>
  <si>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</si>
  <si>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</si>
  <si>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</si>
  <si>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</si>
  <si>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</si>
  <si>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</si>
  <si>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</si>
  <si>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</si>
  <si>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</si>
  <si>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</si>
  <si>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</si>
  <si>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</si>
  <si>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</si>
  <si>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</si>
  <si>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</si>
  <si>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</si>
  <si>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</si>
  <si>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</si>
  <si>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</si>
  <si>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</si>
  <si>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</si>
  <si>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</si>
  <si>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</si>
  <si>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</si>
  <si>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</si>
  <si>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</si>
  <si>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</si>
  <si>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</si>
  <si>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</si>
  <si>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</si>
  <si>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</si>
  <si>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</si>
  <si>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</si>
  <si>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</si>
  <si>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</si>
  <si>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</si>
  <si>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</si>
  <si>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</si>
  <si>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</si>
  <si>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</si>
  <si>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</si>
  <si>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</si>
  <si>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</si>
  <si>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</si>
  <si>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</si>
  <si>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</si>
  <si>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</si>
  <si>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</si>
  <si>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</si>
  <si>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</si>
  <si>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</si>
  <si>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</si>
  <si>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</si>
  <si>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</si>
  <si>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</si>
  <si>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</si>
  <si>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</si>
  <si>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</si>
  <si>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</si>
  <si>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</si>
  <si>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</si>
  <si>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</si>
  <si>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</si>
  <si>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</si>
  <si>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</si>
  <si>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</si>
  <si>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</si>
  <si>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</si>
  <si>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</si>
  <si>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</si>
  <si>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</si>
  <si>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</si>
  <si>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</si>
  <si>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</si>
  <si>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</si>
  <si>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</si>
  <si>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</si>
  <si>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</si>
  <si>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</si>
  <si>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</si>
  <si>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</si>
  <si>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</si>
  <si>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</si>
  <si>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</si>
  <si>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</si>
  <si>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</si>
  <si>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</si>
  <si>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</si>
  <si>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</si>
  <si>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</si>
  <si>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</si>
  <si>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</si>
  <si>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</si>
  <si>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</si>
  <si>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</si>
  <si>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</si>
  <si>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</si>
  <si>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</si>
  <si>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</si>
  <si>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</si>
  <si>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</si>
  <si>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</si>
  <si>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</si>
  <si>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</si>
  <si>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</si>
  <si>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</si>
  <si>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</si>
  <si>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</si>
  <si>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</si>
  <si>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</si>
  <si>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</si>
  <si>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</si>
  <si>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</si>
  <si>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</si>
  <si>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</si>
  <si>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</si>
  <si>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</si>
  <si>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</si>
  <si>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</si>
  <si>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</si>
  <si>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</si>
  <si>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</si>
  <si>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</si>
  <si>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</si>
  <si>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</si>
  <si>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</si>
  <si>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</si>
  <si>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</si>
  <si>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</si>
  <si>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</si>
  <si>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</si>
  <si>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</si>
  <si>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</si>
  <si>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</si>
  <si>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</si>
  <si>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</si>
  <si>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</si>
  <si>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</si>
  <si>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</si>
  <si>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</si>
  <si>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</si>
  <si>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</si>
  <si>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</si>
  <si>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</si>
  <si>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</si>
  <si>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</si>
  <si>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</si>
  <si>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</si>
  <si>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</si>
  <si>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</si>
  <si>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</si>
  <si>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</si>
  <si>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</si>
  <si>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</si>
  <si>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</si>
  <si>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</si>
  <si>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</si>
  <si>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</si>
  <si>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</si>
  <si>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</si>
  <si>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</si>
  <si>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</si>
  <si>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</si>
  <si>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</si>
  <si>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</si>
  <si>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</si>
  <si>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</si>
  <si>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</si>
  <si>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</si>
  <si>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</si>
  <si>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</si>
  <si>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</si>
  <si>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</si>
  <si>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</si>
  <si>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</si>
  <si>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</si>
  <si>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</si>
  <si>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</si>
  <si>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</si>
  <si>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</si>
  <si>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</si>
  <si>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</si>
  <si>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</si>
  <si>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</si>
  <si>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</si>
  <si>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</si>
  <si>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</si>
  <si>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</si>
  <si>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</si>
  <si>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</si>
  <si>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</si>
  <si>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</si>
  <si>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</si>
  <si>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</si>
  <si>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</si>
  <si>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</si>
  <si>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</si>
  <si>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</si>
  <si>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</si>
  <si>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</si>
  <si>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</si>
  <si>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</si>
  <si>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</si>
  <si>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</si>
  <si>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</si>
  <si>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</si>
  <si>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</si>
  <si>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</si>
  <si>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</si>
  <si>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</si>
  <si>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</si>
  <si>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</si>
  <si>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</si>
  <si>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</si>
  <si>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</si>
  <si>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</si>
  <si>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</si>
  <si>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</si>
  <si>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</si>
  <si>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</si>
  <si>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</si>
  <si>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</si>
  <si>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</si>
  <si>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</si>
  <si>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</si>
  <si>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</si>
  <si>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</si>
  <si>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</si>
  <si>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</si>
  <si>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</si>
  <si>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</si>
  <si>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</si>
  <si>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</si>
  <si>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</si>
  <si>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</si>
  <si>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</si>
  <si>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</si>
  <si>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</si>
  <si>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</si>
  <si>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</si>
  <si>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</si>
  <si>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</si>
  <si>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</si>
  <si>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</si>
  <si>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</si>
  <si>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</si>
  <si>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</si>
  <si>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</si>
  <si>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</si>
  <si>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</si>
  <si>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</si>
  <si>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</si>
  <si>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</si>
  <si>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</si>
  <si>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</si>
  <si>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</si>
  <si>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</si>
  <si>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</si>
  <si>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</si>
  <si>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</si>
  <si>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</si>
  <si>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</si>
  <si>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</si>
  <si>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</si>
  <si>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</si>
  <si>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</si>
  <si>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</si>
  <si>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</si>
  <si>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</si>
  <si>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</si>
  <si>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</si>
  <si>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</si>
  <si>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</si>
  <si>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</si>
  <si>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</si>
  <si>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</si>
  <si>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</si>
  <si>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</si>
  <si>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</si>
  <si>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</si>
  <si>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</si>
  <si>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</si>
  <si>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</si>
  <si>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</si>
  <si>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</si>
  <si>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</si>
  <si>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</si>
  <si>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</si>
  <si>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</si>
  <si>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</si>
  <si>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</si>
  <si>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</si>
  <si>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</si>
  <si>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</si>
  <si>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</si>
  <si>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</si>
  <si>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</si>
  <si>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</si>
  <si>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</si>
  <si>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</si>
  <si>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</si>
  <si>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</si>
  <si>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</si>
  <si>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</si>
  <si>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</si>
  <si>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</si>
  <si>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</si>
  <si>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</si>
  <si>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</si>
  <si>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</si>
  <si>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</si>
  <si>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</si>
  <si>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</si>
  <si>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</si>
  <si>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</si>
  <si>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</si>
  <si>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</si>
  <si>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</si>
  <si>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</si>
  <si>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</si>
  <si>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</si>
  <si>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</si>
  <si>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</si>
  <si>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</si>
  <si>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</si>
  <si>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</si>
  <si>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</si>
  <si>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</si>
  <si>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</si>
  <si>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</si>
  <si>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</si>
  <si>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</si>
  <si>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</si>
  <si>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</si>
  <si>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</si>
  <si>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</si>
  <si>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</si>
  <si>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</si>
  <si>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</si>
  <si>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</si>
  <si>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</si>
  <si>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</si>
  <si>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</si>
  <si>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</si>
  <si>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</si>
  <si>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</si>
  <si>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</si>
  <si>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</si>
  <si>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</si>
  <si>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</si>
  <si>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</si>
  <si>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</si>
  <si>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</si>
  <si>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</si>
  <si>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</si>
  <si>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</si>
  <si>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</si>
  <si>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</si>
  <si>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</si>
  <si>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</si>
  <si>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</si>
  <si>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</si>
  <si>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</si>
  <si>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</si>
  <si>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</si>
  <si>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</si>
  <si>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</si>
  <si>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</si>
  <si>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</si>
  <si>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</si>
  <si>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</si>
  <si>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</si>
  <si>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</si>
  <si>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</si>
  <si>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</si>
  <si>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</si>
  <si>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</si>
  <si>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</si>
  <si>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</si>
  <si>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</si>
  <si>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</si>
  <si>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</si>
  <si>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</si>
  <si>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</si>
  <si>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</si>
  <si>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</si>
  <si>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</si>
  <si>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</si>
  <si>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</si>
  <si>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</si>
  <si>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</si>
  <si>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</si>
  <si>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</si>
  <si>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</si>
  <si>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</si>
  <si>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</si>
  <si>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</si>
  <si>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</si>
  <si>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</si>
  <si>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</si>
  <si>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</si>
  <si>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</si>
  <si>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</si>
  <si>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</si>
  <si>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</si>
  <si>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</si>
  <si>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</si>
  <si>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</si>
  <si>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</si>
  <si>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</si>
  <si>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</si>
  <si>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</si>
  <si>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</si>
  <si>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</si>
  <si>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</si>
  <si>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</si>
  <si>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</si>
  <si>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</si>
  <si>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</si>
  <si>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</si>
  <si>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</si>
  <si>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</si>
  <si>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</si>
  <si>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</si>
  <si>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</si>
  <si>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</si>
  <si>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</si>
  <si>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</si>
  <si>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</si>
  <si>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</si>
  <si>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</si>
  <si>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</si>
  <si>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</si>
  <si>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</si>
  <si>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</si>
  <si>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</si>
  <si>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</si>
  <si>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</si>
  <si>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</si>
  <si>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</si>
  <si>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</si>
  <si>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</si>
  <si>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</si>
  <si>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</si>
  <si>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</si>
  <si>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</si>
  <si>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</si>
  <si>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</si>
  <si>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</si>
  <si>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</si>
  <si>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</si>
  <si>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</si>
  <si>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</si>
  <si>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</si>
  <si>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</si>
  <si>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</si>
  <si>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</si>
  <si>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</si>
  <si>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</si>
  <si>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</si>
  <si>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</si>
  <si>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</si>
  <si>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</si>
  <si>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</si>
  <si>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</si>
  <si>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</si>
  <si>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</si>
  <si>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</si>
  <si>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</si>
  <si>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</si>
  <si>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</si>
  <si>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</si>
  <si>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</si>
  <si>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</si>
  <si>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</si>
  <si>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</si>
  <si>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</si>
  <si>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</si>
  <si>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</si>
  <si>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</si>
  <si>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</si>
  <si>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</si>
  <si>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</si>
  <si>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</si>
  <si>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</si>
  <si>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</si>
  <si>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</si>
  <si>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</si>
  <si>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</si>
  <si>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</si>
  <si>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</si>
  <si>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</si>
  <si>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</si>
  <si>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</si>
  <si>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</si>
  <si>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</si>
  <si>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</si>
  <si>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</si>
  <si>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</si>
  <si>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</si>
  <si>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</si>
  <si>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</si>
  <si>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</si>
  <si>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</si>
  <si>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</si>
  <si>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</si>
  <si>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</si>
  <si>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</si>
  <si>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</si>
  <si>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</si>
  <si>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</si>
  <si>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</si>
  <si>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</si>
  <si>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</si>
  <si>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</si>
  <si>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</si>
  <si>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</si>
  <si>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</si>
  <si>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</si>
  <si>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</si>
  <si>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</si>
  <si>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</si>
  <si>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</si>
  <si>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</si>
  <si>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</si>
  <si>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</si>
  <si>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</si>
  <si>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</si>
  <si>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</si>
  <si>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</si>
  <si>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</si>
  <si>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</si>
  <si>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</si>
  <si>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</si>
  <si>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</si>
  <si>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</si>
  <si>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</si>
  <si>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</si>
  <si>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</si>
  <si>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</si>
  <si>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</si>
  <si>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</si>
  <si>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</si>
  <si>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</si>
  <si>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</si>
  <si>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</si>
  <si>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</si>
  <si>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</si>
  <si>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</si>
  <si>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</si>
  <si>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</si>
  <si>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</si>
  <si>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</si>
  <si>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</si>
  <si>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</si>
  <si>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</si>
  <si>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</si>
  <si>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</si>
  <si>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</si>
  <si>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</si>
  <si>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</si>
  <si>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</si>
  <si>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</si>
  <si>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</si>
  <si>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</si>
  <si>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</si>
  <si>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</si>
  <si>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</si>
  <si>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</si>
  <si>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</si>
  <si>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</si>
  <si>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</si>
  <si>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</si>
  <si>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</si>
  <si>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</si>
  <si>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</si>
  <si>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</si>
  <si>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</si>
  <si>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</si>
  <si>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</si>
  <si>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</si>
  <si>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</si>
  <si>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</si>
  <si>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</si>
  <si>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</si>
  <si>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</si>
  <si>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</si>
  <si>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</si>
  <si>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</si>
  <si>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</si>
  <si>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</si>
  <si>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</si>
  <si>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</si>
  <si>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</si>
  <si>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</si>
  <si>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</si>
  <si>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</si>
  <si>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</si>
  <si>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</si>
  <si>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</si>
  <si>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</si>
  <si>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</si>
  <si>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</si>
  <si>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</si>
  <si>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</si>
  <si>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</si>
  <si>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</si>
  <si>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</si>
  <si>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</si>
  <si>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</si>
  <si>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</si>
  <si>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</si>
  <si>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</si>
  <si>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</si>
  <si>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</si>
  <si>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</si>
  <si>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</si>
  <si>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</si>
  <si>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</si>
  <si>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</si>
  <si>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</si>
  <si>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</si>
  <si>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</si>
  <si>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</si>
  <si>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</si>
  <si>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</si>
  <si>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</si>
  <si>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</si>
  <si>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</si>
  <si>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</si>
  <si>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</si>
  <si>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</si>
  <si>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</si>
  <si>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</si>
  <si>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</si>
  <si>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</si>
  <si>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</si>
  <si>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</si>
  <si>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</si>
  <si>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</si>
  <si>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</si>
  <si>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</si>
  <si>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</si>
  <si>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</si>
  <si>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</si>
  <si>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</si>
  <si>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</si>
  <si>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</si>
  <si>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</si>
  <si>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</si>
  <si>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</si>
  <si>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</si>
  <si>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</si>
  <si>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</si>
  <si>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</si>
  <si>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</si>
  <si>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</si>
  <si>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</si>
  <si>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</si>
  <si>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</si>
  <si>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</si>
  <si>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</si>
  <si>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</si>
  <si>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</si>
  <si>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</si>
  <si>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</si>
  <si>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</si>
  <si>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</si>
  <si>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</si>
  <si>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</si>
  <si>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</si>
  <si>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</si>
  <si>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</si>
  <si>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</si>
  <si>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</si>
  <si>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</si>
  <si>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</si>
  <si>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</si>
  <si>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</si>
  <si>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</si>
  <si>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</si>
  <si>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</si>
  <si>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</si>
  <si>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</si>
  <si>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</si>
  <si>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</si>
  <si>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</si>
  <si>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</si>
  <si>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</si>
  <si>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</si>
  <si>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</si>
  <si>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</si>
  <si>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</si>
  <si>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</si>
  <si>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</si>
  <si>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</si>
  <si>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</si>
  <si>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</si>
  <si>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</si>
  <si>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</si>
  <si>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</si>
  <si>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</si>
  <si>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</si>
  <si>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</si>
  <si>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</si>
  <si>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</si>
  <si>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</si>
  <si>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</si>
  <si>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</si>
  <si>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</si>
  <si>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</si>
  <si>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</si>
  <si>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</si>
  <si>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</si>
  <si>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</si>
  <si>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</si>
  <si>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</si>
  <si>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</si>
  <si>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</si>
  <si>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</si>
  <si>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</si>
  <si>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</si>
  <si>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</si>
  <si>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</si>
  <si>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</si>
  <si>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</si>
  <si>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</si>
  <si>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</si>
  <si>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</si>
  <si>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</si>
  <si>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</si>
  <si>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</si>
  <si>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</si>
  <si>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</si>
  <si>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</si>
  <si>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</si>
  <si>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</si>
  <si>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</si>
  <si>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</si>
  <si>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</si>
  <si>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</si>
  <si>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</si>
  <si>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</si>
  <si>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</si>
  <si>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</si>
  <si>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</si>
  <si>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</si>
  <si>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</si>
  <si>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</si>
  <si>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</si>
  <si>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</si>
  <si>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</si>
  <si>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</si>
  <si>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</si>
  <si>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</si>
  <si>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</si>
  <si>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</si>
  <si>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</si>
  <si>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</si>
  <si>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</si>
  <si>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</si>
  <si>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</si>
  <si>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</si>
  <si>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</si>
  <si>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</si>
  <si>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</si>
  <si>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</si>
  <si>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</si>
  <si>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</si>
  <si>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</si>
  <si>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</si>
  <si>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</si>
  <si>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</si>
  <si>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</si>
  <si>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</si>
  <si>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</si>
  <si>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</si>
  <si>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</si>
  <si>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</si>
  <si>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</si>
  <si>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</si>
  <si>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</si>
  <si>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</si>
  <si>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</si>
  <si>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</si>
  <si>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</si>
  <si>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</si>
  <si>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</si>
  <si>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</si>
  <si>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</si>
  <si>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</si>
  <si>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</si>
  <si>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</si>
  <si>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</si>
  <si>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</si>
  <si>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</si>
  <si>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</si>
  <si>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</si>
  <si>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</si>
  <si>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</si>
  <si>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</si>
  <si>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</si>
  <si>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</si>
  <si>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</si>
  <si>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</si>
  <si>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</si>
  <si>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</si>
  <si>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</si>
  <si>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</si>
  <si>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</si>
  <si>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</si>
  <si>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</si>
  <si>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</si>
  <si>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</si>
  <si>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</si>
  <si>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</si>
  <si>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</si>
  <si>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</si>
  <si>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</si>
  <si>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</si>
  <si>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</si>
  <si>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</si>
  <si>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</si>
  <si>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</si>
  <si>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</si>
  <si>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</si>
  <si>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</si>
  <si>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</si>
  <si>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</si>
  <si>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</si>
  <si>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</si>
  <si>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</si>
  <si>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</si>
  <si>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</si>
  <si>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</si>
  <si>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</si>
  <si>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</si>
  <si>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</si>
  <si>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</si>
  <si>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</si>
  <si>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</si>
  <si>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</si>
  <si>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</si>
  <si>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</si>
  <si>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</si>
  <si>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</si>
  <si>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</si>
  <si>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</si>
  <si>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</si>
  <si>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</si>
  <si>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</si>
  <si>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</si>
  <si>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</si>
  <si>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</si>
  <si>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</si>
  <si>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</si>
  <si>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</si>
  <si>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</si>
  <si>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</si>
  <si>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</si>
  <si>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</si>
  <si>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</si>
  <si>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</si>
  <si>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</si>
  <si>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</si>
  <si>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</si>
  <si>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</si>
  <si>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</si>
  <si>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</si>
  <si>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</si>
  <si>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</si>
  <si>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</si>
  <si>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</si>
  <si>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</si>
  <si>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</si>
  <si>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</si>
  <si>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</si>
  <si>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</si>
  <si>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</si>
  <si>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</si>
  <si>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</si>
  <si>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</si>
  <si>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</si>
  <si>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</si>
  <si>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</si>
  <si>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</si>
  <si>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</si>
  <si>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</si>
  <si>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</si>
  <si>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</si>
  <si>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</si>
  <si>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</si>
  <si>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</si>
  <si>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</si>
  <si>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</si>
  <si>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</si>
  <si>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</si>
  <si>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</si>
  <si>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</si>
  <si>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</si>
  <si>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</si>
  <si>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</si>
  <si>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</si>
  <si>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</si>
  <si>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</si>
  <si>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</si>
  <si>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</si>
  <si>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</si>
  <si>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</si>
  <si>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</si>
  <si>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</si>
  <si>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</si>
  <si>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</si>
  <si>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</si>
  <si>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</si>
  <si>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</si>
  <si>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</si>
  <si>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</si>
  <si>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</si>
  <si>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</si>
  <si>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</si>
  <si>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</si>
  <si>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</si>
  <si>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</si>
  <si>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</si>
  <si>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</si>
  <si>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</si>
  <si>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</si>
  <si>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</si>
  <si>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</si>
  <si>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</si>
  <si>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</si>
  <si>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</si>
  <si>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</si>
  <si>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</si>
  <si>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</si>
  <si>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</si>
  <si>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</si>
  <si>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</si>
  <si>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</si>
  <si>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</si>
  <si>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</si>
  <si>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</si>
  <si>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</si>
  <si>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</si>
  <si>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</si>
  <si>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</si>
  <si>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</si>
  <si>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</si>
  <si>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</si>
  <si>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</si>
  <si>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</si>
  <si>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</si>
  <si>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</si>
  <si>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</si>
  <si>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</si>
  <si>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</si>
  <si>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</si>
  <si>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</si>
  <si>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</si>
  <si>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</si>
  <si>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</si>
  <si>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</si>
  <si>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</si>
  <si>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</si>
  <si>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</si>
  <si>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</si>
  <si>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</si>
  <si>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</si>
  <si>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</si>
  <si>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</si>
  <si>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</si>
  <si>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</si>
  <si>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</si>
  <si>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</si>
  <si>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</si>
  <si>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</si>
  <si>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</si>
  <si>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</si>
  <si>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</si>
  <si>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</si>
  <si>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</si>
  <si>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</si>
  <si>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</si>
  <si>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</si>
  <si>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</si>
  <si>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</si>
  <si>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</si>
  <si>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</si>
  <si>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</si>
  <si>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</si>
  <si>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</si>
  <si>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</si>
  <si>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</si>
  <si>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</si>
  <si>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</si>
  <si>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</si>
  <si>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</si>
  <si>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</si>
  <si>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</si>
  <si>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</si>
  <si>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</si>
  <si>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</si>
  <si>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</si>
  <si>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</si>
  <si>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</si>
  <si>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</si>
  <si>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</si>
  <si>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</si>
  <si>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</si>
  <si>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</si>
  <si>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</si>
  <si>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</si>
  <si>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</si>
  <si>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</si>
  <si>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</si>
  <si>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</si>
  <si>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</si>
  <si>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</si>
  <si>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</si>
  <si>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</si>
  <si>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</si>
  <si>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</si>
  <si>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</si>
  <si>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</si>
  <si>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</si>
  <si>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</si>
  <si>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</si>
  <si>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</si>
  <si>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</si>
  <si>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</si>
  <si>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</si>
  <si>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</si>
  <si>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</si>
  <si>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</si>
  <si>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</si>
  <si>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</si>
  <si>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</si>
  <si>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</si>
  <si>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</si>
  <si>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</si>
  <si>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</si>
  <si>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</si>
  <si>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</si>
  <si>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</si>
  <si>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</si>
  <si>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</si>
  <si>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</si>
  <si>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</si>
  <si>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</si>
  <si>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</si>
  <si>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</si>
  <si>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</si>
  <si>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</si>
  <si>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</si>
  <si>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</si>
  <si>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</si>
  <si>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</si>
  <si>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</si>
  <si>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</si>
  <si>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</si>
  <si>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</si>
  <si>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</si>
  <si>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</si>
  <si>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</si>
  <si>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</si>
  <si>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</si>
  <si>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</si>
  <si>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</si>
  <si>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</si>
  <si>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</si>
  <si>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</si>
  <si>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</si>
  <si>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</si>
  <si>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</si>
  <si>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</si>
  <si>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</si>
  <si>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</si>
  <si>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</si>
  <si>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</si>
  <si>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</si>
  <si>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</si>
  <si>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</si>
  <si>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</si>
  <si>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</si>
  <si>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</si>
  <si>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</si>
  <si>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</si>
  <si>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</si>
  <si>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</si>
  <si>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</si>
  <si>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</si>
  <si>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</si>
  <si>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</si>
  <si>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</si>
  <si>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</si>
  <si>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</si>
  <si>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</si>
  <si>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</si>
  <si>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</si>
  <si>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</si>
  <si>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</si>
  <si>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</si>
  <si>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</si>
  <si>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</si>
  <si>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</si>
  <si>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</si>
  <si>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</si>
  <si>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</si>
  <si>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</si>
  <si>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</si>
  <si>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</si>
  <si>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</si>
  <si>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</si>
  <si>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</si>
  <si>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</si>
  <si>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</si>
  <si>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</si>
  <si>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</si>
  <si>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</si>
  <si>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</si>
  <si>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</si>
  <si>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</si>
  <si>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</si>
  <si>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</si>
  <si>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</si>
  <si>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</si>
  <si>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</si>
  <si>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</si>
  <si>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</si>
  <si>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</si>
  <si>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</si>
  <si>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</si>
  <si>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</si>
  <si>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</si>
  <si>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</si>
  <si>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</si>
  <si>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</si>
  <si>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</si>
  <si>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</si>
  <si>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</si>
  <si>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</si>
  <si>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</si>
  <si>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</si>
  <si>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</si>
  <si>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</si>
  <si>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</si>
  <si>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</si>
  <si>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</si>
  <si>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</si>
  <si>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</si>
  <si>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</si>
  <si>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</si>
  <si>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</si>
  <si>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</si>
  <si>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</si>
  <si>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</si>
  <si>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</si>
  <si>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</si>
  <si>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</si>
  <si>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</si>
  <si>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</si>
  <si>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</si>
  <si>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</si>
  <si>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</si>
  <si>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</si>
  <si>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</si>
  <si>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</si>
  <si>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</si>
  <si>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</si>
  <si>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</si>
  <si>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</si>
  <si>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</si>
  <si>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</si>
  <si>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</si>
  <si>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</si>
  <si>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</si>
  <si>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</si>
  <si>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</si>
  <si>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</si>
  <si>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</si>
  <si>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</si>
  <si>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</si>
  <si>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</si>
  <si>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</si>
  <si>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</si>
  <si>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</si>
  <si>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</si>
  <si>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</si>
  <si>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</si>
  <si>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</si>
  <si>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</si>
  <si>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</si>
  <si>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</si>
  <si>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</si>
  <si>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</si>
  <si>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</si>
  <si>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</si>
  <si>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</si>
  <si>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</si>
  <si>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</si>
  <si>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</si>
  <si>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</si>
  <si>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</si>
  <si>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</si>
  <si>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</si>
  <si>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</si>
  <si>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</si>
  <si>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</si>
  <si>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</si>
  <si>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</si>
  <si>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</si>
  <si>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</si>
  <si>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</si>
  <si>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</si>
  <si>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</si>
  <si>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</si>
  <si>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</si>
  <si>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</si>
  <si>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</si>
  <si>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</si>
  <si>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</si>
  <si>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</si>
  <si>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</si>
  <si>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</si>
  <si>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</si>
  <si>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</si>
  <si>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</si>
  <si>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</si>
  <si>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</si>
  <si>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</si>
  <si>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</si>
  <si>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</si>
  <si>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</si>
  <si>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</si>
  <si>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</si>
  <si>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</si>
  <si>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</si>
  <si>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</si>
  <si>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</si>
  <si>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</si>
  <si>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</si>
  <si>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</si>
  <si>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</si>
  <si>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</si>
  <si>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</si>
  <si>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</si>
  <si>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</si>
  <si>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</si>
  <si>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</si>
  <si>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</si>
  <si>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</si>
  <si>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</si>
  <si>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</si>
  <si>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</si>
  <si>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</si>
  <si>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</si>
  <si>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</si>
  <si>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</si>
  <si>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</si>
  <si>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</si>
  <si>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</si>
  <si>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</si>
  <si>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</si>
  <si>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</si>
  <si>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</si>
  <si>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</si>
  <si>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</si>
  <si>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</si>
  <si>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</si>
  <si>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</si>
  <si>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</si>
  <si>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</si>
  <si>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</si>
  <si>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</si>
  <si>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</si>
  <si>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</si>
  <si>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</si>
  <si>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</si>
  <si>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</si>
  <si>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</si>
  <si>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</si>
  <si>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</si>
  <si>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</si>
  <si>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</si>
  <si>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</si>
  <si>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</si>
  <si>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</si>
  <si>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</si>
  <si>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</si>
  <si>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</si>
  <si>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</si>
  <si>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</si>
  <si>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</si>
  <si>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</si>
  <si>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</si>
  <si>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</si>
  <si>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</si>
  <si>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</si>
  <si>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</si>
  <si>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</si>
  <si>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</si>
  <si>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</si>
  <si>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</si>
  <si>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</si>
  <si>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</si>
  <si>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</si>
  <si>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</si>
  <si>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</si>
  <si>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</si>
  <si>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</si>
  <si>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</si>
  <si>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</si>
  <si>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</si>
  <si>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</si>
  <si>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</si>
  <si>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</si>
  <si>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</si>
  <si>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</si>
  <si>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</si>
  <si>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</si>
  <si>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</si>
  <si>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</si>
  <si>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</si>
  <si>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</si>
  <si>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</si>
  <si>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</si>
  <si>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</si>
  <si>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</si>
  <si>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</si>
  <si>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</si>
  <si>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</si>
  <si>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</si>
  <si>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</si>
  <si>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</si>
  <si>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</si>
  <si>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</si>
  <si>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</si>
  <si>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</si>
  <si>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</si>
  <si>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</si>
  <si>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</si>
  <si>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</si>
  <si>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</si>
  <si>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</si>
  <si>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</si>
  <si>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</si>
  <si>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</si>
  <si>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</si>
  <si>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</si>
  <si>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</si>
  <si>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</si>
  <si>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</si>
  <si>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</si>
  <si>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</si>
  <si>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</si>
  <si>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</si>
  <si>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</si>
  <si>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</si>
  <si>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</si>
  <si>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</si>
  <si>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</si>
  <si>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</si>
  <si>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</si>
  <si>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</si>
  <si>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</si>
  <si>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</si>
  <si>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</si>
  <si>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</si>
  <si>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</si>
  <si>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</si>
  <si>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</si>
  <si>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</si>
  <si>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</si>
  <si>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</si>
  <si>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</si>
  <si>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</si>
  <si>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</si>
  <si>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</si>
  <si>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</si>
  <si>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</si>
  <si>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</si>
  <si>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</si>
  <si>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</si>
  <si>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</si>
  <si>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</si>
  <si>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</si>
  <si>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</si>
  <si>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</si>
  <si>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</si>
  <si>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</si>
  <si>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</si>
  <si>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</si>
  <si>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</si>
  <si>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</si>
  <si>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</si>
  <si>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</si>
  <si>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</si>
  <si>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</si>
  <si>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</si>
  <si>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</si>
  <si>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</si>
  <si>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</si>
  <si>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</si>
  <si>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</si>
  <si>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</si>
  <si>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</si>
  <si>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</si>
  <si>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</si>
  <si>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</si>
  <si>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</si>
  <si>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</si>
  <si>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</si>
  <si>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</si>
  <si>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</si>
  <si>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</si>
  <si>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</si>
  <si>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</si>
  <si>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</si>
  <si>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</si>
  <si>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</si>
  <si>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</si>
  <si>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</si>
  <si>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</si>
  <si>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</si>
  <si>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</si>
  <si>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</si>
  <si>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</si>
  <si>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</si>
  <si>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</si>
  <si>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</si>
  <si>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</si>
  <si>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</si>
  <si>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</si>
  <si>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</si>
  <si>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</si>
  <si>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</si>
  <si>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</si>
  <si>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</si>
  <si>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</si>
  <si>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</si>
  <si>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</si>
  <si>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</si>
  <si>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</si>
  <si>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</si>
  <si>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</si>
  <si>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</si>
  <si>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</si>
  <si>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</si>
  <si>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</si>
  <si>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</si>
  <si>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</si>
  <si>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</si>
  <si>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</si>
  <si>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</si>
  <si>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</si>
  <si>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</si>
  <si>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</si>
  <si>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</si>
  <si>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</si>
  <si>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</si>
  <si>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</si>
  <si>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</si>
  <si>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</si>
  <si>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</si>
  <si>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</si>
  <si>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</si>
  <si>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</si>
  <si>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</si>
  <si>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</si>
  <si>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</si>
  <si>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</si>
  <si>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</si>
  <si>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</si>
  <si>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</si>
  <si>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</si>
  <si>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</si>
  <si>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</si>
  <si>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</si>
  <si>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</si>
  <si>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</si>
  <si>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</si>
  <si>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</si>
  <si>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</si>
  <si>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</si>
  <si>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</si>
  <si>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</si>
  <si>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</si>
  <si>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</si>
  <si>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</si>
  <si>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</si>
  <si>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</si>
  <si>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</si>
  <si>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</si>
  <si>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</si>
  <si>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</si>
  <si>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</si>
  <si>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</si>
  <si>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</si>
  <si>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</si>
  <si>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</si>
  <si>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</si>
  <si>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</si>
  <si>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</si>
  <si>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</si>
  <si>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</si>
  <si>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</si>
  <si>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</si>
  <si>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</si>
  <si>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</si>
  <si>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</si>
  <si>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</si>
  <si>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</si>
  <si>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</si>
  <si>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</si>
  <si>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</si>
  <si>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</si>
  <si>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</si>
  <si>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</si>
  <si>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</si>
  <si>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</si>
  <si>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</si>
  <si>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</si>
  <si>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</si>
  <si>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</si>
  <si>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</si>
  <si>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</si>
  <si>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</si>
  <si>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</si>
  <si>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</si>
  <si>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</si>
  <si>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</si>
  <si>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</si>
  <si>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</si>
  <si>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</si>
  <si>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</si>
  <si>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</si>
  <si>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</si>
  <si>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</si>
  <si>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</si>
  <si>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</si>
  <si>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</si>
  <si>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</si>
  <si>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</si>
  <si>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</si>
  <si>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</si>
  <si>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</si>
  <si>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</si>
  <si>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</si>
  <si>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</si>
  <si>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</si>
  <si>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</si>
  <si>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</si>
  <si>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</si>
  <si>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</si>
  <si>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</si>
  <si>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</si>
  <si>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</si>
  <si>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</si>
  <si>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</si>
  <si>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</si>
  <si>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</si>
  <si>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</si>
  <si>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</si>
  <si>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</si>
  <si>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</si>
  <si>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</si>
  <si>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</si>
  <si>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</si>
  <si>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</si>
  <si>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</si>
  <si>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</si>
  <si>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</si>
  <si>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</si>
  <si>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</si>
  <si>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</si>
  <si>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</si>
  <si>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</si>
  <si>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</si>
  <si>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</si>
  <si>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</si>
  <si>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</si>
  <si>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</si>
  <si>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</si>
  <si>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</si>
  <si>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</si>
  <si>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</si>
  <si>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</si>
  <si>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</si>
  <si>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</si>
  <si>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</si>
  <si>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</si>
  <si>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</si>
  <si>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</si>
  <si>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</si>
  <si>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</si>
  <si>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</si>
  <si>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</si>
  <si>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</si>
  <si>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</si>
  <si>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</si>
  <si>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</si>
  <si>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</si>
  <si>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</si>
  <si>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</si>
  <si>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</si>
  <si>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</si>
  <si>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</si>
  <si>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</si>
  <si>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</si>
  <si>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</si>
  <si>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</si>
  <si>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</si>
  <si>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</si>
  <si>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</si>
  <si>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</si>
  <si>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</si>
  <si>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</si>
  <si>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</si>
  <si>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</si>
  <si>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</si>
  <si>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</si>
  <si>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</si>
  <si>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</si>
  <si>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</si>
  <si>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</si>
  <si>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</si>
  <si>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</si>
  <si>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</si>
  <si>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</si>
  <si>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</si>
  <si>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</si>
  <si>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</si>
  <si>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</si>
  <si>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</si>
  <si>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</si>
  <si>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</si>
  <si>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</si>
  <si>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</si>
  <si>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</si>
  <si>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</si>
  <si>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</si>
  <si>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</si>
  <si>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</si>
  <si>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</si>
  <si>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</si>
  <si>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</si>
  <si>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</si>
  <si>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</si>
  <si>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</si>
  <si>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</si>
  <si>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</si>
  <si>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</si>
  <si>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</si>
  <si>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</si>
  <si>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</si>
  <si>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</si>
  <si>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</si>
  <si>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</si>
  <si>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</si>
  <si>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</si>
  <si>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</si>
  <si>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</si>
  <si>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</si>
  <si>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</si>
  <si>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</si>
  <si>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</si>
  <si>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</si>
  <si>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</si>
  <si>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</si>
  <si>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</si>
  <si>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</si>
  <si>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</si>
  <si>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</si>
  <si>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</si>
  <si>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</si>
  <si>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</si>
  <si>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D00066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</si>
  <si>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</si>
  <si>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</si>
  <si>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</si>
  <si>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</si>
  <si>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</si>
  <si>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</si>
  <si>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</si>
  <si>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</si>
  <si>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</si>
  <si>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</si>
  <si>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</si>
  <si>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</si>
  <si>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</si>
  <si>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</si>
  <si>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</si>
  <si>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</si>
  <si>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</si>
  <si>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</si>
  <si>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</si>
  <si>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</si>
  <si>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</si>
  <si>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</si>
  <si>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</si>
  <si>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</si>
  <si>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</si>
  <si>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</si>
  <si>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</si>
  <si>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</si>
  <si>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</si>
  <si>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</si>
  <si>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</si>
  <si>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</si>
  <si>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</si>
  <si>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</si>
  <si>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</si>
  <si>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</si>
  <si>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</si>
  <si>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</si>
  <si>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</si>
  <si>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</si>
  <si>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</si>
  <si>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</si>
  <si>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</si>
  <si>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</si>
  <si>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</si>
  <si>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</si>
  <si>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</si>
  <si>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</si>
  <si>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</si>
  <si>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</si>
  <si>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</si>
  <si>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</si>
  <si>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</si>
  <si>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</si>
  <si>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</si>
  <si>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</si>
  <si>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</si>
  <si>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</si>
  <si>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</si>
  <si>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</si>
  <si>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</si>
  <si>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</si>
  <si>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</si>
  <si>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</si>
  <si>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</si>
  <si>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</si>
  <si>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</si>
  <si>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</si>
  <si>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</si>
  <si>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</si>
  <si>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</si>
  <si>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</si>
  <si>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</si>
  <si>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</si>
  <si>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</si>
  <si>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</si>
  <si>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</si>
  <si>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</si>
  <si>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</si>
  <si>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</si>
  <si>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</si>
  <si>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</si>
  <si>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</si>
  <si>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</si>
  <si>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</si>
  <si>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</si>
  <si>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</si>
  <si>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</si>
  <si>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</si>
  <si>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</si>
  <si>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</si>
  <si>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</si>
  <si>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</si>
  <si>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</si>
  <si>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</si>
  <si>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</si>
  <si>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</si>
  <si>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</si>
  <si>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</si>
  <si>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</si>
  <si>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</si>
  <si>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</si>
  <si>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</si>
  <si>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</si>
  <si>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</si>
  <si>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</si>
  <si>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</si>
  <si>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</si>
  <si>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</si>
  <si>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</si>
  <si>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</si>
  <si>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</si>
  <si>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</si>
  <si>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</si>
  <si>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</si>
  <si>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</si>
  <si>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</si>
  <si>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</si>
  <si>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</si>
  <si>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</si>
  <si>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</si>
  <si>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</si>
  <si>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</si>
  <si>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</si>
  <si>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</si>
  <si>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</si>
  <si>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</si>
  <si>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</si>
  <si>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</si>
  <si>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</si>
  <si>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</si>
  <si>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</si>
  <si>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</si>
  <si>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</si>
  <si>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</si>
  <si>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</si>
  <si>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</si>
  <si>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</si>
  <si>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</si>
  <si>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</si>
  <si>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</si>
  <si>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</si>
  <si>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</si>
  <si>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</si>
  <si>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</si>
  <si>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</si>
  <si>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</si>
  <si>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</si>
  <si>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</si>
  <si>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</si>
  <si>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</si>
  <si>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</si>
  <si>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</si>
  <si>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</si>
  <si>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</si>
  <si>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</si>
  <si>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</si>
  <si>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</si>
  <si>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</si>
  <si>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</si>
  <si>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</si>
  <si>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</si>
  <si>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</si>
  <si>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</si>
  <si>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</si>
  <si>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</si>
  <si>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</si>
  <si>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</si>
  <si>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</si>
  <si>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</si>
  <si>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</si>
  <si>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</si>
  <si>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</si>
  <si>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</si>
  <si>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</si>
  <si>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</si>
  <si>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</si>
  <si>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</si>
  <si>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</si>
  <si>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</si>
  <si>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</si>
  <si>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</si>
  <si>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</si>
  <si>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</si>
  <si>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</si>
  <si>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</si>
  <si>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</si>
  <si>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</si>
  <si>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</si>
  <si>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</si>
  <si>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</si>
  <si>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</si>
  <si>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</si>
  <si>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</si>
  <si>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</si>
  <si>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</si>
  <si>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</si>
  <si>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</si>
  <si>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</si>
  <si>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</si>
  <si>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</si>
  <si>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</si>
  <si>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</si>
  <si>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</si>
  <si>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</si>
  <si>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</si>
  <si>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</si>
  <si>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</si>
  <si>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</si>
  <si>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</si>
  <si>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</si>
  <si>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</si>
  <si>
    <t>Brilliance x 30 kgrssSSSSSSS</t>
  </si>
  <si>
    <t>Brilliance x 26756756u</t>
  </si>
  <si>
    <t>Brilliance x 11567867868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</si>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</sst>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 &quot;$&quot;\ * #,##0.00_ ;_ &quot;$&quot;\ * \-#,##0.00_ ;_ &quot;$&quot;\ * &quot;-&quot;??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0" fontId="1" fillId="0" borderId="0"/>
    <xf numFmtId="44" fontId="1" fillId="0" borderId="0" applyFont="0" applyFill="0" applyBorder="0" applyAlignment="0" applyProtection="0"/>
    <xf numFmtId="170" fontId="9" fillId="0" borderId="0"/>
    <xf numFmtId="170" fontId="19" fillId="0" borderId="0"/>
    <xf numFmtId="170" fontId="24" fillId="12" borderId="0" applyNumberFormat="0" applyBorder="0" applyAlignment="0" applyProtection="0"/>
    <xf numFmtId="170" fontId="24" fillId="13" borderId="0" applyNumberFormat="0" applyBorder="0" applyAlignment="0" applyProtection="0"/>
    <xf numFmtId="170" fontId="24" fillId="14" borderId="0" applyNumberFormat="0" applyBorder="0" applyAlignment="0" applyProtection="0"/>
    <xf numFmtId="170" fontId="24" fillId="15" borderId="0" applyNumberFormat="0" applyBorder="0" applyAlignment="0" applyProtection="0"/>
    <xf numFmtId="170" fontId="24" fillId="16" borderId="0" applyNumberFormat="0" applyBorder="0" applyAlignment="0" applyProtection="0"/>
    <xf numFmtId="170" fontId="24" fillId="17" borderId="0" applyNumberFormat="0" applyBorder="0" applyAlignment="0" applyProtection="0"/>
    <xf numFmtId="170" fontId="24" fillId="18" borderId="0" applyNumberFormat="0" applyBorder="0" applyAlignment="0" applyProtection="0"/>
    <xf numFmtId="170" fontId="24" fillId="19" borderId="0" applyNumberFormat="0" applyBorder="0" applyAlignment="0" applyProtection="0"/>
    <xf numFmtId="170" fontId="24" fillId="20" borderId="0" applyNumberFormat="0" applyBorder="0" applyAlignment="0" applyProtection="0"/>
    <xf numFmtId="170" fontId="24" fillId="15" borderId="0" applyNumberFormat="0" applyBorder="0" applyAlignment="0" applyProtection="0"/>
    <xf numFmtId="170" fontId="24" fillId="18" borderId="0" applyNumberFormat="0" applyBorder="0" applyAlignment="0" applyProtection="0"/>
    <xf numFmtId="170" fontId="24" fillId="21" borderId="0" applyNumberFormat="0" applyBorder="0" applyAlignment="0" applyProtection="0"/>
    <xf numFmtId="170" fontId="25" fillId="22" borderId="0" applyNumberFormat="0" applyBorder="0" applyAlignment="0" applyProtection="0"/>
    <xf numFmtId="170" fontId="25" fillId="19" borderId="0" applyNumberFormat="0" applyBorder="0" applyAlignment="0" applyProtection="0"/>
    <xf numFmtId="170" fontId="25" fillId="20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5" borderId="0" applyNumberFormat="0" applyBorder="0" applyAlignment="0" applyProtection="0"/>
    <xf numFmtId="170" fontId="25" fillId="26" borderId="0" applyNumberFormat="0" applyBorder="0" applyAlignment="0" applyProtection="0"/>
    <xf numFmtId="170" fontId="25" fillId="27" borderId="0" applyNumberFormat="0" applyBorder="0" applyAlignment="0" applyProtection="0"/>
    <xf numFmtId="170" fontId="25" fillId="28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9" borderId="0" applyNumberFormat="0" applyBorder="0" applyAlignment="0" applyProtection="0"/>
    <xf numFmtId="170" fontId="26" fillId="13" borderId="0" applyNumberFormat="0" applyBorder="0" applyAlignment="0" applyProtection="0"/>
    <xf numFmtId="170" fontId="27" fillId="30" borderId="31" applyNumberFormat="0" applyAlignment="0" applyProtection="0"/>
    <xf numFmtId="170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29" fillId="0" borderId="0" applyNumberFormat="0" applyFill="0" applyBorder="0" applyAlignment="0" applyProtection="0"/>
    <xf numFmtId="170" fontId="30" fillId="14" borderId="0" applyNumberFormat="0" applyBorder="0" applyAlignment="0" applyProtection="0"/>
    <xf numFmtId="170" fontId="31" fillId="0" borderId="33" applyNumberFormat="0" applyFill="0" applyAlignment="0" applyProtection="0"/>
    <xf numFmtId="170" fontId="32" fillId="0" borderId="34" applyNumberFormat="0" applyFill="0" applyAlignment="0" applyProtection="0"/>
    <xf numFmtId="170" fontId="33" fillId="0" borderId="35" applyNumberFormat="0" applyFill="0" applyAlignment="0" applyProtection="0"/>
    <xf numFmtId="170" fontId="33" fillId="0" borderId="0" applyNumberFormat="0" applyFill="0" applyBorder="0" applyAlignment="0" applyProtection="0"/>
    <xf numFmtId="170" fontId="34" fillId="17" borderId="31" applyNumberFormat="0" applyAlignment="0" applyProtection="0"/>
    <xf numFmtId="170" fontId="35" fillId="0" borderId="36" applyNumberFormat="0" applyFill="0" applyAlignment="0" applyProtection="0"/>
    <xf numFmtId="170" fontId="36" fillId="33" borderId="0" applyNumberFormat="0" applyBorder="0" applyAlignment="0" applyProtection="0"/>
    <xf numFmtId="170" fontId="9" fillId="34" borderId="37" applyNumberFormat="0" applyFont="0" applyAlignment="0" applyProtection="0"/>
    <xf numFmtId="170" fontId="22" fillId="0" borderId="8" applyFill="0">
      <alignment horizontal="center" vertical="center"/>
    </xf>
    <xf numFmtId="170" fontId="22" fillId="0" borderId="11" applyBorder="0">
      <alignment horizontal="center" vertical="center" wrapText="1"/>
    </xf>
    <xf numFmtId="170" fontId="37" fillId="30" borderId="38" applyNumberFormat="0" applyAlignment="0" applyProtection="0"/>
    <xf numFmtId="170" fontId="23" fillId="35" borderId="8">
      <alignment horizontal="center" vertical="center"/>
    </xf>
    <xf numFmtId="170" fontId="38" fillId="0" borderId="0" applyNumberFormat="0" applyFill="0" applyBorder="0" applyAlignment="0" applyProtection="0"/>
    <xf numFmtId="170" fontId="39" fillId="0" borderId="39" applyNumberFormat="0" applyFill="0" applyAlignment="0" applyProtection="0"/>
    <xf numFmtId="170" fontId="40" fillId="0" borderId="0" applyNumberFormat="0" applyFill="0" applyBorder="0" applyAlignment="0" applyProtection="0"/>
    <xf numFmtId="170" fontId="1" fillId="0" borderId="0"/>
    <xf numFmtId="170" fontId="1" fillId="0" borderId="0"/>
    <xf numFmtId="170" fontId="1" fillId="0" borderId="0"/>
    <xf numFmtId="170" fontId="1" fillId="0" borderId="0"/>
    <xf numFmtId="170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0" fontId="2" fillId="0" borderId="0" xfId="64" applyFont="1"/>
    <xf numFmtId="0" fontId="2" fillId="0" borderId="0" xfId="64" applyNumberFormat="1" applyFont="1"/>
    <xf numFmtId="44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44" fontId="4" fillId="0" borderId="5" xfId="13" applyFont="1" applyBorder="1" applyAlignment="1">
      <alignment horizontal="center"/>
    </xf>
    <xf numFmtId="44" fontId="4" fillId="0" borderId="6" xfId="13" applyFont="1" applyBorder="1" applyAlignment="1">
      <alignment horizontal="center"/>
    </xf>
    <xf numFmtId="0" fontId="3" fillId="6" borderId="5" xfId="0" applyFont="1" applyFill="1" applyBorder="1"/>
    <xf numFmtId="44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44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44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44" fontId="4" fillId="36" borderId="6" xfId="13" applyFont="1" applyFill="1" applyBorder="1" applyAlignment="1">
      <alignment horizontal="center"/>
    </xf>
    <xf numFmtId="44" fontId="3" fillId="36" borderId="5" xfId="13" applyFont="1" applyFill="1" applyBorder="1" applyAlignment="1">
      <alignment horizontal="center"/>
    </xf>
    <xf numFmtId="44" fontId="41" fillId="36" borderId="6" xfId="13" applyFont="1" applyFill="1" applyBorder="1" applyAlignment="1">
      <alignment horizontal="center"/>
    </xf>
    <xf numFmtId="44" fontId="18" fillId="36" borderId="41" xfId="13" applyFont="1" applyFill="1" applyBorder="1" applyAlignment="1">
      <alignment horizontal="center"/>
    </xf>
    <xf numFmtId="44" fontId="18" fillId="0" borderId="6" xfId="13" applyFont="1" applyFill="1" applyBorder="1" applyAlignment="1">
      <alignment horizontal="center"/>
    </xf>
    <xf numFmtId="44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44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44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44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44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0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0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44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0" fontId="7" fillId="36" borderId="27" xfId="45" applyFont="1" applyFill="1" applyBorder="1" applyAlignment="1">
      <alignment horizontal="center"/>
    </xf>
    <xf numFmtId="170" fontId="7" fillId="36" borderId="28" xfId="45" applyFont="1" applyFill="1" applyBorder="1" applyAlignment="1">
      <alignment horizontal="center"/>
    </xf>
    <xf numFmtId="170" fontId="7" fillId="36" borderId="42" xfId="45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</cellXfs>
  <cellStyles count="70">
    <cellStyle name="20% - Accent1 2" xfId="16" xr:uid="{00000000-0005-0000-0000-000000000000}"/>
    <cellStyle name="20% - Accent2 2" xfId="17" xr:uid="{00000000-0005-0000-0000-000001000000}"/>
    <cellStyle name="20% - Accent3 2" xfId="18" xr:uid="{00000000-0005-0000-0000-000002000000}"/>
    <cellStyle name="20% - Accent4 2" xfId="19" xr:uid="{00000000-0005-0000-0000-000003000000}"/>
    <cellStyle name="20% - Accent5 2" xfId="20" xr:uid="{00000000-0005-0000-0000-000004000000}"/>
    <cellStyle name="20% - Accent6 2" xfId="21" xr:uid="{00000000-0005-0000-0000-000005000000}"/>
    <cellStyle name="40% - Accent1 2" xfId="22" xr:uid="{00000000-0005-0000-0000-000006000000}"/>
    <cellStyle name="40% - Accent2 2" xfId="23" xr:uid="{00000000-0005-0000-0000-000007000000}"/>
    <cellStyle name="40% - Accent3 2" xfId="24" xr:uid="{00000000-0005-0000-0000-000008000000}"/>
    <cellStyle name="40% - Accent4 2" xfId="25" xr:uid="{00000000-0005-0000-0000-000009000000}"/>
    <cellStyle name="40% - Accent5 2" xfId="26" xr:uid="{00000000-0005-0000-0000-00000A000000}"/>
    <cellStyle name="40% - Accent6 2" xfId="27" xr:uid="{00000000-0005-0000-0000-00000B000000}"/>
    <cellStyle name="60% - Accent1 2" xfId="28" xr:uid="{00000000-0005-0000-0000-00000C000000}"/>
    <cellStyle name="60% - Accent2 2" xfId="29" xr:uid="{00000000-0005-0000-0000-00000D000000}"/>
    <cellStyle name="60% - Accent3 2" xfId="30" xr:uid="{00000000-0005-0000-0000-00000E000000}"/>
    <cellStyle name="60% - Accent4 2" xfId="31" xr:uid="{00000000-0005-0000-0000-00000F000000}"/>
    <cellStyle name="60% - Accent5 2" xfId="32" xr:uid="{00000000-0005-0000-0000-000010000000}"/>
    <cellStyle name="60% - Accent6 2" xfId="33" xr:uid="{00000000-0005-0000-0000-000011000000}"/>
    <cellStyle name="Accent1 2" xfId="34" xr:uid="{00000000-0005-0000-0000-000012000000}"/>
    <cellStyle name="Accent2 2" xfId="35" xr:uid="{00000000-0005-0000-0000-000013000000}"/>
    <cellStyle name="Accent3 2" xfId="36" xr:uid="{00000000-0005-0000-0000-000014000000}"/>
    <cellStyle name="Accent4 2" xfId="37" xr:uid="{00000000-0005-0000-0000-000015000000}"/>
    <cellStyle name="Accent5 2" xfId="38" xr:uid="{00000000-0005-0000-0000-000016000000}"/>
    <cellStyle name="Accent6 2" xfId="39" xr:uid="{00000000-0005-0000-0000-000017000000}"/>
    <cellStyle name="Bad 2" xfId="40" xr:uid="{00000000-0005-0000-0000-000018000000}"/>
    <cellStyle name="Calculation 2" xfId="41" xr:uid="{00000000-0005-0000-0000-000019000000}"/>
    <cellStyle name="Check Cell 2" xfId="42" xr:uid="{00000000-0005-0000-0000-00001A000000}"/>
    <cellStyle name="Currency 2" xfId="43" xr:uid="{00000000-0005-0000-0000-00001C000000}"/>
    <cellStyle name="Currency 3" xfId="13" xr:uid="{00000000-0005-0000-0000-000053000000}"/>
    <cellStyle name="Description" xfId="44" xr:uid="{00000000-0005-0000-0000-00001D000000}"/>
    <cellStyle name="Euro" xfId="45" xr:uid="{00000000-0005-0000-0000-00001E000000}"/>
    <cellStyle name="Euro 2" xfId="46" xr:uid="{00000000-0005-0000-0000-00001F000000}"/>
    <cellStyle name="Explanatory Text 2" xfId="47" xr:uid="{00000000-0005-0000-0000-000020000000}"/>
    <cellStyle name="Good 2" xfId="48" xr:uid="{00000000-0005-0000-0000-000021000000}"/>
    <cellStyle name="Heading 1 2" xfId="49" xr:uid="{00000000-0005-0000-0000-000022000000}"/>
    <cellStyle name="Heading 2 2" xfId="50" xr:uid="{00000000-0005-0000-0000-000023000000}"/>
    <cellStyle name="Heading 3 2" xfId="51" xr:uid="{00000000-0005-0000-0000-000024000000}"/>
    <cellStyle name="Heading 4 2" xfId="52" xr:uid="{00000000-0005-0000-0000-000025000000}"/>
    <cellStyle name="Hipervínculo" xfId="69" builtinId="8"/>
    <cellStyle name="Input 2" xfId="53" xr:uid="{00000000-0005-0000-0000-000026000000}"/>
    <cellStyle name="Linked Cell 2" xfId="54" xr:uid="{00000000-0005-0000-0000-000027000000}"/>
    <cellStyle name="Millares" xfId="2" builtinId="3"/>
    <cellStyle name="Moneda" xfId="1" builtinId="4"/>
    <cellStyle name="Neutral 2" xfId="55" xr:uid="{00000000-0005-0000-0000-000028000000}"/>
    <cellStyle name="Normal" xfId="0" builtinId="0"/>
    <cellStyle name="Normal 10" xfId="68" xr:uid="{00000000-0005-0000-0000-00006D000000}"/>
    <cellStyle name="Normal 11" xfId="5" xr:uid="{00000000-0005-0000-0000-000003000000}"/>
    <cellStyle name="Normal 12" xfId="67" xr:uid="{00000000-0005-0000-0000-00006E000000}"/>
    <cellStyle name="Normal 13" xfId="65" xr:uid="{00000000-0005-0000-0000-00006F000000}"/>
    <cellStyle name="Normal 14" xfId="66" xr:uid="{00000000-0005-0000-0000-000070000000}"/>
    <cellStyle name="Normal 2" xfId="9" xr:uid="{00000000-0005-0000-0000-000004000000}"/>
    <cellStyle name="Normal 2 2" xfId="14" xr:uid="{00000000-0005-0000-0000-00002A000000}"/>
    <cellStyle name="Normal 3" xfId="4" xr:uid="{00000000-0005-0000-0000-000005000000}"/>
    <cellStyle name="Normal 3 2" xfId="15" xr:uid="{00000000-0005-0000-0000-00002B000000}"/>
    <cellStyle name="Normal 4" xfId="10" xr:uid="{00000000-0005-0000-0000-000006000000}"/>
    <cellStyle name="Normal 5" xfId="11" xr:uid="{00000000-0005-0000-0000-000007000000}"/>
    <cellStyle name="Normal 6" xfId="8" xr:uid="{00000000-0005-0000-0000-000008000000}"/>
    <cellStyle name="Normal 7" xfId="3" xr:uid="{00000000-0005-0000-0000-000009000000}"/>
    <cellStyle name="Normal 8" xfId="12" xr:uid="{00000000-0005-0000-0000-000061000000}"/>
    <cellStyle name="Normal 9" xfId="64" xr:uid="{00000000-0005-0000-0000-00006C000000}"/>
    <cellStyle name="Normal_BM-CHINA" xfId="7" xr:uid="{00000000-0005-0000-0000-00000A000000}"/>
    <cellStyle name="Normal_JDE Pricing 11.5.08" xfId="6" xr:uid="{00000000-0005-0000-0000-00000B000000}"/>
    <cellStyle name="Note 2" xfId="56" xr:uid="{00000000-0005-0000-0000-00002C000000}"/>
    <cellStyle name="Numbers" xfId="57" xr:uid="{00000000-0005-0000-0000-00002D000000}"/>
    <cellStyle name="Order Factor" xfId="58" xr:uid="{00000000-0005-0000-0000-00002E000000}"/>
    <cellStyle name="Output 2" xfId="59" xr:uid="{00000000-0005-0000-0000-00002F000000}"/>
    <cellStyle name="SubHeader" xfId="60" xr:uid="{00000000-0005-0000-0000-000031000000}"/>
    <cellStyle name="Title 2" xfId="61" xr:uid="{00000000-0005-0000-0000-000032000000}"/>
    <cellStyle name="Total 2" xfId="62" xr:uid="{00000000-0005-0000-0000-000033000000}"/>
    <cellStyle name="Warning Text 2" xfId="63" xr:uid="{00000000-0005-0000-0000-000034000000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  <xdr:oneCellAnchor>
    <xdr:from>
      <xdr:col>0</xdr:col>
      <xdr:colOff>47625</xdr:colOff>
      <xdr:row>0</xdr:row>
      <xdr:rowOff>103309</xdr:rowOff>
    </xdr:from>
    <xdr:ext cx="1412631" cy="351693"/>
    <xdr:pic>
      <xdr:nvPicPr>
        <xdr:cNvPr id="4" name="Picture 1">
          <a:extLst>
            <a:ext uri="{FF2B5EF4-FFF2-40B4-BE49-F238E27FC236}">
              <a16:creationId xmlns:a16="http://schemas.microsoft.com/office/drawing/2014/main" id="{1439A8AE-0C2E-9B3E-EE49-770AE4BD5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03309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93857fe249531ea/Documents/Dairy/listas%20de%20precios/2023/Septiembre/base%2009.2023.xlsx" TargetMode="External"/><Relationship Id="rId1" Type="http://schemas.openxmlformats.org/officeDocument/2006/relationships/externalLinkPath" Target="/Users/Usuario/Desktop/Nueva%20carpeta/web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8DA2-3262-4AFE-BCA8-2E880DEFD1EA}">
  <sheetPr codeName="Sheet9">
    <pageSetUpPr fitToPage="1"/>
  </sheetPr>
  <dimension ref="A2:L386"/>
  <sheetViews>
    <sheetView topLeftCell="A46" zoomScale="85" zoomScaleNormal="85" workbookViewId="0">
      <selection activeCell="A329" sqref="A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1" t="s">
        <v>1885</v>
      </c>
      <c r="B9" s="442"/>
      <c r="C9" s="442"/>
      <c r="D9" s="442"/>
      <c r="E9" s="443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44" t="s">
        <v>1889</v>
      </c>
      <c r="B14" s="445"/>
      <c r="C14" s="445"/>
      <c r="D14" s="445"/>
      <c r="E14" s="446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47" t="s">
        <v>1890</v>
      </c>
      <c r="B19" s="448"/>
      <c r="C19" s="448"/>
      <c r="D19" s="448"/>
      <c r="E19" s="449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47" t="s">
        <v>1891</v>
      </c>
      <c r="B27" s="448"/>
      <c r="C27" s="448"/>
      <c r="D27" s="448"/>
      <c r="E27" s="449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50" t="s">
        <v>1892</v>
      </c>
      <c r="B42" s="450"/>
      <c r="C42" s="450"/>
      <c r="D42" s="450"/>
      <c r="E42" s="450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1" t="s">
        <v>1894</v>
      </c>
      <c r="B46" s="442"/>
      <c r="C46" s="442"/>
      <c r="D46" s="442"/>
      <c r="E46" s="443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54" t="s">
        <v>1900</v>
      </c>
      <c r="B53" s="455"/>
      <c r="C53" s="455"/>
      <c r="D53" s="455"/>
      <c r="E53" s="45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51"/>
      <c r="B62" s="452"/>
      <c r="C62" s="452"/>
      <c r="D62" s="452"/>
      <c r="E62" s="45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1" t="s">
        <v>1909</v>
      </c>
      <c r="B66" s="442"/>
      <c r="C66" s="442"/>
      <c r="D66" s="442"/>
      <c r="E66" s="443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47" t="s">
        <v>1910</v>
      </c>
      <c r="B69" s="448"/>
      <c r="C69" s="448"/>
      <c r="D69" s="448"/>
      <c r="E69" s="449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47" t="s">
        <v>1911</v>
      </c>
      <c r="B72" s="448"/>
      <c r="C72" s="448"/>
      <c r="D72" s="448"/>
      <c r="E72" s="449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7" t="s">
        <v>1912</v>
      </c>
      <c r="B75" s="458"/>
      <c r="C75" s="458"/>
      <c r="D75" s="458"/>
      <c r="E75" s="459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1" t="s">
        <v>1917</v>
      </c>
      <c r="B88" s="442"/>
      <c r="C88" s="442"/>
      <c r="D88" s="442"/>
      <c r="E88" s="443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1" t="s">
        <v>1928</v>
      </c>
      <c r="B117" s="442"/>
      <c r="C117" s="442"/>
      <c r="D117" s="442"/>
      <c r="E117" s="443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1" t="s">
        <v>1941</v>
      </c>
      <c r="B144" s="442"/>
      <c r="C144" s="442"/>
      <c r="D144" s="442"/>
      <c r="E144" s="443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1" t="s">
        <v>1948</v>
      </c>
      <c r="B154" s="442"/>
      <c r="C154" s="442"/>
      <c r="D154" s="442"/>
      <c r="E154" s="443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60" t="s">
        <v>1961</v>
      </c>
      <c r="B258" s="461"/>
      <c r="C258" s="461"/>
      <c r="D258" s="461"/>
      <c r="E258" s="462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51"/>
      <c r="B263" s="452"/>
      <c r="C263" s="452"/>
      <c r="D263" s="452"/>
      <c r="E263" s="45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2256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2257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2258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2259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2154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2155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2156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2157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2215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  <mergeCell ref="A46:E46"/>
    <mergeCell ref="A9:E9"/>
    <mergeCell ref="A14:E14"/>
    <mergeCell ref="A19:E19"/>
    <mergeCell ref="A27:E27"/>
    <mergeCell ref="A42:E42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2ADA-4116-4BAB-AD15-78914B8C27AB}">
  <sheetPr codeName="Sheet10">
    <pageSetUpPr fitToPage="1"/>
  </sheetPr>
  <dimension ref="A1:F100"/>
  <sheetViews>
    <sheetView tabSelected="1" topLeftCell="A85" workbookViewId="0">
      <selection activeCell="A89" sqref="A89"/>
    </sheetView>
  </sheetViews>
  <sheetFormatPr baseColWidth="10" defaultColWidth="11.42578125" defaultRowHeight="15" x14ac:dyDescent="0.25"/>
  <cols>
    <col min="1" max="1" width="10.2851562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1" spans="1:6" x14ac:dyDescent="0.25">
      <c r="C1" t="s">
        <v>2268</v>
      </c>
    </row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2265</v>
      </c>
      <c r="C7" s="223">
        <v>35</v>
      </c>
      <c r="D7" s="224">
        <v>12</v>
      </c>
      <c r="E7" s="224">
        <f>+VLOOKUP(A7,Base!A5:E1313,5,FALSE)</f>
        <v>127.50685997175833</v>
      </c>
      <c r="F7" s="225">
        <f>+D7/C7</f>
        <v>0.34285714285714286</v>
      </c>
    </row>
    <row r="8" spans="1:6" ht="15.75" x14ac:dyDescent="0.25">
      <c r="A8" s="226" t="s">
        <v>2052</v>
      </c>
      <c r="B8" s="222" t="s">
        <v>2266</v>
      </c>
      <c r="C8" s="223">
        <v>900</v>
      </c>
      <c r="D8" s="224">
        <v>13</v>
      </c>
      <c r="E8" s="224">
        <f>+VLOOKUP(A8,Base!A6:E1311,5,FALSE)</f>
        <v>974.79362942436092</v>
      </c>
      <c r="F8" s="225">
        <f>+D8/C8</f>
        <v>1.4444444444444444E-2</v>
      </c>
    </row>
    <row r="9" spans="1:6" ht="15.75" x14ac:dyDescent="0.25">
      <c r="A9" s="226" t="s">
        <v>2053</v>
      </c>
      <c r="B9" s="222" t="s">
        <v>2267</v>
      </c>
      <c r="C9" s="223">
        <v>115900</v>
      </c>
      <c r="D9" s="224">
        <v>14</v>
      </c>
      <c r="E9" s="224">
        <f>+VLOOKUP(A9,Base!A7:E1312,5,FALSE)</f>
        <v>4782.1518416522476</v>
      </c>
      <c r="F9" s="225">
        <f>+D9/C9</f>
        <v>1.2079378774805867E-4</v>
      </c>
    </row>
    <row r="10" spans="1:6" ht="15.75" x14ac:dyDescent="0.25">
      <c r="A10" s="226"/>
      <c r="B10" s="222"/>
      <c r="C10" s="223">
        <v>900</v>
      </c>
      <c r="D10" s="224">
        <v>15</v>
      </c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300</v>
      </c>
      <c r="D11" s="224">
        <v>16</v>
      </c>
      <c r="E11" s="224">
        <f>+VLOOKUP(A11,Base!A9:E1314,5,FALSE)</f>
        <v>53.95607585139318</v>
      </c>
      <c r="F11" s="225">
        <f>+D11/C11</f>
        <v>5.3333333333333337E-2</v>
      </c>
    </row>
    <row r="12" spans="1:6" ht="15.75" x14ac:dyDescent="0.25">
      <c r="A12" s="221" t="s">
        <v>561</v>
      </c>
      <c r="B12" s="227" t="s">
        <v>2151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2055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2056</v>
      </c>
      <c r="B16" s="222" t="s">
        <v>2152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2058</v>
      </c>
      <c r="B17" s="222" t="s">
        <v>2059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2153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2060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2061</v>
      </c>
      <c r="B24" s="222" t="s">
        <v>2062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2063</v>
      </c>
      <c r="B25" s="222" t="s">
        <v>2064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2065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2123</v>
      </c>
      <c r="B55" s="164" t="s">
        <v>2126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2124</v>
      </c>
      <c r="B56" s="164" t="s">
        <v>2127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2125</v>
      </c>
      <c r="B57" s="164" t="s">
        <v>2128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2120</v>
      </c>
      <c r="B72" s="222" t="s">
        <v>2158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2121</v>
      </c>
      <c r="B73" s="222" t="s">
        <v>2159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2122</v>
      </c>
      <c r="B74" s="222" t="s">
        <v>2160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2129</v>
      </c>
      <c r="B76" s="164" t="s">
        <v>2132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2130</v>
      </c>
      <c r="B77" s="164" t="s">
        <v>2133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2131</v>
      </c>
      <c r="B78" s="164" t="s">
        <v>2134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2207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2208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2209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2210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2066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2253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2067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2067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2214</v>
      </c>
      <c r="E95" s="415" t="s">
        <v>2214</v>
      </c>
      <c r="F95" s="238"/>
    </row>
    <row r="96" spans="1:6" ht="15.75" x14ac:dyDescent="0.25">
      <c r="A96" s="416" t="s">
        <v>973</v>
      </c>
      <c r="B96" s="417" t="s">
        <v>2154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2155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2156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2157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2264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2263</v>
      </c>
      <c r="F152" s="280">
        <f>SUM(F153:F202)</f>
        <v>0</v>
      </c>
    </row>
    <row r="153" spans="1:6" hidden="1" x14ac:dyDescent="0.25">
      <c r="A153" s="85" t="s">
        <v>2093</v>
      </c>
      <c r="B153" s="18" t="s">
        <v>2093</v>
      </c>
      <c r="C153" s="18" t="s">
        <v>2093</v>
      </c>
      <c r="D153" s="276" t="s">
        <v>2093</v>
      </c>
      <c r="E153" s="18" t="s">
        <v>2093</v>
      </c>
      <c r="F153" s="277" t="s">
        <v>2093</v>
      </c>
    </row>
    <row r="154" spans="1:6" hidden="1" x14ac:dyDescent="0.25">
      <c r="A154" s="85" t="s">
        <v>2093</v>
      </c>
      <c r="B154" s="18" t="s">
        <v>2093</v>
      </c>
      <c r="C154" s="18" t="s">
        <v>2093</v>
      </c>
      <c r="D154" s="276" t="s">
        <v>2093</v>
      </c>
      <c r="E154" s="276" t="s">
        <v>2093</v>
      </c>
      <c r="F154" s="277" t="s">
        <v>2093</v>
      </c>
    </row>
    <row r="155" spans="1:6" hidden="1" x14ac:dyDescent="0.25">
      <c r="A155" s="85" t="s">
        <v>2093</v>
      </c>
      <c r="B155" s="18" t="s">
        <v>2093</v>
      </c>
      <c r="C155" s="18" t="s">
        <v>2093</v>
      </c>
      <c r="D155" s="276" t="s">
        <v>2093</v>
      </c>
      <c r="E155" s="18" t="s">
        <v>2093</v>
      </c>
      <c r="F155" s="277" t="s">
        <v>2093</v>
      </c>
    </row>
    <row r="156" spans="1:6" hidden="1" x14ac:dyDescent="0.25">
      <c r="A156" s="85" t="s">
        <v>2093</v>
      </c>
      <c r="B156" s="18" t="s">
        <v>2093</v>
      </c>
      <c r="C156" s="18" t="s">
        <v>2093</v>
      </c>
      <c r="D156" s="276" t="s">
        <v>2093</v>
      </c>
      <c r="E156" s="18" t="s">
        <v>2093</v>
      </c>
      <c r="F156" s="277" t="s">
        <v>2093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2093</v>
      </c>
      <c r="B160" s="18" t="s">
        <v>2093</v>
      </c>
      <c r="C160" s="18" t="s">
        <v>2093</v>
      </c>
      <c r="D160" s="276" t="s">
        <v>2093</v>
      </c>
      <c r="E160" s="18" t="s">
        <v>2093</v>
      </c>
      <c r="F160" s="277" t="s">
        <v>2093</v>
      </c>
    </row>
    <row r="161" spans="1:6" hidden="1" x14ac:dyDescent="0.25">
      <c r="A161" s="85" t="s">
        <v>2093</v>
      </c>
      <c r="B161" s="18" t="s">
        <v>2093</v>
      </c>
      <c r="C161" s="18" t="s">
        <v>2093</v>
      </c>
      <c r="D161" s="276" t="s">
        <v>2093</v>
      </c>
      <c r="E161" s="276" t="s">
        <v>2093</v>
      </c>
      <c r="F161" s="277" t="s">
        <v>2093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2093</v>
      </c>
      <c r="B165" s="18" t="s">
        <v>2093</v>
      </c>
      <c r="C165" s="18" t="s">
        <v>2093</v>
      </c>
      <c r="D165" s="276" t="s">
        <v>2093</v>
      </c>
      <c r="E165" s="276" t="s">
        <v>2093</v>
      </c>
      <c r="F165" s="277" t="s">
        <v>2093</v>
      </c>
    </row>
    <row r="166" spans="1:6" hidden="1" x14ac:dyDescent="0.25">
      <c r="A166" s="85" t="s">
        <v>2093</v>
      </c>
      <c r="B166" s="18" t="s">
        <v>2093</v>
      </c>
      <c r="C166" s="18" t="s">
        <v>2093</v>
      </c>
      <c r="D166" s="276" t="s">
        <v>2093</v>
      </c>
      <c r="E166" s="276" t="s">
        <v>2093</v>
      </c>
      <c r="F166" s="277" t="s">
        <v>2093</v>
      </c>
    </row>
    <row r="167" spans="1:6" hidden="1" x14ac:dyDescent="0.25">
      <c r="A167" s="85" t="s">
        <v>2093</v>
      </c>
      <c r="B167" s="18" t="s">
        <v>2093</v>
      </c>
      <c r="C167" s="18" t="s">
        <v>2093</v>
      </c>
      <c r="D167" s="276" t="s">
        <v>2093</v>
      </c>
      <c r="E167" s="18" t="s">
        <v>2093</v>
      </c>
      <c r="F167" s="277" t="s">
        <v>2093</v>
      </c>
    </row>
    <row r="168" spans="1:6" hidden="1" x14ac:dyDescent="0.25">
      <c r="A168" s="85" t="s">
        <v>2093</v>
      </c>
      <c r="B168" s="18" t="s">
        <v>2093</v>
      </c>
      <c r="C168" s="18" t="s">
        <v>2093</v>
      </c>
      <c r="D168" s="276" t="s">
        <v>2093</v>
      </c>
      <c r="E168" s="18" t="s">
        <v>2093</v>
      </c>
      <c r="F168" s="277" t="s">
        <v>2093</v>
      </c>
    </row>
    <row r="169" spans="1:6" hidden="1" x14ac:dyDescent="0.25">
      <c r="A169" s="85" t="s">
        <v>2093</v>
      </c>
      <c r="B169" s="18" t="s">
        <v>2093</v>
      </c>
      <c r="C169" s="18" t="s">
        <v>2093</v>
      </c>
      <c r="D169" s="276" t="s">
        <v>2093</v>
      </c>
      <c r="E169" s="18" t="s">
        <v>2093</v>
      </c>
      <c r="F169" s="277" t="s">
        <v>2093</v>
      </c>
    </row>
    <row r="170" spans="1:6" hidden="1" x14ac:dyDescent="0.25">
      <c r="A170" s="85" t="s">
        <v>2093</v>
      </c>
      <c r="B170" s="18" t="s">
        <v>2093</v>
      </c>
      <c r="C170" s="18" t="s">
        <v>2093</v>
      </c>
      <c r="D170" s="276" t="s">
        <v>2093</v>
      </c>
      <c r="E170" s="18" t="s">
        <v>2093</v>
      </c>
      <c r="F170" s="277" t="s">
        <v>2093</v>
      </c>
    </row>
    <row r="171" spans="1:6" hidden="1" x14ac:dyDescent="0.25">
      <c r="A171" s="85" t="s">
        <v>2093</v>
      </c>
      <c r="B171" s="18" t="s">
        <v>2093</v>
      </c>
      <c r="C171" s="18" t="s">
        <v>2093</v>
      </c>
      <c r="D171" s="276" t="s">
        <v>2093</v>
      </c>
      <c r="E171" s="18" t="s">
        <v>2093</v>
      </c>
      <c r="F171" s="277" t="s">
        <v>2093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2093</v>
      </c>
      <c r="B181" s="18" t="s">
        <v>2093</v>
      </c>
      <c r="C181" s="18" t="s">
        <v>2093</v>
      </c>
      <c r="D181" s="276" t="s">
        <v>2093</v>
      </c>
      <c r="E181" s="18" t="s">
        <v>2093</v>
      </c>
      <c r="F181" s="277" t="s">
        <v>2093</v>
      </c>
    </row>
    <row r="182" spans="1:6" hidden="1" x14ac:dyDescent="0.25">
      <c r="A182" s="85" t="s">
        <v>2093</v>
      </c>
      <c r="B182" s="18" t="s">
        <v>2093</v>
      </c>
      <c r="C182" s="18" t="s">
        <v>2093</v>
      </c>
      <c r="D182" s="276" t="s">
        <v>2093</v>
      </c>
      <c r="E182" s="18" t="s">
        <v>2093</v>
      </c>
      <c r="F182" s="277" t="s">
        <v>2093</v>
      </c>
    </row>
    <row r="183" spans="1:6" hidden="1" x14ac:dyDescent="0.25">
      <c r="A183" s="85" t="s">
        <v>2093</v>
      </c>
      <c r="B183" s="18" t="s">
        <v>2093</v>
      </c>
      <c r="C183" s="18" t="s">
        <v>2093</v>
      </c>
      <c r="D183" s="276" t="s">
        <v>2093</v>
      </c>
      <c r="E183" s="18" t="s">
        <v>2093</v>
      </c>
      <c r="F183" s="277" t="s">
        <v>2093</v>
      </c>
    </row>
    <row r="184" spans="1:6" hidden="1" x14ac:dyDescent="0.25">
      <c r="A184" s="85" t="s">
        <v>2093</v>
      </c>
      <c r="B184" s="18" t="s">
        <v>2093</v>
      </c>
      <c r="C184" s="18" t="s">
        <v>2093</v>
      </c>
      <c r="D184" s="276" t="s">
        <v>2093</v>
      </c>
      <c r="E184" s="18" t="s">
        <v>2093</v>
      </c>
      <c r="F184" s="277" t="s">
        <v>2093</v>
      </c>
    </row>
    <row r="185" spans="1:6" hidden="1" x14ac:dyDescent="0.25">
      <c r="A185" s="85" t="s">
        <v>2093</v>
      </c>
      <c r="B185" s="18" t="s">
        <v>2093</v>
      </c>
      <c r="C185" s="18" t="s">
        <v>2093</v>
      </c>
      <c r="D185" s="276" t="s">
        <v>2093</v>
      </c>
      <c r="E185" s="18" t="s">
        <v>2093</v>
      </c>
      <c r="F185" s="277" t="s">
        <v>2093</v>
      </c>
    </row>
    <row r="186" spans="1:6" hidden="1" x14ac:dyDescent="0.25">
      <c r="A186" s="85" t="s">
        <v>2093</v>
      </c>
      <c r="B186" s="18" t="s">
        <v>2093</v>
      </c>
      <c r="C186" s="18" t="s">
        <v>2093</v>
      </c>
      <c r="D186" s="276" t="s">
        <v>2093</v>
      </c>
      <c r="E186" s="18" t="s">
        <v>2093</v>
      </c>
      <c r="F186" s="277" t="s">
        <v>2093</v>
      </c>
    </row>
    <row r="187" spans="1:6" hidden="1" x14ac:dyDescent="0.25">
      <c r="A187" s="85" t="s">
        <v>2093</v>
      </c>
      <c r="B187" s="18" t="s">
        <v>2093</v>
      </c>
      <c r="C187" s="18" t="s">
        <v>2093</v>
      </c>
      <c r="D187" s="276" t="s">
        <v>2093</v>
      </c>
      <c r="E187" s="18" t="s">
        <v>2093</v>
      </c>
      <c r="F187" s="277" t="s">
        <v>2093</v>
      </c>
    </row>
    <row r="188" spans="1:6" hidden="1" x14ac:dyDescent="0.25">
      <c r="A188" s="85" t="s">
        <v>2093</v>
      </c>
      <c r="B188" s="18" t="s">
        <v>2093</v>
      </c>
      <c r="C188" s="18" t="s">
        <v>2093</v>
      </c>
      <c r="D188" s="276" t="s">
        <v>2093</v>
      </c>
      <c r="E188" s="18" t="s">
        <v>2093</v>
      </c>
      <c r="F188" s="277" t="s">
        <v>2093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2093</v>
      </c>
      <c r="B190" s="18" t="s">
        <v>2093</v>
      </c>
      <c r="C190" s="18" t="s">
        <v>2093</v>
      </c>
      <c r="D190" s="276" t="s">
        <v>2093</v>
      </c>
      <c r="E190" s="18" t="s">
        <v>2093</v>
      </c>
      <c r="F190" s="277" t="s">
        <v>2093</v>
      </c>
    </row>
    <row r="191" spans="1:6" hidden="1" x14ac:dyDescent="0.25">
      <c r="A191" s="85" t="s">
        <v>2093</v>
      </c>
      <c r="B191" s="18" t="s">
        <v>2093</v>
      </c>
      <c r="C191" s="18" t="s">
        <v>2093</v>
      </c>
      <c r="D191" s="276" t="s">
        <v>2093</v>
      </c>
      <c r="E191" s="18" t="s">
        <v>2093</v>
      </c>
      <c r="F191" s="277" t="s">
        <v>2093</v>
      </c>
    </row>
    <row r="192" spans="1:6" hidden="1" x14ac:dyDescent="0.25">
      <c r="A192" s="85" t="s">
        <v>2093</v>
      </c>
      <c r="B192" s="18" t="s">
        <v>2093</v>
      </c>
      <c r="C192" s="18" t="s">
        <v>2093</v>
      </c>
      <c r="D192" s="276" t="s">
        <v>2093</v>
      </c>
      <c r="E192" s="18" t="s">
        <v>2093</v>
      </c>
      <c r="F192" s="277" t="s">
        <v>2093</v>
      </c>
    </row>
    <row r="193" spans="1:6" hidden="1" x14ac:dyDescent="0.25">
      <c r="A193" s="85" t="s">
        <v>2093</v>
      </c>
      <c r="B193" s="18" t="s">
        <v>2093</v>
      </c>
      <c r="C193" s="18" t="s">
        <v>2093</v>
      </c>
      <c r="D193" s="276" t="s">
        <v>2093</v>
      </c>
      <c r="E193" s="18" t="s">
        <v>2093</v>
      </c>
      <c r="F193" s="277" t="s">
        <v>2093</v>
      </c>
    </row>
    <row r="194" spans="1:6" hidden="1" x14ac:dyDescent="0.25">
      <c r="A194" s="85" t="s">
        <v>2093</v>
      </c>
      <c r="B194" s="18" t="s">
        <v>2093</v>
      </c>
      <c r="C194" s="18" t="s">
        <v>2093</v>
      </c>
      <c r="D194" s="276" t="s">
        <v>2093</v>
      </c>
      <c r="E194" s="18" t="s">
        <v>2093</v>
      </c>
      <c r="F194" s="277" t="s">
        <v>2093</v>
      </c>
    </row>
    <row r="195" spans="1:6" hidden="1" x14ac:dyDescent="0.25">
      <c r="A195" s="85" t="s">
        <v>2093</v>
      </c>
      <c r="B195" s="18" t="s">
        <v>2093</v>
      </c>
      <c r="C195" s="18" t="s">
        <v>2093</v>
      </c>
      <c r="D195" s="276" t="s">
        <v>2093</v>
      </c>
      <c r="E195" s="18" t="s">
        <v>2093</v>
      </c>
      <c r="F195" s="277" t="s">
        <v>2093</v>
      </c>
    </row>
    <row r="196" spans="1:6" hidden="1" x14ac:dyDescent="0.25">
      <c r="A196" s="85" t="s">
        <v>2093</v>
      </c>
      <c r="B196" s="18" t="s">
        <v>2093</v>
      </c>
      <c r="C196" s="18" t="s">
        <v>2093</v>
      </c>
      <c r="D196" s="276" t="s">
        <v>2093</v>
      </c>
      <c r="E196" s="18" t="s">
        <v>2093</v>
      </c>
      <c r="F196" s="277" t="s">
        <v>2093</v>
      </c>
    </row>
    <row r="197" spans="1:6" hidden="1" x14ac:dyDescent="0.25">
      <c r="A197" s="85" t="s">
        <v>2093</v>
      </c>
      <c r="B197" s="18" t="s">
        <v>2093</v>
      </c>
      <c r="C197" s="18" t="s">
        <v>2093</v>
      </c>
      <c r="D197" s="276" t="s">
        <v>2093</v>
      </c>
      <c r="E197" s="18" t="s">
        <v>2093</v>
      </c>
      <c r="F197" s="277" t="s">
        <v>2093</v>
      </c>
    </row>
    <row r="198" spans="1:6" hidden="1" x14ac:dyDescent="0.25">
      <c r="A198" s="85"/>
      <c r="B198" s="18"/>
      <c r="C198" s="18"/>
      <c r="D198" s="276"/>
      <c r="E198" s="18" t="s">
        <v>2093</v>
      </c>
      <c r="F198" s="277" t="s">
        <v>2093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2093</v>
      </c>
      <c r="B200" s="18" t="s">
        <v>2093</v>
      </c>
      <c r="C200" s="18" t="s">
        <v>2093</v>
      </c>
      <c r="D200" s="276" t="s">
        <v>2093</v>
      </c>
      <c r="E200" s="18" t="s">
        <v>2093</v>
      </c>
      <c r="F200" s="277" t="s">
        <v>2093</v>
      </c>
    </row>
    <row r="201" spans="1:6" hidden="1" x14ac:dyDescent="0.25">
      <c r="A201" s="85" t="s">
        <v>2093</v>
      </c>
      <c r="B201" s="18" t="s">
        <v>2093</v>
      </c>
      <c r="C201" s="18" t="s">
        <v>2093</v>
      </c>
      <c r="D201" s="276" t="s">
        <v>2093</v>
      </c>
      <c r="E201" s="276" t="s">
        <v>2093</v>
      </c>
      <c r="F201" s="277" t="s">
        <v>2093</v>
      </c>
    </row>
    <row r="202" spans="1:6" ht="15.75" hidden="1" thickBot="1" x14ac:dyDescent="0.3">
      <c r="A202" s="86" t="s">
        <v>2093</v>
      </c>
      <c r="B202" s="19" t="s">
        <v>2093</v>
      </c>
      <c r="C202" s="19" t="s">
        <v>2093</v>
      </c>
      <c r="D202" s="278" t="s">
        <v>2093</v>
      </c>
      <c r="E202" s="19" t="s">
        <v>2093</v>
      </c>
      <c r="F202" s="279" t="s">
        <v>2093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2261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2077</v>
      </c>
      <c r="F337" s="56">
        <f>SUM(F338:F389)</f>
        <v>28467.167109133123</v>
      </c>
    </row>
    <row r="338" spans="1:6" hidden="1" x14ac:dyDescent="0.25">
      <c r="A338" s="82" t="s">
        <v>2093</v>
      </c>
      <c r="B338" s="18" t="s">
        <v>2093</v>
      </c>
      <c r="C338" s="18" t="s">
        <v>2093</v>
      </c>
      <c r="D338" s="276" t="s">
        <v>2093</v>
      </c>
      <c r="E338" s="276" t="s">
        <v>2093</v>
      </c>
      <c r="F338" s="276" t="s">
        <v>2093</v>
      </c>
    </row>
    <row r="339" spans="1:6" hidden="1" x14ac:dyDescent="0.25">
      <c r="A339" s="82" t="s">
        <v>2093</v>
      </c>
      <c r="B339" s="18" t="s">
        <v>2093</v>
      </c>
      <c r="C339" s="18" t="s">
        <v>2093</v>
      </c>
      <c r="D339" s="276" t="s">
        <v>2093</v>
      </c>
      <c r="E339" s="276" t="s">
        <v>2093</v>
      </c>
      <c r="F339" s="276" t="s">
        <v>2093</v>
      </c>
    </row>
    <row r="340" spans="1:6" hidden="1" x14ac:dyDescent="0.25">
      <c r="A340" s="82" t="s">
        <v>2093</v>
      </c>
      <c r="B340" s="18" t="s">
        <v>2093</v>
      </c>
      <c r="C340" s="18" t="s">
        <v>2093</v>
      </c>
      <c r="D340" s="276" t="s">
        <v>2093</v>
      </c>
      <c r="E340" s="276" t="s">
        <v>2093</v>
      </c>
      <c r="F340" s="276" t="s">
        <v>2093</v>
      </c>
    </row>
    <row r="341" spans="1:6" hidden="1" x14ac:dyDescent="0.25">
      <c r="A341" s="82" t="s">
        <v>2093</v>
      </c>
      <c r="B341" s="18" t="s">
        <v>2093</v>
      </c>
      <c r="C341" s="18" t="s">
        <v>2093</v>
      </c>
      <c r="D341" s="276" t="s">
        <v>2093</v>
      </c>
      <c r="E341" s="276" t="s">
        <v>2093</v>
      </c>
      <c r="F341" s="276" t="s">
        <v>2093</v>
      </c>
    </row>
    <row r="342" spans="1:6" x14ac:dyDescent="0.25">
      <c r="A342" s="82">
        <v>3562185</v>
      </c>
      <c r="B342" s="18" t="s">
        <v>2073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2093</v>
      </c>
      <c r="B343" s="18" t="s">
        <v>2093</v>
      </c>
      <c r="C343" s="18" t="s">
        <v>2093</v>
      </c>
      <c r="D343" s="276" t="s">
        <v>2093</v>
      </c>
      <c r="E343" s="276" t="s">
        <v>2093</v>
      </c>
      <c r="F343" s="276" t="s">
        <v>2093</v>
      </c>
    </row>
    <row r="344" spans="1:6" hidden="1" x14ac:dyDescent="0.25">
      <c r="A344" s="82" t="s">
        <v>2093</v>
      </c>
      <c r="B344" s="18" t="s">
        <v>2093</v>
      </c>
      <c r="C344" s="18" t="s">
        <v>2093</v>
      </c>
      <c r="D344" s="276" t="s">
        <v>2093</v>
      </c>
      <c r="E344" s="276" t="s">
        <v>2093</v>
      </c>
      <c r="F344" s="276" t="s">
        <v>2093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2119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2150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2093</v>
      </c>
      <c r="B471" s="18" t="s">
        <v>2093</v>
      </c>
      <c r="C471" s="18" t="s">
        <v>2093</v>
      </c>
      <c r="D471" s="276" t="s">
        <v>2093</v>
      </c>
      <c r="E471" s="276" t="s">
        <v>2093</v>
      </c>
      <c r="F471" s="276" t="s">
        <v>2093</v>
      </c>
      <c r="G471" t="s">
        <v>2093</v>
      </c>
    </row>
    <row r="472" spans="1:7" hidden="1" x14ac:dyDescent="0.25">
      <c r="A472" s="82" t="s">
        <v>2093</v>
      </c>
      <c r="B472" s="18" t="s">
        <v>2093</v>
      </c>
      <c r="C472" s="18" t="s">
        <v>2093</v>
      </c>
      <c r="D472" s="276" t="s">
        <v>2093</v>
      </c>
      <c r="E472" s="276" t="s">
        <v>2093</v>
      </c>
      <c r="F472" s="276" t="s">
        <v>2093</v>
      </c>
      <c r="G472" t="s">
        <v>2093</v>
      </c>
    </row>
    <row r="473" spans="1:7" hidden="1" x14ac:dyDescent="0.25">
      <c r="A473" s="82" t="s">
        <v>2093</v>
      </c>
      <c r="B473" s="18" t="s">
        <v>2093</v>
      </c>
      <c r="C473" s="18" t="s">
        <v>2093</v>
      </c>
      <c r="D473" s="276" t="s">
        <v>2093</v>
      </c>
      <c r="E473" s="276" t="s">
        <v>2093</v>
      </c>
      <c r="F473" s="276" t="s">
        <v>2093</v>
      </c>
      <c r="G473" t="s">
        <v>2093</v>
      </c>
    </row>
    <row r="474" spans="1:7" hidden="1" x14ac:dyDescent="0.25">
      <c r="A474" s="82"/>
      <c r="B474" s="18" t="s">
        <v>2093</v>
      </c>
      <c r="C474" s="18" t="s">
        <v>2093</v>
      </c>
      <c r="D474" s="276" t="s">
        <v>2093</v>
      </c>
      <c r="E474" s="276" t="s">
        <v>2093</v>
      </c>
      <c r="F474" s="276" t="s">
        <v>2093</v>
      </c>
      <c r="G474" t="s">
        <v>2093</v>
      </c>
    </row>
    <row r="475" spans="1:7" hidden="1" x14ac:dyDescent="0.25">
      <c r="A475" s="82"/>
      <c r="B475" s="18" t="s">
        <v>2093</v>
      </c>
      <c r="C475" s="18" t="s">
        <v>2093</v>
      </c>
      <c r="D475" s="276" t="s">
        <v>2093</v>
      </c>
      <c r="E475" s="276" t="s">
        <v>2093</v>
      </c>
      <c r="F475" s="276" t="s">
        <v>2093</v>
      </c>
      <c r="G475" t="s">
        <v>2093</v>
      </c>
    </row>
    <row r="476" spans="1:7" hidden="1" x14ac:dyDescent="0.25">
      <c r="A476" s="82"/>
      <c r="B476" s="18" t="s">
        <v>2093</v>
      </c>
      <c r="C476" s="18" t="s">
        <v>2093</v>
      </c>
      <c r="D476" s="276" t="s">
        <v>2093</v>
      </c>
      <c r="E476" s="276" t="s">
        <v>2093</v>
      </c>
      <c r="F476" s="276" t="s">
        <v>2093</v>
      </c>
      <c r="G476" t="s">
        <v>2093</v>
      </c>
    </row>
    <row r="477" spans="1:7" hidden="1" x14ac:dyDescent="0.25">
      <c r="A477" s="82" t="s">
        <v>2093</v>
      </c>
      <c r="B477" s="18" t="s">
        <v>2093</v>
      </c>
      <c r="C477" s="18" t="s">
        <v>2093</v>
      </c>
      <c r="D477" s="276" t="s">
        <v>2093</v>
      </c>
      <c r="E477" s="276" t="s">
        <v>2093</v>
      </c>
      <c r="F477" s="276" t="s">
        <v>2093</v>
      </c>
      <c r="G477" t="s">
        <v>2093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2093</v>
      </c>
      <c r="B479" s="18" t="s">
        <v>2093</v>
      </c>
      <c r="C479" s="18" t="s">
        <v>2093</v>
      </c>
      <c r="D479" s="276" t="s">
        <v>2093</v>
      </c>
      <c r="E479" s="276" t="s">
        <v>2093</v>
      </c>
      <c r="F479" s="276" t="s">
        <v>2093</v>
      </c>
      <c r="G479" t="s">
        <v>2093</v>
      </c>
    </row>
    <row r="480" spans="1:7" hidden="1" x14ac:dyDescent="0.25">
      <c r="A480" s="82" t="s">
        <v>2093</v>
      </c>
      <c r="B480" s="18" t="s">
        <v>2093</v>
      </c>
      <c r="C480" s="18" t="s">
        <v>2093</v>
      </c>
      <c r="D480" s="276" t="s">
        <v>2093</v>
      </c>
      <c r="E480" s="276" t="s">
        <v>2093</v>
      </c>
      <c r="F480" s="276" t="s">
        <v>2093</v>
      </c>
      <c r="G480" t="s">
        <v>2093</v>
      </c>
    </row>
    <row r="481" spans="1:7" hidden="1" x14ac:dyDescent="0.25">
      <c r="A481" s="82" t="s">
        <v>2093</v>
      </c>
      <c r="B481" s="18" t="s">
        <v>2093</v>
      </c>
      <c r="C481" s="18" t="s">
        <v>2093</v>
      </c>
      <c r="D481" s="276" t="s">
        <v>2093</v>
      </c>
      <c r="E481" s="276" t="s">
        <v>2093</v>
      </c>
      <c r="F481" s="276" t="s">
        <v>2093</v>
      </c>
      <c r="G481" t="s">
        <v>2093</v>
      </c>
    </row>
    <row r="482" spans="1:7" hidden="1" x14ac:dyDescent="0.25">
      <c r="A482" s="82" t="s">
        <v>2093</v>
      </c>
      <c r="B482" s="18" t="s">
        <v>2093</v>
      </c>
      <c r="C482" s="18" t="s">
        <v>2093</v>
      </c>
      <c r="D482" s="276" t="s">
        <v>2093</v>
      </c>
      <c r="E482" s="276" t="s">
        <v>2093</v>
      </c>
      <c r="F482" s="276" t="s">
        <v>2093</v>
      </c>
      <c r="G482" t="s">
        <v>2093</v>
      </c>
    </row>
    <row r="483" spans="1:7" hidden="1" x14ac:dyDescent="0.25">
      <c r="A483" s="82" t="s">
        <v>2093</v>
      </c>
      <c r="B483" s="18" t="s">
        <v>2093</v>
      </c>
      <c r="C483" s="18" t="s">
        <v>2093</v>
      </c>
      <c r="D483" s="276" t="s">
        <v>2093</v>
      </c>
      <c r="E483" s="276" t="s">
        <v>2093</v>
      </c>
      <c r="F483" s="276" t="s">
        <v>2093</v>
      </c>
      <c r="G483" t="s">
        <v>2093</v>
      </c>
    </row>
    <row r="484" spans="1:7" hidden="1" x14ac:dyDescent="0.25">
      <c r="A484" s="82" t="s">
        <v>2093</v>
      </c>
      <c r="B484" s="18" t="s">
        <v>2093</v>
      </c>
      <c r="C484" s="18" t="s">
        <v>2093</v>
      </c>
      <c r="D484" s="276" t="s">
        <v>2093</v>
      </c>
      <c r="E484" s="276" t="s">
        <v>2093</v>
      </c>
      <c r="F484" s="276" t="s">
        <v>2093</v>
      </c>
      <c r="G484" t="s">
        <v>2093</v>
      </c>
    </row>
    <row r="485" spans="1:7" hidden="1" x14ac:dyDescent="0.25">
      <c r="A485" s="82" t="s">
        <v>2093</v>
      </c>
      <c r="B485" s="18" t="s">
        <v>2093</v>
      </c>
      <c r="C485" s="18" t="s">
        <v>2093</v>
      </c>
      <c r="D485" s="276" t="s">
        <v>2093</v>
      </c>
      <c r="E485" s="276" t="s">
        <v>2093</v>
      </c>
      <c r="F485" s="276" t="s">
        <v>2093</v>
      </c>
      <c r="G485" t="s">
        <v>2093</v>
      </c>
    </row>
    <row r="486" spans="1:7" hidden="1" x14ac:dyDescent="0.25">
      <c r="A486" s="82" t="s">
        <v>2093</v>
      </c>
      <c r="B486" s="18" t="s">
        <v>2093</v>
      </c>
      <c r="C486" s="18" t="s">
        <v>2093</v>
      </c>
      <c r="D486" s="276" t="s">
        <v>2093</v>
      </c>
      <c r="E486" s="276" t="s">
        <v>2093</v>
      </c>
      <c r="F486" s="276" t="s">
        <v>2093</v>
      </c>
      <c r="G486" t="s">
        <v>2093</v>
      </c>
    </row>
    <row r="487" spans="1:7" hidden="1" x14ac:dyDescent="0.25">
      <c r="A487" s="82" t="s">
        <v>2093</v>
      </c>
      <c r="B487" s="18" t="s">
        <v>2093</v>
      </c>
      <c r="C487" s="18" t="s">
        <v>2093</v>
      </c>
      <c r="D487" s="276" t="s">
        <v>2093</v>
      </c>
      <c r="E487" s="276" t="s">
        <v>2093</v>
      </c>
      <c r="F487" s="276" t="s">
        <v>2093</v>
      </c>
      <c r="G487" t="s">
        <v>2093</v>
      </c>
    </row>
    <row r="488" spans="1:7" hidden="1" x14ac:dyDescent="0.25">
      <c r="A488" s="82" t="s">
        <v>2093</v>
      </c>
      <c r="B488" s="18" t="s">
        <v>2093</v>
      </c>
      <c r="C488" s="18" t="s">
        <v>2093</v>
      </c>
      <c r="D488" s="276" t="s">
        <v>2093</v>
      </c>
      <c r="E488" s="276" t="s">
        <v>2093</v>
      </c>
      <c r="F488" s="276" t="s">
        <v>2093</v>
      </c>
      <c r="G488" t="s">
        <v>2093</v>
      </c>
    </row>
    <row r="489" spans="1:7" hidden="1" x14ac:dyDescent="0.25">
      <c r="A489" s="82" t="s">
        <v>2093</v>
      </c>
      <c r="B489" s="18" t="s">
        <v>2093</v>
      </c>
      <c r="C489" s="18" t="s">
        <v>2093</v>
      </c>
      <c r="D489" s="276" t="s">
        <v>2093</v>
      </c>
      <c r="E489" s="276" t="s">
        <v>2093</v>
      </c>
      <c r="F489" s="276" t="s">
        <v>2093</v>
      </c>
      <c r="G489" t="s">
        <v>2093</v>
      </c>
    </row>
    <row r="490" spans="1:7" hidden="1" x14ac:dyDescent="0.25">
      <c r="A490" s="82" t="s">
        <v>2093</v>
      </c>
      <c r="B490" s="18" t="s">
        <v>2093</v>
      </c>
      <c r="C490" s="18" t="s">
        <v>2093</v>
      </c>
      <c r="D490" s="276" t="s">
        <v>2093</v>
      </c>
      <c r="E490" s="276" t="s">
        <v>2093</v>
      </c>
      <c r="F490" s="276" t="s">
        <v>2093</v>
      </c>
      <c r="G490" t="s">
        <v>2093</v>
      </c>
    </row>
    <row r="491" spans="1:7" hidden="1" x14ac:dyDescent="0.25">
      <c r="A491" s="82" t="s">
        <v>2093</v>
      </c>
      <c r="B491" s="18" t="s">
        <v>2093</v>
      </c>
      <c r="C491" s="18" t="s">
        <v>2093</v>
      </c>
      <c r="D491" s="276" t="s">
        <v>2093</v>
      </c>
      <c r="E491" s="276" t="s">
        <v>2093</v>
      </c>
      <c r="F491" s="276" t="s">
        <v>2093</v>
      </c>
      <c r="G491" t="s">
        <v>2093</v>
      </c>
    </row>
    <row r="492" spans="1:7" hidden="1" x14ac:dyDescent="0.25">
      <c r="A492" s="82" t="s">
        <v>2093</v>
      </c>
      <c r="B492" s="18" t="s">
        <v>2093</v>
      </c>
      <c r="C492" s="18" t="s">
        <v>2093</v>
      </c>
      <c r="D492" s="276" t="s">
        <v>2093</v>
      </c>
      <c r="E492" s="276" t="s">
        <v>2093</v>
      </c>
      <c r="F492" s="276" t="s">
        <v>2093</v>
      </c>
      <c r="G492" t="s">
        <v>2093</v>
      </c>
    </row>
    <row r="493" spans="1:7" hidden="1" x14ac:dyDescent="0.25">
      <c r="A493" s="82" t="s">
        <v>2093</v>
      </c>
      <c r="B493" s="18" t="s">
        <v>2093</v>
      </c>
      <c r="C493" s="18" t="s">
        <v>2093</v>
      </c>
      <c r="D493" s="276" t="s">
        <v>2093</v>
      </c>
      <c r="E493" s="276" t="s">
        <v>2093</v>
      </c>
      <c r="F493" s="276" t="s">
        <v>2093</v>
      </c>
      <c r="G493" t="s">
        <v>2093</v>
      </c>
    </row>
    <row r="494" spans="1:7" hidden="1" x14ac:dyDescent="0.25">
      <c r="A494" s="82" t="s">
        <v>2093</v>
      </c>
      <c r="B494" s="18" t="s">
        <v>2093</v>
      </c>
      <c r="C494" s="18" t="s">
        <v>2093</v>
      </c>
      <c r="D494" s="276" t="s">
        <v>2093</v>
      </c>
      <c r="E494" s="276" t="s">
        <v>2093</v>
      </c>
      <c r="F494" s="276" t="s">
        <v>2093</v>
      </c>
      <c r="G494" t="s">
        <v>2093</v>
      </c>
    </row>
    <row r="495" spans="1:7" hidden="1" x14ac:dyDescent="0.25">
      <c r="A495" s="82" t="s">
        <v>2093</v>
      </c>
      <c r="B495" s="18" t="s">
        <v>2093</v>
      </c>
      <c r="C495" s="18" t="s">
        <v>2093</v>
      </c>
      <c r="D495" s="276" t="s">
        <v>2093</v>
      </c>
      <c r="E495" s="276" t="s">
        <v>2093</v>
      </c>
      <c r="F495" s="276" t="s">
        <v>2093</v>
      </c>
      <c r="G495" t="s">
        <v>2093</v>
      </c>
    </row>
    <row r="496" spans="1:7" hidden="1" x14ac:dyDescent="0.25">
      <c r="A496" s="82" t="s">
        <v>2093</v>
      </c>
      <c r="B496" s="18" t="s">
        <v>2093</v>
      </c>
      <c r="C496" s="18" t="s">
        <v>2093</v>
      </c>
      <c r="D496" s="276" t="s">
        <v>2093</v>
      </c>
      <c r="E496" s="276" t="s">
        <v>2093</v>
      </c>
      <c r="F496" s="276" t="s">
        <v>2093</v>
      </c>
      <c r="G496" t="s">
        <v>2093</v>
      </c>
    </row>
    <row r="497" spans="1:7" hidden="1" x14ac:dyDescent="0.25">
      <c r="A497" s="82" t="s">
        <v>2093</v>
      </c>
      <c r="B497" s="18" t="s">
        <v>2093</v>
      </c>
      <c r="C497" s="18" t="s">
        <v>2093</v>
      </c>
      <c r="D497" s="276" t="s">
        <v>2093</v>
      </c>
      <c r="E497" s="276" t="s">
        <v>2093</v>
      </c>
      <c r="F497" s="276" t="s">
        <v>2093</v>
      </c>
      <c r="G497" t="s">
        <v>2093</v>
      </c>
    </row>
    <row r="498" spans="1:7" hidden="1" x14ac:dyDescent="0.25">
      <c r="A498" s="82" t="s">
        <v>2093</v>
      </c>
      <c r="B498" s="18" t="s">
        <v>2093</v>
      </c>
      <c r="C498" s="18" t="s">
        <v>2093</v>
      </c>
      <c r="D498" s="276" t="s">
        <v>2093</v>
      </c>
      <c r="E498" s="276" t="s">
        <v>2093</v>
      </c>
      <c r="F498" s="276" t="s">
        <v>2093</v>
      </c>
      <c r="G498" t="s">
        <v>2093</v>
      </c>
    </row>
    <row r="499" spans="1:7" hidden="1" x14ac:dyDescent="0.25">
      <c r="A499" s="82" t="s">
        <v>2093</v>
      </c>
      <c r="B499" s="18" t="s">
        <v>2093</v>
      </c>
      <c r="C499" s="18" t="s">
        <v>2093</v>
      </c>
      <c r="D499" s="276" t="s">
        <v>2093</v>
      </c>
      <c r="E499" s="276" t="s">
        <v>2093</v>
      </c>
      <c r="F499" s="276" t="s">
        <v>2093</v>
      </c>
      <c r="G499" t="s">
        <v>2093</v>
      </c>
    </row>
    <row r="500" spans="1:7" hidden="1" x14ac:dyDescent="0.25">
      <c r="A500" s="82" t="s">
        <v>2093</v>
      </c>
      <c r="B500" s="18" t="s">
        <v>2093</v>
      </c>
      <c r="C500" s="18" t="s">
        <v>2093</v>
      </c>
      <c r="D500" s="276" t="s">
        <v>2093</v>
      </c>
      <c r="E500" s="276" t="s">
        <v>2093</v>
      </c>
      <c r="F500" s="276" t="s">
        <v>2093</v>
      </c>
      <c r="G500" t="s">
        <v>2093</v>
      </c>
    </row>
    <row r="501" spans="1:7" hidden="1" x14ac:dyDescent="0.25">
      <c r="A501" s="82" t="s">
        <v>2093</v>
      </c>
      <c r="B501" s="18" t="s">
        <v>2093</v>
      </c>
      <c r="C501" s="18" t="s">
        <v>2093</v>
      </c>
      <c r="D501" s="276" t="s">
        <v>2093</v>
      </c>
      <c r="E501" s="276" t="s">
        <v>2093</v>
      </c>
      <c r="F501" s="276" t="s">
        <v>2093</v>
      </c>
      <c r="G501" t="s">
        <v>2093</v>
      </c>
    </row>
    <row r="502" spans="1:7" hidden="1" x14ac:dyDescent="0.25">
      <c r="A502" s="82" t="s">
        <v>2093</v>
      </c>
      <c r="B502" s="18" t="s">
        <v>2093</v>
      </c>
      <c r="C502" s="18" t="s">
        <v>2093</v>
      </c>
      <c r="D502" s="276" t="s">
        <v>2093</v>
      </c>
      <c r="E502" s="276" t="s">
        <v>2093</v>
      </c>
      <c r="F502" s="276" t="s">
        <v>2093</v>
      </c>
      <c r="G502" t="s">
        <v>2093</v>
      </c>
    </row>
    <row r="503" spans="1:7" hidden="1" x14ac:dyDescent="0.25">
      <c r="A503" s="82" t="s">
        <v>2093</v>
      </c>
      <c r="B503" s="18" t="s">
        <v>2093</v>
      </c>
      <c r="C503" s="18" t="s">
        <v>2093</v>
      </c>
      <c r="D503" s="276" t="s">
        <v>2093</v>
      </c>
      <c r="E503" s="276" t="s">
        <v>2093</v>
      </c>
      <c r="F503" s="276" t="s">
        <v>2093</v>
      </c>
      <c r="G503" t="s">
        <v>2093</v>
      </c>
    </row>
    <row r="504" spans="1:7" hidden="1" x14ac:dyDescent="0.25">
      <c r="A504" s="82" t="s">
        <v>2093</v>
      </c>
      <c r="B504" s="18" t="s">
        <v>2093</v>
      </c>
      <c r="C504" s="18" t="s">
        <v>2093</v>
      </c>
      <c r="D504" s="276" t="s">
        <v>2093</v>
      </c>
      <c r="E504" s="276" t="s">
        <v>2093</v>
      </c>
      <c r="F504" s="276" t="s">
        <v>2093</v>
      </c>
      <c r="G504" t="s">
        <v>2093</v>
      </c>
    </row>
    <row r="505" spans="1:7" hidden="1" x14ac:dyDescent="0.25">
      <c r="A505" s="82" t="s">
        <v>2093</v>
      </c>
      <c r="B505" s="18" t="s">
        <v>2093</v>
      </c>
      <c r="C505" s="18" t="s">
        <v>2093</v>
      </c>
      <c r="D505" s="276" t="s">
        <v>2093</v>
      </c>
      <c r="E505" s="276" t="s">
        <v>2093</v>
      </c>
      <c r="F505" s="276" t="s">
        <v>2093</v>
      </c>
      <c r="G505" t="s">
        <v>2093</v>
      </c>
    </row>
    <row r="506" spans="1:7" hidden="1" x14ac:dyDescent="0.25">
      <c r="A506" s="82" t="s">
        <v>2093</v>
      </c>
      <c r="B506" s="18" t="s">
        <v>2093</v>
      </c>
      <c r="C506" s="18" t="s">
        <v>2093</v>
      </c>
      <c r="D506" s="276" t="s">
        <v>2093</v>
      </c>
      <c r="E506" s="276" t="s">
        <v>2093</v>
      </c>
      <c r="F506" s="276" t="s">
        <v>2093</v>
      </c>
      <c r="G506" t="s">
        <v>2093</v>
      </c>
    </row>
    <row r="507" spans="1:7" hidden="1" x14ac:dyDescent="0.25">
      <c r="A507" s="82" t="s">
        <v>2093</v>
      </c>
      <c r="B507" s="18" t="s">
        <v>2093</v>
      </c>
      <c r="C507" s="18" t="s">
        <v>2093</v>
      </c>
      <c r="D507" s="276" t="s">
        <v>2093</v>
      </c>
      <c r="E507" s="276" t="s">
        <v>2093</v>
      </c>
      <c r="F507" s="276" t="s">
        <v>2093</v>
      </c>
      <c r="G507" t="s">
        <v>2093</v>
      </c>
    </row>
    <row r="508" spans="1:7" hidden="1" x14ac:dyDescent="0.25">
      <c r="A508" s="82" t="s">
        <v>2093</v>
      </c>
      <c r="B508" s="18" t="s">
        <v>2093</v>
      </c>
      <c r="C508" s="18" t="s">
        <v>2093</v>
      </c>
      <c r="D508" s="276" t="s">
        <v>2093</v>
      </c>
      <c r="E508" s="276" t="s">
        <v>2093</v>
      </c>
      <c r="F508" s="276" t="s">
        <v>2093</v>
      </c>
      <c r="G508" t="s">
        <v>2093</v>
      </c>
    </row>
    <row r="509" spans="1:7" hidden="1" x14ac:dyDescent="0.25">
      <c r="A509" s="82" t="s">
        <v>2093</v>
      </c>
      <c r="B509" s="18" t="s">
        <v>2093</v>
      </c>
      <c r="C509" s="18" t="s">
        <v>2093</v>
      </c>
      <c r="D509" s="276" t="s">
        <v>2093</v>
      </c>
      <c r="E509" s="276" t="s">
        <v>2093</v>
      </c>
      <c r="F509" s="276" t="s">
        <v>2093</v>
      </c>
      <c r="G509" t="s">
        <v>2093</v>
      </c>
    </row>
    <row r="510" spans="1:7" hidden="1" x14ac:dyDescent="0.25">
      <c r="A510" s="82" t="s">
        <v>2093</v>
      </c>
      <c r="B510" s="18" t="s">
        <v>2093</v>
      </c>
      <c r="C510" s="18" t="s">
        <v>2093</v>
      </c>
      <c r="D510" s="276" t="s">
        <v>2093</v>
      </c>
      <c r="E510" s="276" t="s">
        <v>2093</v>
      </c>
      <c r="F510" s="276" t="s">
        <v>2093</v>
      </c>
      <c r="G510" t="s">
        <v>2093</v>
      </c>
    </row>
    <row r="511" spans="1:7" hidden="1" x14ac:dyDescent="0.25">
      <c r="A511" s="82" t="s">
        <v>2093</v>
      </c>
      <c r="B511" s="18" t="s">
        <v>2093</v>
      </c>
      <c r="C511" s="18" t="s">
        <v>2093</v>
      </c>
      <c r="D511" s="276" t="s">
        <v>2093</v>
      </c>
      <c r="E511" s="276" t="s">
        <v>2093</v>
      </c>
      <c r="F511" s="276" t="s">
        <v>2093</v>
      </c>
      <c r="G511" t="s">
        <v>2093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2093</v>
      </c>
    </row>
    <row r="513" spans="1:7" hidden="1" x14ac:dyDescent="0.25">
      <c r="A513" s="83" t="s">
        <v>2093</v>
      </c>
      <c r="B513" t="s">
        <v>2093</v>
      </c>
      <c r="C513" t="s">
        <v>2093</v>
      </c>
      <c r="D513" s="56" t="s">
        <v>2093</v>
      </c>
      <c r="E513" s="56" t="s">
        <v>2093</v>
      </c>
      <c r="F513" s="56" t="s">
        <v>2093</v>
      </c>
      <c r="G513" t="s">
        <v>2093</v>
      </c>
    </row>
    <row r="514" spans="1:7" hidden="1" x14ac:dyDescent="0.25">
      <c r="A514" s="83" t="s">
        <v>2093</v>
      </c>
      <c r="B514" t="s">
        <v>2093</v>
      </c>
      <c r="C514" t="s">
        <v>2093</v>
      </c>
      <c r="D514" s="56" t="s">
        <v>2093</v>
      </c>
      <c r="E514" s="56" t="s">
        <v>2093</v>
      </c>
      <c r="F514" s="56" t="s">
        <v>2093</v>
      </c>
      <c r="G514" t="s">
        <v>2093</v>
      </c>
    </row>
    <row r="515" spans="1:7" hidden="1" x14ac:dyDescent="0.25">
      <c r="A515" s="83" t="s">
        <v>2093</v>
      </c>
      <c r="B515" t="s">
        <v>2093</v>
      </c>
      <c r="C515" t="s">
        <v>2093</v>
      </c>
      <c r="D515" s="56" t="s">
        <v>2093</v>
      </c>
      <c r="E515" s="56" t="s">
        <v>2093</v>
      </c>
      <c r="F515" s="56" t="s">
        <v>2093</v>
      </c>
      <c r="G515" t="s">
        <v>2093</v>
      </c>
    </row>
    <row r="516" spans="1:7" hidden="1" x14ac:dyDescent="0.25">
      <c r="A516" s="83" t="s">
        <v>2093</v>
      </c>
      <c r="B516" t="s">
        <v>2093</v>
      </c>
      <c r="C516" t="s">
        <v>2093</v>
      </c>
      <c r="D516" s="56" t="s">
        <v>2093</v>
      </c>
      <c r="E516" s="56" t="s">
        <v>2093</v>
      </c>
      <c r="F516" s="56" t="s">
        <v>2093</v>
      </c>
      <c r="G516" t="s">
        <v>2093</v>
      </c>
    </row>
    <row r="517" spans="1:7" hidden="1" x14ac:dyDescent="0.25">
      <c r="A517" s="83" t="s">
        <v>2093</v>
      </c>
      <c r="B517" t="s">
        <v>2093</v>
      </c>
      <c r="C517" t="s">
        <v>2093</v>
      </c>
      <c r="D517" s="56" t="s">
        <v>2093</v>
      </c>
      <c r="E517" s="56" t="s">
        <v>2093</v>
      </c>
      <c r="F517" s="56" t="s">
        <v>2093</v>
      </c>
      <c r="G517" t="s">
        <v>2093</v>
      </c>
    </row>
  </sheetData>
  <autoFilter ref="A15:F517" xr:uid="{D483D071-BE2C-4142-9164-6B3A05321F4A}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 xr:uid="{6369C618-7FB8-4CDC-BCFB-080CACCB003F}"/>
    <hyperlink ref="B337" location="'ISO ID - SortGate'!A1" display="ISO ID, Sort Gate" xr:uid="{387EC4B2-F47C-4779-9CD1-5CBEF9D33138}"/>
    <hyperlink ref="B390" location="Robot!A1" display="Robots y Opcionales ( PRECIO EN EUROS)" xr:uid="{F9D4E8AE-E25C-425C-AAD6-22B0B525D441}"/>
    <hyperlink ref="B421" location="cañerias!A1" display="Caneria" xr:uid="{477960D9-8349-4E8F-82BF-03254E965D70}"/>
    <hyperlink ref="B297" location="'Extractores, indicadores'!A1" display="Extractores e indicadores de produccion" xr:uid="{8D16A60D-7DCF-4EEB-951D-1AD53DAAC434}"/>
    <hyperlink ref="B45" location="bombas!A1" display="Bombas de Vacio" xr:uid="{5A9C46BC-BCBD-4F77-B8A9-843326AC51C1}"/>
    <hyperlink ref="B152" location="'Placas, Filtros Lavadora,Recupe'!A1" display="Intercambiador a Placas, lavador y recuperdor de calor" xr:uid="{71166F3F-8D4C-45AB-9024-67F3C97E509A}"/>
    <hyperlink ref="B141" location="pulsado!A1" display="Pulsado y filtros" xr:uid="{1F16FC48-77F6-457C-9ACF-02C5A02F6752}"/>
    <hyperlink ref="B203" location="'Unidad Final'!A1" display="Unidad Final" xr:uid="{045177FA-D9F7-4A29-8153-44397899ACB2}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 xr:uid="{FB22A2E2-D2C5-433B-9FAF-D476212ABB1A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2211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2212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2213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 xr:uid="{95967D5D-E7B0-4164-AFE2-0403C887ADEE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 xr:uid="{D0122D29-263F-4919-967A-2937502CF90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2082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2083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2084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2085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2086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2087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2089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2088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2090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2091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2092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 xr:uid="{258F3267-031B-42F9-9F59-412DD906E95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83" t="s">
        <v>1839</v>
      </c>
      <c r="D4" s="483"/>
      <c r="E4" s="483"/>
      <c r="F4" s="483"/>
      <c r="G4" s="484"/>
    </row>
    <row r="5" spans="2:16" ht="15.75" thickBot="1" x14ac:dyDescent="0.3">
      <c r="B5" s="94" t="s">
        <v>0</v>
      </c>
      <c r="C5" s="485" t="s">
        <v>1840</v>
      </c>
      <c r="D5" s="485"/>
      <c r="E5" s="485"/>
      <c r="F5" s="485"/>
      <c r="G5" s="48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83" t="s">
        <v>1839</v>
      </c>
      <c r="D24" s="483"/>
      <c r="E24" s="483"/>
      <c r="F24" s="483"/>
      <c r="G24" s="484"/>
    </row>
    <row r="25" spans="2:16" ht="15.75" thickBot="1" x14ac:dyDescent="0.3">
      <c r="B25" s="94" t="s">
        <v>0</v>
      </c>
      <c r="C25" s="485" t="s">
        <v>1847</v>
      </c>
      <c r="D25" s="485"/>
      <c r="E25" s="485"/>
      <c r="F25" s="485"/>
      <c r="G25" s="48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83" t="s">
        <v>1839</v>
      </c>
      <c r="D31" s="483"/>
      <c r="E31" s="483"/>
      <c r="F31" s="483"/>
      <c r="G31" s="484"/>
    </row>
    <row r="32" spans="2:16" ht="15.75" thickBot="1" x14ac:dyDescent="0.3">
      <c r="B32" s="94" t="s">
        <v>0</v>
      </c>
      <c r="C32" s="485" t="s">
        <v>1848</v>
      </c>
      <c r="D32" s="485"/>
      <c r="E32" s="485"/>
      <c r="F32" s="485"/>
      <c r="G32" s="48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79" t="s">
        <v>1839</v>
      </c>
      <c r="D39" s="479"/>
      <c r="E39" s="479"/>
      <c r="F39" s="479"/>
      <c r="G39" s="480"/>
    </row>
    <row r="40" spans="2:16" ht="15.75" thickBot="1" x14ac:dyDescent="0.3">
      <c r="B40" s="104" t="s">
        <v>0</v>
      </c>
      <c r="C40" s="481" t="s">
        <v>1849</v>
      </c>
      <c r="D40" s="481"/>
      <c r="E40" s="481"/>
      <c r="F40" s="481"/>
      <c r="G40" s="482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79" t="s">
        <v>1839</v>
      </c>
      <c r="D48" s="479"/>
      <c r="E48" s="479"/>
      <c r="F48" s="479"/>
      <c r="G48" s="480"/>
    </row>
    <row r="49" spans="2:16" ht="15.75" thickBot="1" x14ac:dyDescent="0.3">
      <c r="B49" s="104" t="s">
        <v>0</v>
      </c>
      <c r="C49" s="481" t="s">
        <v>1850</v>
      </c>
      <c r="D49" s="481"/>
      <c r="E49" s="481"/>
      <c r="F49" s="481"/>
      <c r="G49" s="482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79" t="s">
        <v>1839</v>
      </c>
      <c r="D57" s="479"/>
      <c r="E57" s="479"/>
      <c r="F57" s="479"/>
      <c r="G57" s="480"/>
    </row>
    <row r="58" spans="2:16" ht="15.75" thickBot="1" x14ac:dyDescent="0.3">
      <c r="B58" s="104" t="s">
        <v>0</v>
      </c>
      <c r="C58" s="481" t="s">
        <v>1851</v>
      </c>
      <c r="D58" s="481"/>
      <c r="E58" s="481"/>
      <c r="F58" s="481"/>
      <c r="G58" s="482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79" t="s">
        <v>1839</v>
      </c>
      <c r="D66" s="479"/>
      <c r="E66" s="479"/>
      <c r="F66" s="479"/>
      <c r="G66" s="480"/>
    </row>
    <row r="67" spans="2:16" ht="15.75" thickBot="1" x14ac:dyDescent="0.3">
      <c r="B67" s="104" t="s">
        <v>0</v>
      </c>
      <c r="C67" s="481" t="s">
        <v>1852</v>
      </c>
      <c r="D67" s="481"/>
      <c r="E67" s="481"/>
      <c r="F67" s="481"/>
      <c r="G67" s="482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79" t="s">
        <v>1839</v>
      </c>
      <c r="D74" s="479"/>
      <c r="E74" s="479"/>
      <c r="F74" s="479"/>
      <c r="G74" s="480"/>
    </row>
    <row r="75" spans="2:16" ht="15.75" thickBot="1" x14ac:dyDescent="0.3">
      <c r="B75" s="104" t="s">
        <v>0</v>
      </c>
      <c r="C75" s="481" t="s">
        <v>1853</v>
      </c>
      <c r="D75" s="481"/>
      <c r="E75" s="481"/>
      <c r="F75" s="481"/>
      <c r="G75" s="482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3" t="s">
        <v>1845</v>
      </c>
      <c r="D80" s="473"/>
      <c r="E80" s="473"/>
      <c r="F80" s="473"/>
      <c r="G80" s="474"/>
    </row>
    <row r="81" spans="2:16" ht="15.75" thickBot="1" x14ac:dyDescent="0.3">
      <c r="B81" s="106" t="s">
        <v>0</v>
      </c>
      <c r="C81" s="475" t="s">
        <v>1846</v>
      </c>
      <c r="D81" s="475"/>
      <c r="E81" s="475"/>
      <c r="F81" s="475"/>
      <c r="G81" s="476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3" t="s">
        <v>1854</v>
      </c>
      <c r="D85" s="473"/>
      <c r="E85" s="473"/>
      <c r="F85" s="473"/>
      <c r="G85" s="474"/>
    </row>
    <row r="86" spans="2:16" ht="15.75" thickBot="1" x14ac:dyDescent="0.3">
      <c r="B86" s="106" t="s">
        <v>0</v>
      </c>
      <c r="C86" s="475" t="s">
        <v>1855</v>
      </c>
      <c r="D86" s="475"/>
      <c r="E86" s="475"/>
      <c r="F86" s="475"/>
      <c r="G86" s="476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77" t="s">
        <v>1856</v>
      </c>
      <c r="D91" s="477"/>
      <c r="E91" s="477"/>
      <c r="F91" s="477"/>
      <c r="G91" s="478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77" t="s">
        <v>1858</v>
      </c>
      <c r="D95" s="477"/>
      <c r="E95" s="477"/>
      <c r="F95" s="477"/>
      <c r="G95" s="478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4:G4"/>
    <mergeCell ref="C5:G5"/>
    <mergeCell ref="C24:G24"/>
    <mergeCell ref="C25:G25"/>
    <mergeCell ref="C32:G32"/>
    <mergeCell ref="C31:G31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85:G85"/>
    <mergeCell ref="C86:G86"/>
    <mergeCell ref="C91:G91"/>
    <mergeCell ref="C92:G92"/>
    <mergeCell ref="C96:G96"/>
    <mergeCell ref="C95:G95"/>
  </mergeCells>
  <hyperlinks>
    <hyperlink ref="I2" location="presu!A1" display="Presupuesto" xr:uid="{3DE831B5-22D2-499A-95AD-C1271E542A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2216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2076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2076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2252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2217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2218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2220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2221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2222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2223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2224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2225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2226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2227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2228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2229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2230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2231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2232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2233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2234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2235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2236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2237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2238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2239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2240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 xr:uid="{28AF9726-4EC7-499C-96B0-C5E118975A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EB68-0BF8-42D2-9A90-71D8807A38F5}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2070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2071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2072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2073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2074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77" t="s">
        <v>1839</v>
      </c>
      <c r="D17" s="477"/>
      <c r="E17" s="477"/>
      <c r="F17" s="477"/>
      <c r="G17" s="478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77" t="s">
        <v>1839</v>
      </c>
      <c r="D30" s="477"/>
      <c r="E30" s="477"/>
      <c r="F30" s="477"/>
      <c r="G30" s="478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2201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2202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2203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77" t="s">
        <v>1839</v>
      </c>
      <c r="D45" s="477"/>
      <c r="E45" s="477"/>
      <c r="F45" s="477"/>
      <c r="G45" s="478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2204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2202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2203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 xr:uid="{2D9D0D34-4EB3-4411-95C0-6A4445CB283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6244-26DF-47CD-8AE0-27CD8E6301EA}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2118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2094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2095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2096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2097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2098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2099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2100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2101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2102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2097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2102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2103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2104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2105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2106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2107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2108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2109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2110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2111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2112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2113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2114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2115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2116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2117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2094</v>
      </c>
      <c r="B391" t="s">
        <v>2177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2093</v>
      </c>
      <c r="B392" t="s">
        <v>2093</v>
      </c>
      <c r="C392" t="s">
        <v>2093</v>
      </c>
      <c r="D392" t="s">
        <v>2093</v>
      </c>
      <c r="E392" t="s">
        <v>2093</v>
      </c>
      <c r="F392" t="s">
        <v>2093</v>
      </c>
    </row>
    <row r="397" spans="1:6" x14ac:dyDescent="0.25">
      <c r="A397" t="s">
        <v>2093</v>
      </c>
      <c r="B397" t="s">
        <v>2093</v>
      </c>
      <c r="C397" t="s">
        <v>2093</v>
      </c>
      <c r="D397" t="s">
        <v>2093</v>
      </c>
      <c r="E397" t="s">
        <v>2093</v>
      </c>
      <c r="F397" t="s">
        <v>2093</v>
      </c>
    </row>
    <row r="398" spans="1:6" x14ac:dyDescent="0.25">
      <c r="A398" t="s">
        <v>2097</v>
      </c>
      <c r="B398" t="s">
        <v>2180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2093</v>
      </c>
      <c r="B399" t="s">
        <v>2093</v>
      </c>
      <c r="C399" t="s">
        <v>2093</v>
      </c>
      <c r="D399" t="s">
        <v>2093</v>
      </c>
      <c r="E399" t="s">
        <v>2093</v>
      </c>
      <c r="F399" t="s">
        <v>2093</v>
      </c>
    </row>
    <row r="400" spans="1:6" x14ac:dyDescent="0.25">
      <c r="A400" t="s">
        <v>2093</v>
      </c>
      <c r="B400" t="s">
        <v>2093</v>
      </c>
      <c r="C400" t="s">
        <v>2093</v>
      </c>
      <c r="D400" t="s">
        <v>2093</v>
      </c>
      <c r="E400" t="s">
        <v>2093</v>
      </c>
      <c r="F400" t="s">
        <v>2093</v>
      </c>
    </row>
    <row r="401" spans="1:6" x14ac:dyDescent="0.25">
      <c r="A401" t="s">
        <v>2093</v>
      </c>
      <c r="B401" t="s">
        <v>2093</v>
      </c>
      <c r="C401" t="s">
        <v>2093</v>
      </c>
      <c r="D401" t="s">
        <v>2093</v>
      </c>
      <c r="E401" t="s">
        <v>2093</v>
      </c>
      <c r="F401" t="s">
        <v>2093</v>
      </c>
    </row>
    <row r="402" spans="1:6" x14ac:dyDescent="0.25">
      <c r="A402" t="s">
        <v>2093</v>
      </c>
      <c r="B402" t="s">
        <v>2093</v>
      </c>
      <c r="C402" t="s">
        <v>2093</v>
      </c>
      <c r="D402" t="s">
        <v>2093</v>
      </c>
      <c r="E402" t="s">
        <v>2093</v>
      </c>
      <c r="F402" t="s">
        <v>2093</v>
      </c>
    </row>
    <row r="403" spans="1:6" x14ac:dyDescent="0.25">
      <c r="A403" t="s">
        <v>2093</v>
      </c>
      <c r="B403" t="s">
        <v>2093</v>
      </c>
      <c r="C403" t="s">
        <v>2093</v>
      </c>
      <c r="D403" t="s">
        <v>2093</v>
      </c>
      <c r="E403" t="s">
        <v>2093</v>
      </c>
      <c r="F403" t="s">
        <v>2093</v>
      </c>
    </row>
    <row r="404" spans="1:6" x14ac:dyDescent="0.25">
      <c r="A404" t="s">
        <v>2093</v>
      </c>
      <c r="B404" t="s">
        <v>2093</v>
      </c>
      <c r="C404" t="s">
        <v>2093</v>
      </c>
      <c r="D404" t="s">
        <v>2093</v>
      </c>
      <c r="E404" t="s">
        <v>2093</v>
      </c>
      <c r="F404" t="s">
        <v>2093</v>
      </c>
    </row>
    <row r="405" spans="1:6" x14ac:dyDescent="0.25">
      <c r="A405" t="s">
        <v>2093</v>
      </c>
      <c r="B405" t="s">
        <v>2093</v>
      </c>
      <c r="C405" t="s">
        <v>2093</v>
      </c>
      <c r="D405" t="s">
        <v>2093</v>
      </c>
      <c r="E405" t="s">
        <v>2093</v>
      </c>
      <c r="F405" t="s">
        <v>2093</v>
      </c>
    </row>
    <row r="406" spans="1:6" x14ac:dyDescent="0.25">
      <c r="A406" t="s">
        <v>2093</v>
      </c>
      <c r="B406" t="s">
        <v>2093</v>
      </c>
      <c r="C406" t="s">
        <v>2093</v>
      </c>
      <c r="D406" t="s">
        <v>2093</v>
      </c>
      <c r="E406" t="s">
        <v>2093</v>
      </c>
      <c r="F406" t="s">
        <v>2093</v>
      </c>
    </row>
    <row r="407" spans="1:6" x14ac:dyDescent="0.25">
      <c r="A407" t="s">
        <v>2093</v>
      </c>
      <c r="B407" t="s">
        <v>2093</v>
      </c>
      <c r="C407" t="s">
        <v>2093</v>
      </c>
      <c r="D407" t="s">
        <v>2093</v>
      </c>
      <c r="E407" t="s">
        <v>2093</v>
      </c>
      <c r="F407" t="s">
        <v>2093</v>
      </c>
    </row>
    <row r="408" spans="1:6" x14ac:dyDescent="0.25">
      <c r="A408" t="s">
        <v>2105</v>
      </c>
      <c r="B408" t="s">
        <v>2188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2093</v>
      </c>
      <c r="B409" t="s">
        <v>2093</v>
      </c>
      <c r="C409" t="s">
        <v>2093</v>
      </c>
      <c r="D409" t="s">
        <v>2093</v>
      </c>
      <c r="E409" t="s">
        <v>2093</v>
      </c>
      <c r="F409" t="s">
        <v>2093</v>
      </c>
    </row>
    <row r="410" spans="1:6" x14ac:dyDescent="0.25">
      <c r="A410" t="s">
        <v>2093</v>
      </c>
      <c r="B410" t="s">
        <v>2093</v>
      </c>
      <c r="C410" t="s">
        <v>2093</v>
      </c>
      <c r="D410" t="s">
        <v>2093</v>
      </c>
      <c r="E410" t="s">
        <v>2093</v>
      </c>
      <c r="F410" t="s">
        <v>2093</v>
      </c>
    </row>
    <row r="411" spans="1:6" x14ac:dyDescent="0.25">
      <c r="A411" t="s">
        <v>2093</v>
      </c>
      <c r="B411" t="s">
        <v>2093</v>
      </c>
      <c r="C411" t="s">
        <v>2093</v>
      </c>
      <c r="D411" t="s">
        <v>2093</v>
      </c>
      <c r="E411" t="s">
        <v>2093</v>
      </c>
      <c r="F411" t="s">
        <v>2093</v>
      </c>
    </row>
    <row r="412" spans="1:6" x14ac:dyDescent="0.25">
      <c r="A412" t="s">
        <v>2109</v>
      </c>
      <c r="B412" t="s">
        <v>2192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2110</v>
      </c>
      <c r="B413" t="s">
        <v>2193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2093</v>
      </c>
      <c r="B414" t="s">
        <v>2093</v>
      </c>
      <c r="C414" t="s">
        <v>2093</v>
      </c>
      <c r="D414" t="s">
        <v>2093</v>
      </c>
      <c r="E414" t="s">
        <v>2093</v>
      </c>
      <c r="F414" t="s">
        <v>2093</v>
      </c>
    </row>
    <row r="415" spans="1:6" x14ac:dyDescent="0.25">
      <c r="A415" t="s">
        <v>2112</v>
      </c>
      <c r="B415" t="s">
        <v>2195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2093</v>
      </c>
      <c r="B416" t="s">
        <v>2093</v>
      </c>
      <c r="C416" t="s">
        <v>2093</v>
      </c>
      <c r="D416" t="s">
        <v>2093</v>
      </c>
      <c r="E416" t="s">
        <v>2093</v>
      </c>
      <c r="F416" t="s">
        <v>2093</v>
      </c>
    </row>
    <row r="417" spans="1:6" x14ac:dyDescent="0.25">
      <c r="A417" t="s">
        <v>2093</v>
      </c>
      <c r="B417" t="s">
        <v>2093</v>
      </c>
      <c r="C417" t="s">
        <v>2093</v>
      </c>
      <c r="D417" t="s">
        <v>2093</v>
      </c>
      <c r="E417" t="s">
        <v>2093</v>
      </c>
      <c r="F417" t="s">
        <v>2093</v>
      </c>
    </row>
    <row r="418" spans="1:6" x14ac:dyDescent="0.25">
      <c r="A418" t="s">
        <v>2115</v>
      </c>
      <c r="B418" t="s">
        <v>2198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2093</v>
      </c>
      <c r="B419" t="s">
        <v>2093</v>
      </c>
      <c r="C419" t="s">
        <v>2093</v>
      </c>
      <c r="D419" t="s">
        <v>2093</v>
      </c>
      <c r="E419" t="s">
        <v>2093</v>
      </c>
      <c r="F419" t="s">
        <v>2093</v>
      </c>
    </row>
    <row r="420" spans="1:6" x14ac:dyDescent="0.25">
      <c r="A420" t="s">
        <v>2093</v>
      </c>
      <c r="B420" t="s">
        <v>2093</v>
      </c>
      <c r="C420" t="s">
        <v>2093</v>
      </c>
      <c r="D420" t="s">
        <v>2093</v>
      </c>
      <c r="E420" t="s">
        <v>2093</v>
      </c>
      <c r="F420" t="s">
        <v>2093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 xr:uid="{6435EB2E-EA21-4988-94CF-369AEDDA6DE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58BD7-4F5F-4D3B-B569-8B80F5258A3A}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77" t="s">
        <v>1839</v>
      </c>
      <c r="D4" s="477"/>
      <c r="E4" s="477"/>
      <c r="F4" s="477"/>
      <c r="G4" s="478"/>
    </row>
    <row r="5" spans="2:16" ht="15.75" thickBot="1" x14ac:dyDescent="0.3">
      <c r="B5" s="378" t="s">
        <v>0</v>
      </c>
      <c r="C5" s="463" t="s">
        <v>2135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77" t="s">
        <v>1839</v>
      </c>
      <c r="D11" s="477"/>
      <c r="E11" s="477"/>
      <c r="F11" s="477"/>
      <c r="G11" s="478"/>
      <c r="N11"/>
      <c r="O11"/>
      <c r="P11"/>
    </row>
    <row r="12" spans="2:16" x14ac:dyDescent="0.25">
      <c r="B12" s="158" t="s">
        <v>0</v>
      </c>
      <c r="C12" s="494" t="s">
        <v>2147</v>
      </c>
      <c r="D12" s="494"/>
      <c r="E12" s="494"/>
      <c r="F12" s="494"/>
      <c r="G12" s="495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79" t="s">
        <v>1839</v>
      </c>
      <c r="D19" s="479"/>
      <c r="E19" s="479"/>
      <c r="F19" s="479"/>
      <c r="G19" s="480"/>
      <c r="N19"/>
      <c r="O19"/>
      <c r="P19"/>
    </row>
    <row r="20" spans="2:16" ht="15.75" thickBot="1" x14ac:dyDescent="0.3">
      <c r="B20" s="104" t="s">
        <v>0</v>
      </c>
      <c r="C20" s="481" t="s">
        <v>2148</v>
      </c>
      <c r="D20" s="481"/>
      <c r="E20" s="481"/>
      <c r="F20" s="481"/>
      <c r="G20" s="482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2142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2142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79" t="s">
        <v>1839</v>
      </c>
      <c r="D28" s="479"/>
      <c r="E28" s="479"/>
      <c r="F28" s="479"/>
      <c r="G28" s="480"/>
      <c r="N28"/>
      <c r="O28"/>
      <c r="P28"/>
    </row>
    <row r="29" spans="2:16" ht="15.75" thickBot="1" x14ac:dyDescent="0.3">
      <c r="B29" s="104" t="s">
        <v>0</v>
      </c>
      <c r="C29" s="481" t="s">
        <v>2146</v>
      </c>
      <c r="D29" s="481"/>
      <c r="E29" s="481"/>
      <c r="F29" s="481"/>
      <c r="G29" s="482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79" t="s">
        <v>1839</v>
      </c>
      <c r="D36" s="479"/>
      <c r="E36" s="479"/>
      <c r="F36" s="479"/>
      <c r="G36" s="480"/>
    </row>
    <row r="37" spans="2:16" ht="15.75" thickBot="1" x14ac:dyDescent="0.3">
      <c r="B37" s="104" t="s">
        <v>0</v>
      </c>
      <c r="C37" s="481" t="s">
        <v>2143</v>
      </c>
      <c r="D37" s="481"/>
      <c r="E37" s="481"/>
      <c r="F37" s="481"/>
      <c r="G37" s="482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2144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2144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79" t="s">
        <v>1839</v>
      </c>
      <c r="D45" s="479"/>
      <c r="E45" s="479"/>
      <c r="F45" s="479"/>
      <c r="G45" s="480"/>
    </row>
    <row r="46" spans="2:16" ht="15.75" thickBot="1" x14ac:dyDescent="0.3">
      <c r="B46" s="380" t="s">
        <v>0</v>
      </c>
      <c r="C46" s="481" t="s">
        <v>2149</v>
      </c>
      <c r="D46" s="481"/>
      <c r="E46" s="481"/>
      <c r="F46" s="481"/>
      <c r="G46" s="482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2145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2145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2144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2144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0"/>
      <c r="D52" s="490"/>
      <c r="E52" s="490"/>
      <c r="F52" s="490"/>
      <c r="G52" s="491"/>
    </row>
    <row r="53" spans="2:17" ht="15.75" thickBot="1" x14ac:dyDescent="0.3">
      <c r="B53" s="362" t="s">
        <v>0</v>
      </c>
      <c r="C53" s="492" t="s">
        <v>2136</v>
      </c>
      <c r="D53" s="492"/>
      <c r="E53" s="492"/>
      <c r="F53" s="492"/>
      <c r="G53" s="493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0"/>
      <c r="D59" s="490"/>
      <c r="E59" s="490"/>
      <c r="F59" s="490"/>
      <c r="G59" s="491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2" t="s">
        <v>2137</v>
      </c>
      <c r="D60" s="492"/>
      <c r="E60" s="492"/>
      <c r="F60" s="492"/>
      <c r="G60" s="493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77" t="s">
        <v>1839</v>
      </c>
      <c r="D66" s="477"/>
      <c r="E66" s="477"/>
      <c r="F66" s="477"/>
      <c r="G66" s="478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2138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77" t="s">
        <v>1839</v>
      </c>
      <c r="D73" s="477"/>
      <c r="E73" s="477"/>
      <c r="F73" s="477"/>
      <c r="G73" s="478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2139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77" t="s">
        <v>1839</v>
      </c>
      <c r="D79" s="477"/>
      <c r="E79" s="477"/>
      <c r="F79" s="477"/>
      <c r="G79" s="478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2140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77" t="s">
        <v>1839</v>
      </c>
      <c r="D85" s="477"/>
      <c r="E85" s="477"/>
      <c r="F85" s="477"/>
      <c r="G85" s="478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2205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77" t="s">
        <v>1839</v>
      </c>
      <c r="D91" s="477"/>
      <c r="E91" s="477"/>
      <c r="F91" s="477"/>
      <c r="G91" s="478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2141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2142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2144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2145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2144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2093</v>
      </c>
      <c r="B470" t="s">
        <v>2093</v>
      </c>
      <c r="C470" t="s">
        <v>2093</v>
      </c>
      <c r="D470" t="s">
        <v>2093</v>
      </c>
      <c r="E470" s="56" t="s">
        <v>2093</v>
      </c>
      <c r="F470" t="s">
        <v>2093</v>
      </c>
    </row>
    <row r="471" spans="1:6" x14ac:dyDescent="0.25">
      <c r="A471" t="s">
        <v>2093</v>
      </c>
      <c r="B471" t="s">
        <v>2093</v>
      </c>
      <c r="C471" t="s">
        <v>2093</v>
      </c>
      <c r="D471" t="s">
        <v>2093</v>
      </c>
      <c r="E471" s="56" t="s">
        <v>2093</v>
      </c>
      <c r="F471" t="s">
        <v>2093</v>
      </c>
    </row>
    <row r="472" spans="1:6" x14ac:dyDescent="0.25">
      <c r="A472" t="s">
        <v>2093</v>
      </c>
      <c r="B472" t="s">
        <v>2093</v>
      </c>
      <c r="C472" t="s">
        <v>2093</v>
      </c>
      <c r="D472" t="s">
        <v>2093</v>
      </c>
      <c r="E472" s="56" t="s">
        <v>2093</v>
      </c>
      <c r="F472" t="s">
        <v>2093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2093</v>
      </c>
      <c r="C474" t="s">
        <v>2093</v>
      </c>
      <c r="D474" t="s">
        <v>2093</v>
      </c>
      <c r="E474" s="56" t="s">
        <v>2093</v>
      </c>
      <c r="F474" t="s">
        <v>2093</v>
      </c>
    </row>
    <row r="475" spans="1:6" x14ac:dyDescent="0.25">
      <c r="B475" t="s">
        <v>2093</v>
      </c>
      <c r="C475" t="s">
        <v>2093</v>
      </c>
      <c r="D475" t="s">
        <v>2093</v>
      </c>
      <c r="E475" s="56" t="s">
        <v>2093</v>
      </c>
      <c r="F475" t="s">
        <v>2093</v>
      </c>
    </row>
    <row r="476" spans="1:6" x14ac:dyDescent="0.25">
      <c r="B476" t="s">
        <v>2093</v>
      </c>
      <c r="C476" t="s">
        <v>2093</v>
      </c>
      <c r="D476" t="s">
        <v>2093</v>
      </c>
      <c r="E476" s="56" t="s">
        <v>2093</v>
      </c>
      <c r="F476" t="s">
        <v>2093</v>
      </c>
    </row>
    <row r="477" spans="1:6" x14ac:dyDescent="0.25">
      <c r="A477" t="s">
        <v>2093</v>
      </c>
      <c r="B477" t="s">
        <v>2093</v>
      </c>
      <c r="C477" t="s">
        <v>2093</v>
      </c>
      <c r="D477" t="s">
        <v>2093</v>
      </c>
      <c r="E477" s="56" t="s">
        <v>2093</v>
      </c>
      <c r="F477" t="s">
        <v>2093</v>
      </c>
    </row>
    <row r="478" spans="1:6" x14ac:dyDescent="0.25">
      <c r="A478" t="s">
        <v>2093</v>
      </c>
      <c r="B478" t="s">
        <v>2093</v>
      </c>
      <c r="C478" t="s">
        <v>2093</v>
      </c>
      <c r="D478" t="s">
        <v>2093</v>
      </c>
      <c r="E478" s="56" t="s">
        <v>2093</v>
      </c>
      <c r="F478" t="s">
        <v>2093</v>
      </c>
    </row>
    <row r="479" spans="1:6" x14ac:dyDescent="0.25">
      <c r="A479" t="s">
        <v>2093</v>
      </c>
      <c r="B479" t="s">
        <v>2093</v>
      </c>
      <c r="C479" t="s">
        <v>2093</v>
      </c>
      <c r="D479" t="s">
        <v>2093</v>
      </c>
      <c r="E479" s="56" t="s">
        <v>2093</v>
      </c>
      <c r="F479" t="s">
        <v>2093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2093</v>
      </c>
      <c r="B481" t="s">
        <v>2093</v>
      </c>
      <c r="C481" t="s">
        <v>2093</v>
      </c>
      <c r="D481" t="s">
        <v>2093</v>
      </c>
      <c r="E481" s="56" t="s">
        <v>2093</v>
      </c>
      <c r="F481" t="s">
        <v>2093</v>
      </c>
    </row>
    <row r="482" spans="1:6" x14ac:dyDescent="0.25">
      <c r="A482" t="s">
        <v>2093</v>
      </c>
      <c r="B482" t="s">
        <v>2093</v>
      </c>
      <c r="C482" t="s">
        <v>2093</v>
      </c>
      <c r="D482" t="s">
        <v>2093</v>
      </c>
      <c r="E482" s="56" t="s">
        <v>2093</v>
      </c>
      <c r="F482" t="s">
        <v>2093</v>
      </c>
    </row>
    <row r="483" spans="1:6" x14ac:dyDescent="0.25">
      <c r="A483" t="s">
        <v>2093</v>
      </c>
      <c r="B483" t="s">
        <v>2093</v>
      </c>
      <c r="C483" t="s">
        <v>2093</v>
      </c>
      <c r="D483" t="s">
        <v>2093</v>
      </c>
      <c r="E483" s="56" t="s">
        <v>2093</v>
      </c>
      <c r="F483" t="s">
        <v>2093</v>
      </c>
    </row>
    <row r="484" spans="1:6" x14ac:dyDescent="0.25">
      <c r="A484" t="s">
        <v>2093</v>
      </c>
      <c r="B484" t="s">
        <v>2093</v>
      </c>
      <c r="C484" t="s">
        <v>2093</v>
      </c>
      <c r="D484" t="s">
        <v>2093</v>
      </c>
      <c r="E484" s="56" t="s">
        <v>2093</v>
      </c>
      <c r="F484" t="s">
        <v>2093</v>
      </c>
    </row>
    <row r="485" spans="1:6" x14ac:dyDescent="0.25">
      <c r="A485" t="s">
        <v>2093</v>
      </c>
      <c r="B485" t="s">
        <v>2093</v>
      </c>
      <c r="C485" t="s">
        <v>2093</v>
      </c>
      <c r="D485" t="s">
        <v>2093</v>
      </c>
      <c r="E485" s="56" t="s">
        <v>2093</v>
      </c>
      <c r="F485" t="s">
        <v>2093</v>
      </c>
    </row>
    <row r="486" spans="1:6" x14ac:dyDescent="0.25">
      <c r="A486" t="s">
        <v>2093</v>
      </c>
      <c r="B486" t="s">
        <v>2093</v>
      </c>
      <c r="C486" t="s">
        <v>2093</v>
      </c>
      <c r="D486" t="s">
        <v>2093</v>
      </c>
      <c r="E486" s="56" t="s">
        <v>2093</v>
      </c>
      <c r="F486" t="s">
        <v>2093</v>
      </c>
    </row>
    <row r="487" spans="1:6" x14ac:dyDescent="0.25">
      <c r="A487" t="s">
        <v>2093</v>
      </c>
      <c r="B487" t="s">
        <v>2093</v>
      </c>
      <c r="C487" t="s">
        <v>2093</v>
      </c>
      <c r="D487" t="s">
        <v>2093</v>
      </c>
      <c r="E487" s="56" t="s">
        <v>2093</v>
      </c>
      <c r="F487" t="s">
        <v>2093</v>
      </c>
    </row>
    <row r="488" spans="1:6" x14ac:dyDescent="0.25">
      <c r="A488" t="s">
        <v>2093</v>
      </c>
      <c r="B488" t="s">
        <v>2093</v>
      </c>
      <c r="C488" t="s">
        <v>2093</v>
      </c>
      <c r="D488" t="s">
        <v>2093</v>
      </c>
      <c r="E488" s="56" t="s">
        <v>2093</v>
      </c>
      <c r="F488" t="s">
        <v>2093</v>
      </c>
    </row>
    <row r="489" spans="1:6" x14ac:dyDescent="0.25">
      <c r="A489" t="s">
        <v>2093</v>
      </c>
      <c r="B489" t="s">
        <v>2093</v>
      </c>
      <c r="C489" t="s">
        <v>2093</v>
      </c>
      <c r="D489" t="s">
        <v>2093</v>
      </c>
      <c r="E489" s="56" t="s">
        <v>2093</v>
      </c>
      <c r="F489" t="s">
        <v>2093</v>
      </c>
    </row>
    <row r="490" spans="1:6" x14ac:dyDescent="0.25">
      <c r="A490" t="s">
        <v>2093</v>
      </c>
      <c r="B490" t="s">
        <v>2093</v>
      </c>
      <c r="C490" t="s">
        <v>2093</v>
      </c>
      <c r="D490" t="s">
        <v>2093</v>
      </c>
      <c r="E490" s="56" t="s">
        <v>2093</v>
      </c>
      <c r="F490" t="s">
        <v>2093</v>
      </c>
    </row>
    <row r="491" spans="1:6" x14ac:dyDescent="0.25">
      <c r="A491" t="s">
        <v>2093</v>
      </c>
      <c r="B491" t="s">
        <v>2093</v>
      </c>
      <c r="C491" t="s">
        <v>2093</v>
      </c>
      <c r="D491" t="s">
        <v>2093</v>
      </c>
      <c r="E491" s="56" t="s">
        <v>2093</v>
      </c>
      <c r="F491" t="s">
        <v>2093</v>
      </c>
    </row>
    <row r="492" spans="1:6" x14ac:dyDescent="0.25">
      <c r="A492" t="s">
        <v>2093</v>
      </c>
      <c r="B492" t="s">
        <v>2093</v>
      </c>
      <c r="C492" t="s">
        <v>2093</v>
      </c>
      <c r="D492" t="s">
        <v>2093</v>
      </c>
      <c r="E492" s="56" t="s">
        <v>2093</v>
      </c>
      <c r="F492" t="s">
        <v>2093</v>
      </c>
    </row>
    <row r="493" spans="1:6" x14ac:dyDescent="0.25">
      <c r="A493" t="s">
        <v>2093</v>
      </c>
      <c r="B493" t="s">
        <v>2093</v>
      </c>
      <c r="C493" t="s">
        <v>2093</v>
      </c>
      <c r="D493" t="s">
        <v>2093</v>
      </c>
      <c r="E493" s="56" t="s">
        <v>2093</v>
      </c>
      <c r="F493" t="s">
        <v>2093</v>
      </c>
    </row>
    <row r="494" spans="1:6" x14ac:dyDescent="0.25">
      <c r="A494" t="s">
        <v>2093</v>
      </c>
      <c r="B494" t="s">
        <v>2093</v>
      </c>
      <c r="C494" t="s">
        <v>2093</v>
      </c>
      <c r="D494" t="s">
        <v>2093</v>
      </c>
      <c r="E494" s="56" t="s">
        <v>2093</v>
      </c>
      <c r="F494" t="s">
        <v>2093</v>
      </c>
    </row>
    <row r="495" spans="1:6" x14ac:dyDescent="0.25">
      <c r="A495" t="s">
        <v>2093</v>
      </c>
      <c r="B495" t="s">
        <v>2093</v>
      </c>
      <c r="C495" t="s">
        <v>2093</v>
      </c>
      <c r="D495" t="s">
        <v>2093</v>
      </c>
      <c r="E495" s="56" t="s">
        <v>2093</v>
      </c>
      <c r="F495" t="s">
        <v>2093</v>
      </c>
    </row>
    <row r="496" spans="1:6" x14ac:dyDescent="0.25">
      <c r="A496" t="s">
        <v>2093</v>
      </c>
      <c r="B496" t="s">
        <v>2093</v>
      </c>
      <c r="C496" t="s">
        <v>2093</v>
      </c>
      <c r="D496" t="s">
        <v>2093</v>
      </c>
      <c r="E496" s="56" t="s">
        <v>2093</v>
      </c>
      <c r="F496" t="s">
        <v>2093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2093</v>
      </c>
      <c r="B499" t="s">
        <v>2093</v>
      </c>
      <c r="C499" t="s">
        <v>2093</v>
      </c>
      <c r="D499" t="s">
        <v>2093</v>
      </c>
      <c r="E499" s="56" t="s">
        <v>2093</v>
      </c>
      <c r="F499" t="s">
        <v>2093</v>
      </c>
    </row>
    <row r="500" spans="1:6" x14ac:dyDescent="0.25">
      <c r="A500" t="s">
        <v>2093</v>
      </c>
      <c r="B500" t="s">
        <v>2093</v>
      </c>
      <c r="C500" t="s">
        <v>2093</v>
      </c>
      <c r="D500" t="s">
        <v>2093</v>
      </c>
      <c r="E500" s="56" t="s">
        <v>2093</v>
      </c>
      <c r="F500" t="s">
        <v>2093</v>
      </c>
    </row>
    <row r="501" spans="1:6" x14ac:dyDescent="0.25">
      <c r="A501" t="s">
        <v>2093</v>
      </c>
      <c r="B501" t="s">
        <v>2093</v>
      </c>
      <c r="C501" t="s">
        <v>2093</v>
      </c>
      <c r="D501" t="s">
        <v>2093</v>
      </c>
      <c r="E501" s="56" t="s">
        <v>2093</v>
      </c>
      <c r="F501" t="s">
        <v>2093</v>
      </c>
    </row>
    <row r="502" spans="1:6" x14ac:dyDescent="0.25">
      <c r="A502" t="s">
        <v>2093</v>
      </c>
      <c r="B502" t="s">
        <v>2093</v>
      </c>
      <c r="C502" t="s">
        <v>2093</v>
      </c>
      <c r="D502" t="s">
        <v>2093</v>
      </c>
      <c r="E502" s="56" t="s">
        <v>2093</v>
      </c>
      <c r="F502" t="s">
        <v>2093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2093</v>
      </c>
      <c r="B506" t="s">
        <v>2093</v>
      </c>
      <c r="C506" t="s">
        <v>2093</v>
      </c>
      <c r="D506" t="s">
        <v>2093</v>
      </c>
      <c r="E506" s="56" t="s">
        <v>2093</v>
      </c>
      <c r="F506" t="s">
        <v>2093</v>
      </c>
    </row>
    <row r="507" spans="1:6" x14ac:dyDescent="0.25">
      <c r="A507" t="s">
        <v>2093</v>
      </c>
      <c r="B507" t="s">
        <v>2093</v>
      </c>
      <c r="C507" t="s">
        <v>2093</v>
      </c>
      <c r="D507" t="s">
        <v>2093</v>
      </c>
      <c r="E507" s="56" t="s">
        <v>2093</v>
      </c>
      <c r="F507" t="s">
        <v>2093</v>
      </c>
    </row>
    <row r="508" spans="1:6" x14ac:dyDescent="0.25">
      <c r="A508" t="s">
        <v>2093</v>
      </c>
      <c r="B508" t="s">
        <v>2093</v>
      </c>
      <c r="C508" t="s">
        <v>2093</v>
      </c>
      <c r="D508" t="s">
        <v>2093</v>
      </c>
      <c r="E508" s="56" t="s">
        <v>2093</v>
      </c>
      <c r="F508" t="s">
        <v>2093</v>
      </c>
    </row>
    <row r="509" spans="1:6" x14ac:dyDescent="0.25">
      <c r="A509" t="s">
        <v>2093</v>
      </c>
      <c r="B509" t="s">
        <v>2093</v>
      </c>
      <c r="C509" t="s">
        <v>2093</v>
      </c>
      <c r="D509" t="s">
        <v>2093</v>
      </c>
      <c r="E509" s="56" t="s">
        <v>2093</v>
      </c>
      <c r="F509" t="s">
        <v>2093</v>
      </c>
    </row>
    <row r="510" spans="1:6" x14ac:dyDescent="0.25">
      <c r="A510" t="s">
        <v>2093</v>
      </c>
      <c r="B510" t="s">
        <v>2093</v>
      </c>
      <c r="C510" t="s">
        <v>2093</v>
      </c>
      <c r="D510" t="s">
        <v>2093</v>
      </c>
      <c r="E510" s="56" t="s">
        <v>2093</v>
      </c>
      <c r="F510" t="s">
        <v>2093</v>
      </c>
    </row>
    <row r="511" spans="1:6" x14ac:dyDescent="0.25">
      <c r="A511" t="s">
        <v>2093</v>
      </c>
      <c r="B511" t="s">
        <v>2093</v>
      </c>
      <c r="C511" t="s">
        <v>2093</v>
      </c>
      <c r="D511" t="s">
        <v>2093</v>
      </c>
      <c r="E511" s="56" t="s">
        <v>2093</v>
      </c>
      <c r="F511" t="s">
        <v>2093</v>
      </c>
    </row>
  </sheetData>
  <mergeCells count="26">
    <mergeCell ref="C19:G19"/>
    <mergeCell ref="C20:G20"/>
    <mergeCell ref="C28:G28"/>
    <mergeCell ref="C29:G29"/>
    <mergeCell ref="C4:G4"/>
    <mergeCell ref="C5:G5"/>
    <mergeCell ref="C11:G11"/>
    <mergeCell ref="C12:G12"/>
    <mergeCell ref="C67:G67"/>
    <mergeCell ref="C59:G59"/>
    <mergeCell ref="C60:G60"/>
    <mergeCell ref="C52:G52"/>
    <mergeCell ref="C53:G53"/>
    <mergeCell ref="C36:G36"/>
    <mergeCell ref="C37:G37"/>
    <mergeCell ref="C45:G45"/>
    <mergeCell ref="C46:G46"/>
    <mergeCell ref="C66:G66"/>
    <mergeCell ref="C86:G86"/>
    <mergeCell ref="C91:G91"/>
    <mergeCell ref="C92:G92"/>
    <mergeCell ref="C73:G73"/>
    <mergeCell ref="C74:G74"/>
    <mergeCell ref="C79:G79"/>
    <mergeCell ref="C80:G80"/>
    <mergeCell ref="C85:G85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 xr:uid="{220D7325-14B1-4B36-AA36-2AFEA82925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2EA5-C99A-4A37-9933-4A7B83E38E38}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2081</v>
      </c>
      <c r="I3" s="292" t="s">
        <v>65</v>
      </c>
    </row>
    <row r="4" spans="1:11" ht="15.75" thickBot="1" x14ac:dyDescent="0.3">
      <c r="H4" s="163"/>
      <c r="I4" s="293" t="s">
        <v>2262</v>
      </c>
    </row>
    <row r="5" spans="1:11" ht="26.25" x14ac:dyDescent="0.25">
      <c r="A5" s="321" t="s">
        <v>1832</v>
      </c>
      <c r="B5" s="322" t="s">
        <v>2081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2081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2260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AAFE-A3CE-457F-B816-2F51E84C5074}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 xr:uid="{4FACD027-EC92-41CA-B476-7894872285A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370"/>
  <sheetViews>
    <sheetView workbookViewId="0">
      <pane xSplit="4" ySplit="4" topLeftCell="E391" activePane="bottomRight" state="frozen"/>
      <selection pane="topRight" activeCell="E1" sqref="E1"/>
      <selection pane="bottomLeft" activeCell="A5" sqref="A5"/>
      <selection pane="bottomRight" activeCell="E511" sqref="E511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2081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2206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2094</v>
      </c>
      <c r="B67" s="260" t="s">
        <v>2177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2095</v>
      </c>
      <c r="B68" s="260" t="s">
        <v>2178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2096</v>
      </c>
      <c r="B69" s="260" t="s">
        <v>2179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2097</v>
      </c>
      <c r="B70" s="260" t="s">
        <v>2180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2098</v>
      </c>
      <c r="B71" s="260" t="s">
        <v>2181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2099</v>
      </c>
      <c r="B72" s="260" t="s">
        <v>2182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2100</v>
      </c>
      <c r="B73" s="260" t="s">
        <v>2183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2101</v>
      </c>
      <c r="B74" s="260" t="s">
        <v>2184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2102</v>
      </c>
      <c r="B75" s="260" t="s">
        <v>2185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2097</v>
      </c>
      <c r="B76" s="260" t="s">
        <v>2180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2102</v>
      </c>
      <c r="B77" s="260" t="s">
        <v>2185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2103</v>
      </c>
      <c r="B78" s="260" t="s">
        <v>2186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2104</v>
      </c>
      <c r="B79" s="260" t="s">
        <v>2187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2105</v>
      </c>
      <c r="B80" s="260" t="s">
        <v>2188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2106</v>
      </c>
      <c r="B81" s="260" t="s">
        <v>2189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2107</v>
      </c>
      <c r="B82" s="260" t="s">
        <v>2190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2108</v>
      </c>
      <c r="B83" s="260" t="s">
        <v>2191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2109</v>
      </c>
      <c r="B84" s="260" t="s">
        <v>2192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2110</v>
      </c>
      <c r="B85" s="260" t="s">
        <v>2193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2111</v>
      </c>
      <c r="B86" s="260" t="s">
        <v>2194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2112</v>
      </c>
      <c r="B87" s="260" t="s">
        <v>2195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2113</v>
      </c>
      <c r="B88" s="260" t="s">
        <v>2196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2114</v>
      </c>
      <c r="B89" s="260" t="s">
        <v>2197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2115</v>
      </c>
      <c r="B90" s="260" t="s">
        <v>2198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2116</v>
      </c>
      <c r="B91" s="260" t="s">
        <v>2199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2117</v>
      </c>
      <c r="B92" s="260" t="s">
        <v>2200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2120</v>
      </c>
      <c r="B93" s="260" t="s">
        <v>2158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2121</v>
      </c>
      <c r="B94" s="260" t="s">
        <v>2159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2122</v>
      </c>
      <c r="B95" s="260" t="s">
        <v>2160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2123</v>
      </c>
      <c r="B96" s="260" t="s">
        <v>2126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2124</v>
      </c>
      <c r="B97" s="260" t="s">
        <v>2127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2125</v>
      </c>
      <c r="B98" s="260" t="s">
        <v>2128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2129</v>
      </c>
      <c r="B99" s="260" t="s">
        <v>2132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2130</v>
      </c>
      <c r="B100" s="260" t="s">
        <v>2133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2131</v>
      </c>
      <c r="B101" s="260" t="s">
        <v>2134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2169</v>
      </c>
      <c r="C157" s="327" t="s">
        <v>2166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2170</v>
      </c>
      <c r="C170" s="327" t="s">
        <v>2166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2167</v>
      </c>
      <c r="C172" s="327" t="s">
        <v>2166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2172</v>
      </c>
      <c r="C184" s="327" t="s">
        <v>2166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2171</v>
      </c>
      <c r="C185" s="327" t="s">
        <v>2166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2175</v>
      </c>
      <c r="C186" s="327" t="s">
        <v>2166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2166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2052</v>
      </c>
      <c r="B215" s="164" t="s">
        <v>2069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2173</v>
      </c>
      <c r="C227" s="327" t="s">
        <v>2166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2174</v>
      </c>
      <c r="C229" s="327" t="s">
        <v>2166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2053</v>
      </c>
      <c r="B231" s="164" t="s">
        <v>2054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2056</v>
      </c>
      <c r="B280" s="164" t="s">
        <v>2057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2168</v>
      </c>
      <c r="C349" s="327" t="s">
        <v>2166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2070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2071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2072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2073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2074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2076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2061</v>
      </c>
      <c r="B459" s="164" t="s">
        <v>2062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2162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2161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2161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2079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2078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2080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2215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2067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2163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2164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2165</v>
      </c>
      <c r="C907" s="327" t="s">
        <v>2166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2176</v>
      </c>
      <c r="C908" s="327" t="s">
        <v>2166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2063</v>
      </c>
      <c r="B909" s="164" t="s">
        <v>2064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2058</v>
      </c>
      <c r="B910" s="164" t="s">
        <v>2059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2068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2166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2241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2218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2219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2242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2221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2243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2244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2245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2246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2247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2248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2249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2250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2251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2239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2240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2254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2255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 xr:uid="{B3C1BFC3-433B-4190-8A23-562ABEC2913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7F85-2A24-4C05-BA13-D90E59E33D63}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2075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2077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 xr:uid="{ABAC8952-A00E-42B9-A7B0-332BD5BD7C73}"/>
  <hyperlinks>
    <hyperlink ref="A16" location="'Unidad de ordeñe'!A1" display="Unidades de ordeño y Jetters de lavado " xr:uid="{D558DDA4-B341-4DED-A408-D642AD6FD606}"/>
    <hyperlink ref="A20" location="bombas!A1" display="Bombas de Vacio" xr:uid="{274AC541-1375-4712-9DFE-1443CD92593B}"/>
    <hyperlink ref="A178" location="'Unidad Final'!A1" display="Unidad Final" xr:uid="{38121CF7-A3CB-424A-AB5B-243C83E67C51}"/>
    <hyperlink ref="A272" location="'Extractores, indicadores'!A1" display="Extractores e indicadores" xr:uid="{199D87F5-7BF3-4E06-A478-615F03464D77}"/>
    <hyperlink ref="A312" location="'ISO ID - SortGate'!A1" display="ISO ID, Sort Gate" xr:uid="{E5F4B3F1-4848-4208-848F-F5848F4D78B1}"/>
    <hyperlink ref="A4" location="presu!A1" display="Presupuesto" xr:uid="{6C17EF91-168C-4743-A132-87A25F70ADD7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Leonel Alejandro Marquez</cp:lastModifiedBy>
  <cp:lastPrinted>2023-07-19T12:13:26Z</cp:lastPrinted>
  <dcterms:created xsi:type="dcterms:W3CDTF">2017-06-22T18:12:13Z</dcterms:created>
  <dcterms:modified xsi:type="dcterms:W3CDTF">2023-09-07T19:47:53Z</dcterms:modified>
</cp:coreProperties>
</file>