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\Desktop\WEB PROYECTS\DAIRY SOLUTIONS\webwork-api-main\src\"/>
    </mc:Choice>
  </mc:AlternateContent>
  <bookViews>
    <workbookView xWindow="0" yWindow="0" windowWidth="25200" windowHeight="11880" firstSheet="8" activeTab="14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F7" i="14" l="1"/>
  <c r="F8" i="14"/>
  <c r="F9" i="14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F11" i="14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<sst xmlns="http://schemas.openxmlformats.org/spreadsheetml/2006/main" count="4177" uniqueCount="2267">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</sst>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 &quot;$&quot;\ * #,##0.00_ ;_ &quot;$&quot;\ * \-#,##0.00_ ;_ &quot;$&quot;\ * &quot;-&quot;??_ ;_ @_ "/>
    <numFmt numFmtId="171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1" fontId="1" fillId="0" borderId="0"/>
    <xf numFmtId="170" fontId="1" fillId="0" borderId="0" applyFont="0" applyFill="0" applyBorder="0" applyAlignment="0" applyProtection="0"/>
    <xf numFmtId="171" fontId="9" fillId="0" borderId="0"/>
    <xf numFmtId="171" fontId="19" fillId="0" borderId="0"/>
    <xf numFmtId="171" fontId="24" fillId="12" borderId="0" applyNumberFormat="0" applyBorder="0" applyAlignment="0" applyProtection="0"/>
    <xf numFmtId="171" fontId="24" fillId="13" borderId="0" applyNumberFormat="0" applyBorder="0" applyAlignment="0" applyProtection="0"/>
    <xf numFmtId="171" fontId="24" fillId="14" borderId="0" applyNumberFormat="0" applyBorder="0" applyAlignment="0" applyProtection="0"/>
    <xf numFmtId="171" fontId="24" fillId="15" borderId="0" applyNumberFormat="0" applyBorder="0" applyAlignment="0" applyProtection="0"/>
    <xf numFmtId="171" fontId="24" fillId="16" borderId="0" applyNumberFormat="0" applyBorder="0" applyAlignment="0" applyProtection="0"/>
    <xf numFmtId="171" fontId="24" fillId="17" borderId="0" applyNumberFormat="0" applyBorder="0" applyAlignment="0" applyProtection="0"/>
    <xf numFmtId="171" fontId="24" fillId="18" borderId="0" applyNumberFormat="0" applyBorder="0" applyAlignment="0" applyProtection="0"/>
    <xf numFmtId="171" fontId="24" fillId="19" borderId="0" applyNumberFormat="0" applyBorder="0" applyAlignment="0" applyProtection="0"/>
    <xf numFmtId="171" fontId="24" fillId="20" borderId="0" applyNumberFormat="0" applyBorder="0" applyAlignment="0" applyProtection="0"/>
    <xf numFmtId="171" fontId="24" fillId="15" borderId="0" applyNumberFormat="0" applyBorder="0" applyAlignment="0" applyProtection="0"/>
    <xf numFmtId="171" fontId="24" fillId="18" borderId="0" applyNumberFormat="0" applyBorder="0" applyAlignment="0" applyProtection="0"/>
    <xf numFmtId="171" fontId="24" fillId="21" borderId="0" applyNumberFormat="0" applyBorder="0" applyAlignment="0" applyProtection="0"/>
    <xf numFmtId="171" fontId="25" fillId="22" borderId="0" applyNumberFormat="0" applyBorder="0" applyAlignment="0" applyProtection="0"/>
    <xf numFmtId="171" fontId="25" fillId="19" borderId="0" applyNumberFormat="0" applyBorder="0" applyAlignment="0" applyProtection="0"/>
    <xf numFmtId="171" fontId="25" fillId="20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5" borderId="0" applyNumberFormat="0" applyBorder="0" applyAlignment="0" applyProtection="0"/>
    <xf numFmtId="171" fontId="25" fillId="26" borderId="0" applyNumberFormat="0" applyBorder="0" applyAlignment="0" applyProtection="0"/>
    <xf numFmtId="171" fontId="25" fillId="27" borderId="0" applyNumberFormat="0" applyBorder="0" applyAlignment="0" applyProtection="0"/>
    <xf numFmtId="171" fontId="25" fillId="28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9" borderId="0" applyNumberFormat="0" applyBorder="0" applyAlignment="0" applyProtection="0"/>
    <xf numFmtId="171" fontId="26" fillId="13" borderId="0" applyNumberFormat="0" applyBorder="0" applyAlignment="0" applyProtection="0"/>
    <xf numFmtId="171" fontId="27" fillId="30" borderId="31" applyNumberFormat="0" applyAlignment="0" applyProtection="0"/>
    <xf numFmtId="171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1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171" fontId="29" fillId="0" borderId="0" applyNumberFormat="0" applyFill="0" applyBorder="0" applyAlignment="0" applyProtection="0"/>
    <xf numFmtId="171" fontId="30" fillId="14" borderId="0" applyNumberFormat="0" applyBorder="0" applyAlignment="0" applyProtection="0"/>
    <xf numFmtId="171" fontId="31" fillId="0" borderId="33" applyNumberFormat="0" applyFill="0" applyAlignment="0" applyProtection="0"/>
    <xf numFmtId="171" fontId="32" fillId="0" borderId="34" applyNumberFormat="0" applyFill="0" applyAlignment="0" applyProtection="0"/>
    <xf numFmtId="171" fontId="33" fillId="0" borderId="35" applyNumberFormat="0" applyFill="0" applyAlignment="0" applyProtection="0"/>
    <xf numFmtId="171" fontId="33" fillId="0" borderId="0" applyNumberFormat="0" applyFill="0" applyBorder="0" applyAlignment="0" applyProtection="0"/>
    <xf numFmtId="171" fontId="34" fillId="17" borderId="31" applyNumberFormat="0" applyAlignment="0" applyProtection="0"/>
    <xf numFmtId="171" fontId="35" fillId="0" borderId="36" applyNumberFormat="0" applyFill="0" applyAlignment="0" applyProtection="0"/>
    <xf numFmtId="171" fontId="36" fillId="33" borderId="0" applyNumberFormat="0" applyBorder="0" applyAlignment="0" applyProtection="0"/>
    <xf numFmtId="171" fontId="9" fillId="34" borderId="37" applyNumberFormat="0" applyFont="0" applyAlignment="0" applyProtection="0"/>
    <xf numFmtId="171" fontId="22" fillId="0" borderId="8" applyFill="0">
      <alignment horizontal="center" vertical="center"/>
    </xf>
    <xf numFmtId="171" fontId="22" fillId="0" borderId="11" applyBorder="0">
      <alignment horizontal="center" vertical="center" wrapText="1"/>
    </xf>
    <xf numFmtId="171" fontId="37" fillId="30" borderId="38" applyNumberFormat="0" applyAlignment="0" applyProtection="0"/>
    <xf numFmtId="171" fontId="23" fillId="35" borderId="8">
      <alignment horizontal="center" vertical="center"/>
    </xf>
    <xf numFmtId="171" fontId="38" fillId="0" borderId="0" applyNumberFormat="0" applyFill="0" applyBorder="0" applyAlignment="0" applyProtection="0"/>
    <xf numFmtId="171" fontId="39" fillId="0" borderId="39" applyNumberFormat="0" applyFill="0" applyAlignment="0" applyProtection="0"/>
    <xf numFmtId="171" fontId="40" fillId="0" borderId="0" applyNumberForma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1" fontId="2" fillId="0" borderId="0" xfId="64" applyFont="1"/>
    <xf numFmtId="0" fontId="2" fillId="0" borderId="0" xfId="64" applyNumberFormat="1" applyFont="1"/>
    <xf numFmtId="170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70" fontId="4" fillId="0" borderId="5" xfId="13" applyFont="1" applyBorder="1" applyAlignment="1">
      <alignment horizontal="center"/>
    </xf>
    <xf numFmtId="170" fontId="4" fillId="0" borderId="6" xfId="13" applyFont="1" applyBorder="1" applyAlignment="1">
      <alignment horizontal="center"/>
    </xf>
    <xf numFmtId="0" fontId="3" fillId="6" borderId="5" xfId="0" applyFont="1" applyFill="1" applyBorder="1"/>
    <xf numFmtId="170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70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70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70" fontId="4" fillId="36" borderId="6" xfId="13" applyFont="1" applyFill="1" applyBorder="1" applyAlignment="1">
      <alignment horizontal="center"/>
    </xf>
    <xf numFmtId="170" fontId="3" fillId="36" borderId="5" xfId="13" applyFont="1" applyFill="1" applyBorder="1" applyAlignment="1">
      <alignment horizontal="center"/>
    </xf>
    <xf numFmtId="170" fontId="41" fillId="36" borderId="6" xfId="13" applyFont="1" applyFill="1" applyBorder="1" applyAlignment="1">
      <alignment horizontal="center"/>
    </xf>
    <xf numFmtId="170" fontId="18" fillId="36" borderId="41" xfId="13" applyFont="1" applyFill="1" applyBorder="1" applyAlignment="1">
      <alignment horizontal="center"/>
    </xf>
    <xf numFmtId="170" fontId="18" fillId="0" borderId="6" xfId="13" applyFont="1" applyFill="1" applyBorder="1" applyAlignment="1">
      <alignment horizontal="center"/>
    </xf>
    <xf numFmtId="170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70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70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70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70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1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1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70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1" fontId="7" fillId="36" borderId="27" xfId="45" applyFont="1" applyFill="1" applyBorder="1" applyAlignment="1">
      <alignment horizontal="center"/>
    </xf>
    <xf numFmtId="171" fontId="7" fillId="36" borderId="28" xfId="45" applyFont="1" applyFill="1" applyBorder="1" applyAlignment="1">
      <alignment horizontal="center"/>
    </xf>
    <xf numFmtId="171" fontId="7" fillId="36" borderId="42" xfId="45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</cellXfs>
  <cellStyles count="70">
    <cellStyle name="20% - Accent1 2" xfId="16"/>
    <cellStyle name="20% - Accent2 2" xfId="17"/>
    <cellStyle name="20% - Accent3 2" xfId="18"/>
    <cellStyle name="20% - Accent4 2" xfId="19"/>
    <cellStyle name="20% - Accent5 2" xfId="20"/>
    <cellStyle name="20% - Accent6 2" xfId="21"/>
    <cellStyle name="40% - Accent1 2" xfId="22"/>
    <cellStyle name="40% - Accent2 2" xfId="23"/>
    <cellStyle name="40% - Accent3 2" xfId="24"/>
    <cellStyle name="40% - Accent4 2" xfId="25"/>
    <cellStyle name="40% - Accent5 2" xfId="26"/>
    <cellStyle name="40% - Accent6 2" xfId="27"/>
    <cellStyle name="60% - Accent1 2" xfId="28"/>
    <cellStyle name="60% - Accent2 2" xfId="29"/>
    <cellStyle name="60% - Accent3 2" xfId="30"/>
    <cellStyle name="60% - Accent4 2" xfId="31"/>
    <cellStyle name="60% - Accent5 2" xfId="32"/>
    <cellStyle name="60% - Accent6 2" xfId="33"/>
    <cellStyle name="Accent1 2" xfId="34"/>
    <cellStyle name="Accent2 2" xfId="35"/>
    <cellStyle name="Accent3 2" xfId="36"/>
    <cellStyle name="Accent4 2" xfId="37"/>
    <cellStyle name="Accent5 2" xfId="38"/>
    <cellStyle name="Accent6 2" xfId="39"/>
    <cellStyle name="Bad 2" xfId="40"/>
    <cellStyle name="Calculation 2" xfId="41"/>
    <cellStyle name="Check Cell 2" xfId="42"/>
    <cellStyle name="Currency 2" xfId="43"/>
    <cellStyle name="Currency 3" xfId="13"/>
    <cellStyle name="Description" xfId="44"/>
    <cellStyle name="Euro" xfId="45"/>
    <cellStyle name="Euro 2" xfId="46"/>
    <cellStyle name="Explanatory Text 2" xfId="47"/>
    <cellStyle name="Good 2" xfId="48"/>
    <cellStyle name="Heading 1 2" xfId="49"/>
    <cellStyle name="Heading 2 2" xfId="50"/>
    <cellStyle name="Heading 3 2" xfId="51"/>
    <cellStyle name="Heading 4 2" xfId="52"/>
    <cellStyle name="Hipervínculo" xfId="69" builtinId="8"/>
    <cellStyle name="Input 2" xfId="53"/>
    <cellStyle name="Linked Cell 2" xfId="54"/>
    <cellStyle name="Millares" xfId="2" builtinId="3"/>
    <cellStyle name="Moneda" xfId="1" builtinId="4"/>
    <cellStyle name="Neutral 2" xfId="55"/>
    <cellStyle name="Normal" xfId="0" builtinId="0"/>
    <cellStyle name="Normal 10" xfId="68"/>
    <cellStyle name="Normal 11" xfId="5"/>
    <cellStyle name="Normal 12" xfId="67"/>
    <cellStyle name="Normal 13" xfId="65"/>
    <cellStyle name="Normal 14" xfId="66"/>
    <cellStyle name="Normal 2" xfId="9"/>
    <cellStyle name="Normal 2 2" xfId="14"/>
    <cellStyle name="Normal 3" xfId="4"/>
    <cellStyle name="Normal 3 2" xfId="15"/>
    <cellStyle name="Normal 4" xfId="10"/>
    <cellStyle name="Normal 5" xfId="11"/>
    <cellStyle name="Normal 6" xfId="8"/>
    <cellStyle name="Normal 7" xfId="3"/>
    <cellStyle name="Normal 8" xfId="12"/>
    <cellStyle name="Normal 9" xfId="64"/>
    <cellStyle name="Normal_BM-CHINA" xfId="7"/>
    <cellStyle name="Normal_JDE Pricing 11.5.08" xfId="6"/>
    <cellStyle name="Note 2" xfId="56"/>
    <cellStyle name="Numbers" xfId="57"/>
    <cellStyle name="Order Factor" xfId="58"/>
    <cellStyle name="Output 2" xfId="59"/>
    <cellStyle name="SubHeader" xfId="60"/>
    <cellStyle name="Title 2" xfId="61"/>
    <cellStyle name="Total 2" xfId="62"/>
    <cellStyle name="Warning Text 2" xfId="63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93857fe249531ea/Documents/Dairy/listas%20de%20precios/2023/Septiembre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L386"/>
  <sheetViews>
    <sheetView topLeftCell="A144" zoomScale="85" zoomScaleNormal="85" workbookViewId="0">
      <selection activeCell="A329" sqref="A329:D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1" t="s">
        <v>1885</v>
      </c>
      <c r="B9" s="442"/>
      <c r="C9" s="442"/>
      <c r="D9" s="442"/>
      <c r="E9" s="443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44" t="s">
        <v>1889</v>
      </c>
      <c r="B14" s="445"/>
      <c r="C14" s="445"/>
      <c r="D14" s="445"/>
      <c r="E14" s="446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47" t="s">
        <v>1890</v>
      </c>
      <c r="B19" s="448"/>
      <c r="C19" s="448"/>
      <c r="D19" s="448"/>
      <c r="E19" s="449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47" t="s">
        <v>1891</v>
      </c>
      <c r="B27" s="448"/>
      <c r="C27" s="448"/>
      <c r="D27" s="448"/>
      <c r="E27" s="449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50" t="s">
        <v>1892</v>
      </c>
      <c r="B42" s="450"/>
      <c r="C42" s="450"/>
      <c r="D42" s="450"/>
      <c r="E42" s="450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1" t="s">
        <v>1894</v>
      </c>
      <c r="B46" s="442"/>
      <c r="C46" s="442"/>
      <c r="D46" s="442"/>
      <c r="E46" s="443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54" t="s">
        <v>1900</v>
      </c>
      <c r="B53" s="455"/>
      <c r="C53" s="455"/>
      <c r="D53" s="455"/>
      <c r="E53" s="45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51"/>
      <c r="B62" s="452"/>
      <c r="C62" s="452"/>
      <c r="D62" s="452"/>
      <c r="E62" s="45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1" t="s">
        <v>1909</v>
      </c>
      <c r="B66" s="442"/>
      <c r="C66" s="442"/>
      <c r="D66" s="442"/>
      <c r="E66" s="443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47" t="s">
        <v>1910</v>
      </c>
      <c r="B69" s="448"/>
      <c r="C69" s="448"/>
      <c r="D69" s="448"/>
      <c r="E69" s="449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47" t="s">
        <v>1911</v>
      </c>
      <c r="B72" s="448"/>
      <c r="C72" s="448"/>
      <c r="D72" s="448"/>
      <c r="E72" s="449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7" t="s">
        <v>1912</v>
      </c>
      <c r="B75" s="458"/>
      <c r="C75" s="458"/>
      <c r="D75" s="458"/>
      <c r="E75" s="459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1" t="s">
        <v>1917</v>
      </c>
      <c r="B88" s="442"/>
      <c r="C88" s="442"/>
      <c r="D88" s="442"/>
      <c r="E88" s="443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1" t="s">
        <v>1928</v>
      </c>
      <c r="B117" s="442"/>
      <c r="C117" s="442"/>
      <c r="D117" s="442"/>
      <c r="E117" s="443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1" t="s">
        <v>1941</v>
      </c>
      <c r="B144" s="442"/>
      <c r="C144" s="442"/>
      <c r="D144" s="442"/>
      <c r="E144" s="443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1" t="s">
        <v>1948</v>
      </c>
      <c r="B154" s="442"/>
      <c r="C154" s="442"/>
      <c r="D154" s="442"/>
      <c r="E154" s="443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60" t="s">
        <v>1961</v>
      </c>
      <c r="B258" s="461"/>
      <c r="C258" s="461"/>
      <c r="D258" s="461"/>
      <c r="E258" s="462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51"/>
      <c r="B263" s="452"/>
      <c r="C263" s="452"/>
      <c r="D263" s="452"/>
      <c r="E263" s="45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  <mergeCell ref="A46:E46"/>
    <mergeCell ref="A9:E9"/>
    <mergeCell ref="A14:E14"/>
    <mergeCell ref="A19:E19"/>
    <mergeCell ref="A27:E27"/>
    <mergeCell ref="A42:E42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4:F100"/>
  <sheetViews>
    <sheetView workbookViewId="0">
      <selection activeCell="D12" sqref="D12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2052</v>
      </c>
      <c r="C7" s="223">
        <v>30</v>
      </c>
      <c r="D7" s="224">
        <v>1200</v>
      </c>
      <c r="E7" s="224">
        <f>+VLOOKUP(A7,Base!A5:E1313,5,FALSE)</f>
        <v>127.50685997175833</v>
      </c>
      <c r="F7" s="225">
        <f>+D7/C7</f>
        <v>40</v>
      </c>
    </row>
    <row r="8" spans="1:6" ht="15.75" x14ac:dyDescent="0.25">
      <c r="A8" s="226" t="s">
        <v>2053</v>
      </c>
      <c r="B8" s="222" t="s">
        <v>2054</v>
      </c>
      <c r="C8" s="223">
        <v>230</v>
      </c>
      <c r="D8" s="224">
        <v>1300</v>
      </c>
      <c r="E8" s="224">
        <f>+VLOOKUP(A8,Base!A6:E1311,5,FALSE)</f>
        <v>974.79362942436092</v>
      </c>
      <c r="F8" s="225">
        <f>+D8/C8</f>
        <v>5.6521739130434785</v>
      </c>
    </row>
    <row r="9" spans="1:6" ht="15.75" x14ac:dyDescent="0.25">
      <c r="A9" s="226" t="s">
        <v>2055</v>
      </c>
      <c r="B9" s="222" t="s">
        <v>2056</v>
      </c>
      <c r="C9" s="223">
        <v>1150</v>
      </c>
      <c r="D9" s="224">
        <v>1400</v>
      </c>
      <c r="E9" s="224">
        <f>+VLOOKUP(A9,Base!A7:E1312,5,FALSE)</f>
        <v>4782.1518416522476</v>
      </c>
      <c r="F9" s="225">
        <f>+D9/C9</f>
        <v>1.2173913043478262</v>
      </c>
    </row>
    <row r="10" spans="1:6" ht="15.75" x14ac:dyDescent="0.25">
      <c r="A10" s="226"/>
      <c r="B10" s="222"/>
      <c r="C10" s="223"/>
      <c r="D10" s="224">
        <v>1500</v>
      </c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v>1600</v>
      </c>
      <c r="E11" s="224">
        <f>+VLOOKUP(A11,Base!A9:E1314,5,FALSE)</f>
        <v>53.95607585139318</v>
      </c>
      <c r="F11" s="225">
        <f>+D11/C11</f>
        <v>53.333333333333336</v>
      </c>
    </row>
    <row r="12" spans="1:6" ht="15.75" x14ac:dyDescent="0.2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2067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2068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75" x14ac:dyDescent="0.2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2266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2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2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2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2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2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2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2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2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2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2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2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2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2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2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2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2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2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2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2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2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2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2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2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2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2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2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2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.75" hidden="1" thickBot="1" x14ac:dyDescent="0.3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2079</v>
      </c>
      <c r="F337" s="56">
        <f>SUM(F338:F389)</f>
        <v>28467.167109133123</v>
      </c>
    </row>
    <row r="338" spans="1:6" hidden="1" x14ac:dyDescent="0.2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2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2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2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x14ac:dyDescent="0.2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2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2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2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2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2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2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2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2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2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2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2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2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2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2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2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2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2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2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2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2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2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2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2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2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2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2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2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2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2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2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2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2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2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2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2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2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2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2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2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idden="1" x14ac:dyDescent="0.2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2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2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2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2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/>
    <hyperlink ref="B337" location="'ISO ID - SortGate'!A1" display="ISO ID, Sort Gate"/>
    <hyperlink ref="B390" location="Robot!A1" display="Robots y Opcionales ( PRECIO EN EUROS)"/>
    <hyperlink ref="B421" location="cañerias!A1" display="Caneria"/>
    <hyperlink ref="B297" location="'Extractores, indicadores'!A1" display="Extractores e indicadores de produccion"/>
    <hyperlink ref="B45" location="bombas!A1" display="Bombas de Vacio"/>
    <hyperlink ref="B152" location="'Placas, Filtros Lavadora,Recupe'!A1" display="Intercambiador a Placas, lavador y recuperdor de calor"/>
    <hyperlink ref="B141" location="pulsado!A1" display="Pulsado y filtros"/>
    <hyperlink ref="B203" location="'Unidad Final'!A1" display="Unidad Final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2213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2214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83" t="s">
        <v>1839</v>
      </c>
      <c r="D4" s="483"/>
      <c r="E4" s="483"/>
      <c r="F4" s="483"/>
      <c r="G4" s="484"/>
    </row>
    <row r="5" spans="2:16" ht="15.75" thickBot="1" x14ac:dyDescent="0.3">
      <c r="B5" s="94" t="s">
        <v>0</v>
      </c>
      <c r="C5" s="485" t="s">
        <v>1840</v>
      </c>
      <c r="D5" s="485"/>
      <c r="E5" s="485"/>
      <c r="F5" s="485"/>
      <c r="G5" s="48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83" t="s">
        <v>1839</v>
      </c>
      <c r="D24" s="483"/>
      <c r="E24" s="483"/>
      <c r="F24" s="483"/>
      <c r="G24" s="484"/>
    </row>
    <row r="25" spans="2:16" ht="15.75" thickBot="1" x14ac:dyDescent="0.3">
      <c r="B25" s="94" t="s">
        <v>0</v>
      </c>
      <c r="C25" s="485" t="s">
        <v>1847</v>
      </c>
      <c r="D25" s="485"/>
      <c r="E25" s="485"/>
      <c r="F25" s="485"/>
      <c r="G25" s="48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83" t="s">
        <v>1839</v>
      </c>
      <c r="D31" s="483"/>
      <c r="E31" s="483"/>
      <c r="F31" s="483"/>
      <c r="G31" s="484"/>
    </row>
    <row r="32" spans="2:16" ht="15.75" thickBot="1" x14ac:dyDescent="0.3">
      <c r="B32" s="94" t="s">
        <v>0</v>
      </c>
      <c r="C32" s="485" t="s">
        <v>1848</v>
      </c>
      <c r="D32" s="485"/>
      <c r="E32" s="485"/>
      <c r="F32" s="485"/>
      <c r="G32" s="48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79" t="s">
        <v>1839</v>
      </c>
      <c r="D39" s="479"/>
      <c r="E39" s="479"/>
      <c r="F39" s="479"/>
      <c r="G39" s="480"/>
    </row>
    <row r="40" spans="2:16" ht="15.75" thickBot="1" x14ac:dyDescent="0.3">
      <c r="B40" s="104" t="s">
        <v>0</v>
      </c>
      <c r="C40" s="481" t="s">
        <v>1849</v>
      </c>
      <c r="D40" s="481"/>
      <c r="E40" s="481"/>
      <c r="F40" s="481"/>
      <c r="G40" s="482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79" t="s">
        <v>1839</v>
      </c>
      <c r="D48" s="479"/>
      <c r="E48" s="479"/>
      <c r="F48" s="479"/>
      <c r="G48" s="480"/>
    </row>
    <row r="49" spans="2:16" ht="15.75" thickBot="1" x14ac:dyDescent="0.3">
      <c r="B49" s="104" t="s">
        <v>0</v>
      </c>
      <c r="C49" s="481" t="s">
        <v>1850</v>
      </c>
      <c r="D49" s="481"/>
      <c r="E49" s="481"/>
      <c r="F49" s="481"/>
      <c r="G49" s="482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79" t="s">
        <v>1839</v>
      </c>
      <c r="D57" s="479"/>
      <c r="E57" s="479"/>
      <c r="F57" s="479"/>
      <c r="G57" s="480"/>
    </row>
    <row r="58" spans="2:16" ht="15.75" thickBot="1" x14ac:dyDescent="0.3">
      <c r="B58" s="104" t="s">
        <v>0</v>
      </c>
      <c r="C58" s="481" t="s">
        <v>1851</v>
      </c>
      <c r="D58" s="481"/>
      <c r="E58" s="481"/>
      <c r="F58" s="481"/>
      <c r="G58" s="482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79" t="s">
        <v>1839</v>
      </c>
      <c r="D66" s="479"/>
      <c r="E66" s="479"/>
      <c r="F66" s="479"/>
      <c r="G66" s="480"/>
    </row>
    <row r="67" spans="2:16" ht="15.75" thickBot="1" x14ac:dyDescent="0.3">
      <c r="B67" s="104" t="s">
        <v>0</v>
      </c>
      <c r="C67" s="481" t="s">
        <v>1852</v>
      </c>
      <c r="D67" s="481"/>
      <c r="E67" s="481"/>
      <c r="F67" s="481"/>
      <c r="G67" s="482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79" t="s">
        <v>1839</v>
      </c>
      <c r="D74" s="479"/>
      <c r="E74" s="479"/>
      <c r="F74" s="479"/>
      <c r="G74" s="480"/>
    </row>
    <row r="75" spans="2:16" ht="15.75" thickBot="1" x14ac:dyDescent="0.3">
      <c r="B75" s="104" t="s">
        <v>0</v>
      </c>
      <c r="C75" s="481" t="s">
        <v>1853</v>
      </c>
      <c r="D75" s="481"/>
      <c r="E75" s="481"/>
      <c r="F75" s="481"/>
      <c r="G75" s="482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3" t="s">
        <v>1845</v>
      </c>
      <c r="D80" s="473"/>
      <c r="E80" s="473"/>
      <c r="F80" s="473"/>
      <c r="G80" s="474"/>
    </row>
    <row r="81" spans="2:16" ht="15.75" thickBot="1" x14ac:dyDescent="0.3">
      <c r="B81" s="106" t="s">
        <v>0</v>
      </c>
      <c r="C81" s="475" t="s">
        <v>1846</v>
      </c>
      <c r="D81" s="475"/>
      <c r="E81" s="475"/>
      <c r="F81" s="475"/>
      <c r="G81" s="476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3" t="s">
        <v>1854</v>
      </c>
      <c r="D85" s="473"/>
      <c r="E85" s="473"/>
      <c r="F85" s="473"/>
      <c r="G85" s="474"/>
    </row>
    <row r="86" spans="2:16" ht="15.75" thickBot="1" x14ac:dyDescent="0.3">
      <c r="B86" s="106" t="s">
        <v>0</v>
      </c>
      <c r="C86" s="475" t="s">
        <v>1855</v>
      </c>
      <c r="D86" s="475"/>
      <c r="E86" s="475"/>
      <c r="F86" s="475"/>
      <c r="G86" s="476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77" t="s">
        <v>1856</v>
      </c>
      <c r="D91" s="477"/>
      <c r="E91" s="477"/>
      <c r="F91" s="477"/>
      <c r="G91" s="478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77" t="s">
        <v>1858</v>
      </c>
      <c r="D95" s="477"/>
      <c r="E95" s="477"/>
      <c r="F95" s="477"/>
      <c r="G95" s="478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4:G4"/>
    <mergeCell ref="C5:G5"/>
    <mergeCell ref="C24:G24"/>
    <mergeCell ref="C25:G25"/>
    <mergeCell ref="C32:G32"/>
    <mergeCell ref="C31:G31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85:G85"/>
    <mergeCell ref="C86:G86"/>
    <mergeCell ref="C91:G91"/>
    <mergeCell ref="C92:G92"/>
    <mergeCell ref="C96:G96"/>
    <mergeCell ref="C95:G95"/>
  </mergeCells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77" t="s">
        <v>1839</v>
      </c>
      <c r="D17" s="477"/>
      <c r="E17" s="477"/>
      <c r="F17" s="477"/>
      <c r="G17" s="478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77" t="s">
        <v>1839</v>
      </c>
      <c r="D30" s="477"/>
      <c r="E30" s="477"/>
      <c r="F30" s="477"/>
      <c r="G30" s="478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77" t="s">
        <v>1839</v>
      </c>
      <c r="D45" s="477"/>
      <c r="E45" s="477"/>
      <c r="F45" s="477"/>
      <c r="G45" s="478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2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2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2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2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2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2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2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2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2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2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2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2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2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2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2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2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2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2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77" t="s">
        <v>1839</v>
      </c>
      <c r="D4" s="477"/>
      <c r="E4" s="477"/>
      <c r="F4" s="477"/>
      <c r="G4" s="478"/>
    </row>
    <row r="5" spans="2:16" ht="15.75" thickBot="1" x14ac:dyDescent="0.3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77" t="s">
        <v>1839</v>
      </c>
      <c r="D11" s="477"/>
      <c r="E11" s="477"/>
      <c r="F11" s="477"/>
      <c r="G11" s="478"/>
      <c r="N11"/>
      <c r="O11"/>
      <c r="P11"/>
    </row>
    <row r="12" spans="2:16" x14ac:dyDescent="0.25">
      <c r="B12" s="158" t="s">
        <v>0</v>
      </c>
      <c r="C12" s="494" t="s">
        <v>2149</v>
      </c>
      <c r="D12" s="494"/>
      <c r="E12" s="494"/>
      <c r="F12" s="494"/>
      <c r="G12" s="495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79" t="s">
        <v>1839</v>
      </c>
      <c r="D19" s="479"/>
      <c r="E19" s="479"/>
      <c r="F19" s="479"/>
      <c r="G19" s="480"/>
      <c r="N19"/>
      <c r="O19"/>
      <c r="P19"/>
    </row>
    <row r="20" spans="2:16" ht="15.75" thickBot="1" x14ac:dyDescent="0.3">
      <c r="B20" s="104" t="s">
        <v>0</v>
      </c>
      <c r="C20" s="481" t="s">
        <v>2150</v>
      </c>
      <c r="D20" s="481"/>
      <c r="E20" s="481"/>
      <c r="F20" s="481"/>
      <c r="G20" s="482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79" t="s">
        <v>1839</v>
      </c>
      <c r="D28" s="479"/>
      <c r="E28" s="479"/>
      <c r="F28" s="479"/>
      <c r="G28" s="480"/>
      <c r="N28"/>
      <c r="O28"/>
      <c r="P28"/>
    </row>
    <row r="29" spans="2:16" ht="15.75" thickBot="1" x14ac:dyDescent="0.3">
      <c r="B29" s="104" t="s">
        <v>0</v>
      </c>
      <c r="C29" s="481" t="s">
        <v>2148</v>
      </c>
      <c r="D29" s="481"/>
      <c r="E29" s="481"/>
      <c r="F29" s="481"/>
      <c r="G29" s="482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79" t="s">
        <v>1839</v>
      </c>
      <c r="D36" s="479"/>
      <c r="E36" s="479"/>
      <c r="F36" s="479"/>
      <c r="G36" s="480"/>
    </row>
    <row r="37" spans="2:16" ht="15.75" thickBot="1" x14ac:dyDescent="0.3">
      <c r="B37" s="104" t="s">
        <v>0</v>
      </c>
      <c r="C37" s="481" t="s">
        <v>2145</v>
      </c>
      <c r="D37" s="481"/>
      <c r="E37" s="481"/>
      <c r="F37" s="481"/>
      <c r="G37" s="482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79" t="s">
        <v>1839</v>
      </c>
      <c r="D45" s="479"/>
      <c r="E45" s="479"/>
      <c r="F45" s="479"/>
      <c r="G45" s="480"/>
    </row>
    <row r="46" spans="2:16" ht="15.75" thickBot="1" x14ac:dyDescent="0.3">
      <c r="B46" s="380" t="s">
        <v>0</v>
      </c>
      <c r="C46" s="481" t="s">
        <v>2151</v>
      </c>
      <c r="D46" s="481"/>
      <c r="E46" s="481"/>
      <c r="F46" s="481"/>
      <c r="G46" s="482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0"/>
      <c r="D52" s="490"/>
      <c r="E52" s="490"/>
      <c r="F52" s="490"/>
      <c r="G52" s="491"/>
    </row>
    <row r="53" spans="2:17" ht="15.75" thickBot="1" x14ac:dyDescent="0.3">
      <c r="B53" s="362" t="s">
        <v>0</v>
      </c>
      <c r="C53" s="492" t="s">
        <v>2138</v>
      </c>
      <c r="D53" s="492"/>
      <c r="E53" s="492"/>
      <c r="F53" s="492"/>
      <c r="G53" s="493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0"/>
      <c r="D59" s="490"/>
      <c r="E59" s="490"/>
      <c r="F59" s="490"/>
      <c r="G59" s="491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2" t="s">
        <v>2139</v>
      </c>
      <c r="D60" s="492"/>
      <c r="E60" s="492"/>
      <c r="F60" s="492"/>
      <c r="G60" s="493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77" t="s">
        <v>1839</v>
      </c>
      <c r="D66" s="477"/>
      <c r="E66" s="477"/>
      <c r="F66" s="477"/>
      <c r="G66" s="478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77" t="s">
        <v>1839</v>
      </c>
      <c r="D73" s="477"/>
      <c r="E73" s="477"/>
      <c r="F73" s="477"/>
      <c r="G73" s="478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77" t="s">
        <v>1839</v>
      </c>
      <c r="D79" s="477"/>
      <c r="E79" s="477"/>
      <c r="F79" s="477"/>
      <c r="G79" s="478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77" t="s">
        <v>1839</v>
      </c>
      <c r="D85" s="477"/>
      <c r="E85" s="477"/>
      <c r="F85" s="477"/>
      <c r="G85" s="478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77" t="s">
        <v>1839</v>
      </c>
      <c r="D91" s="477"/>
      <c r="E91" s="477"/>
      <c r="F91" s="477"/>
      <c r="G91" s="478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2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2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2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2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2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2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2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2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2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2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2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2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2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2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2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2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2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2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2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2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2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2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2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2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2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2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2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2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2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2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19:G19"/>
    <mergeCell ref="C20:G20"/>
    <mergeCell ref="C28:G28"/>
    <mergeCell ref="C29:G29"/>
    <mergeCell ref="C4:G4"/>
    <mergeCell ref="C5:G5"/>
    <mergeCell ref="C11:G11"/>
    <mergeCell ref="C12:G12"/>
    <mergeCell ref="C67:G67"/>
    <mergeCell ref="C59:G59"/>
    <mergeCell ref="C60:G60"/>
    <mergeCell ref="C52:G52"/>
    <mergeCell ref="C53:G53"/>
    <mergeCell ref="C36:G36"/>
    <mergeCell ref="C37:G37"/>
    <mergeCell ref="C45:G45"/>
    <mergeCell ref="C46:G46"/>
    <mergeCell ref="C66:G66"/>
    <mergeCell ref="C86:G86"/>
    <mergeCell ref="C91:G91"/>
    <mergeCell ref="C92:G92"/>
    <mergeCell ref="C73:G73"/>
    <mergeCell ref="C74:G74"/>
    <mergeCell ref="C79:G79"/>
    <mergeCell ref="C80:G80"/>
    <mergeCell ref="C85:G85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2083</v>
      </c>
      <c r="I3" s="292" t="s">
        <v>65</v>
      </c>
    </row>
    <row r="4" spans="1:11" ht="15.75" thickBot="1" x14ac:dyDescent="0.3">
      <c r="H4" s="163"/>
      <c r="I4" s="293" t="s">
        <v>2264</v>
      </c>
    </row>
    <row r="5" spans="1:11" ht="26.25" x14ac:dyDescent="0.2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70"/>
  <sheetViews>
    <sheetView tabSelected="1" workbookViewId="0">
      <pane xSplit="4" ySplit="4" topLeftCell="E41" activePane="bottomRight" state="frozen"/>
      <selection pane="topRight" activeCell="E1" sqref="E1"/>
      <selection pane="bottomLeft" activeCell="A5" sqref="A5"/>
      <selection pane="bottomRight" activeCell="A56" sqref="A56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v>3000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9.2699389123841248E-4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2077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2079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/>
  <hyperlinks>
    <hyperlink ref="A16" location="'Unidad de ordeñe'!A1" display="Unidades de ordeño y Jetters de lavado "/>
    <hyperlink ref="A20" location="bombas!A1" display="Bombas de Vacio"/>
    <hyperlink ref="A178" location="'Unidad Final'!A1" display="Unidad Final"/>
    <hyperlink ref="A272" location="'Extractores, indicadores'!A1" display="Extractores e indicadores"/>
    <hyperlink ref="A312" location="'ISO ID - SortGate'!A1" display="ISO ID, Sort Gate"/>
    <hyperlink ref="A4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Nico</cp:lastModifiedBy>
  <cp:lastPrinted>2023-07-19T12:13:26Z</cp:lastPrinted>
  <dcterms:created xsi:type="dcterms:W3CDTF">2017-06-22T18:12:13Z</dcterms:created>
  <dcterms:modified xsi:type="dcterms:W3CDTF">2023-09-08T00:39:22Z</dcterms:modified>
</cp:coreProperties>
</file>